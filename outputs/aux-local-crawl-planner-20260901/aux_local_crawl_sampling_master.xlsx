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573203d1484b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7964c2862694f82"/>
    <x:sheet xmlns:r="http://schemas.openxmlformats.org/officeDocument/2006/relationships" name="AUX_CRAWL_PLAN" sheetId="2" r:id="Rbefb96a2c2764fae"/>
    <x:sheet xmlns:r="http://schemas.openxmlformats.org/officeDocument/2006/relationships" name="CRAWL_LOG" sheetId="3" r:id="R4bc0f28d3ef94c15"/>
    <x:sheet xmlns:r="http://schemas.openxmlformats.org/officeDocument/2006/relationships" name="LOCAL_REFERENCE" sheetId="4" r:id="Rc07d5adc49f642e2"/>
    <x:sheet xmlns:r="http://schemas.openxmlformats.org/officeDocument/2006/relationships" name="VPS_REFERENCE" sheetId="5" r:id="R6fcc14807db14c83"/>
    <x:sheet xmlns:r="http://schemas.openxmlformats.org/officeDocument/2006/relationships" name="SLOT_RULES" sheetId="6" r:id="R80541189e4d740a9"/>
    <x:sheet xmlns:r="http://schemas.openxmlformats.org/officeDocument/2006/relationships" name="LABEL_YIELD" sheetId="7" r:id="R5b3c6b6210044f5c"/>
    <x:sheet xmlns:r="http://schemas.openxmlformats.org/officeDocument/2006/relationships" name="README" sheetId="8" r:id="R1fdf85d1777041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dd/mm/yyyy"/>
    <x:numFmt numFmtId="165" formatCode="dd/mm/yyyy hh:mm"/>
  </x:numFmts>
  <x:fonts count="11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8323F"/>
      <x:name val="Carlito"/>
    </x:font>
    <x:font>
      <x:sz val="11"/>
      <x:color rgb="FF2E7D32"/>
      <x:name val="Carlito"/>
    </x:font>
    <x:font>
      <x:b/>
      <x:sz val="11"/>
      <x:color rgb="FF8A5A00"/>
      <x:name val="Carlito"/>
    </x:font>
    <x:font>
      <x:b/>
      <x:sz val="11"/>
      <x:color rgb="FF2E7D32"/>
      <x:name val="Carlito"/>
    </x:font>
    <x:font>
      <x:i/>
      <x:sz val="11"/>
      <x:color rgb="FF18323F"/>
      <x:name val="Carlito"/>
    </x:font>
    <x:font>
      <x:sz val="10"/>
      <x:color rgb="FF18323F"/>
      <x:name val="Carlito"/>
    </x:font>
    <x:font>
      <x:b/>
      <x:sz val="10"/>
      <x:color rgb="FFFFFFFF"/>
      <x:name val="Carlito"/>
    </x:font>
    <x:font>
      <x:i/>
      <x:sz val="10"/>
      <x:color rgb="FF6B728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D56"/>
      </x:patternFill>
    </x:fill>
    <x:fill>
      <x:patternFill patternType="solid">
        <x:fgColor rgb="FF258F8B"/>
      </x:patternFill>
    </x:fill>
    <x:fill>
      <x:patternFill patternType="solid">
        <x:fgColor rgb="FFD8F0F0"/>
      </x:patternFill>
    </x:fill>
    <x:fill>
      <x:patternFill patternType="solid">
        <x:fgColor rgb="FFE7EEF3"/>
      </x:patternFill>
    </x:fill>
    <x:fill>
      <x:patternFill patternType="solid">
        <x:fgColor rgb="FFDDF2DF"/>
      </x:patternFill>
    </x:fill>
    <x:fill>
      <x:patternFill patternType="solid">
        <x:fgColor rgb="FFFFF5CE"/>
      </x:patternFill>
    </x:fill>
    <x:fill>
      <x:patternFill patternType="solid">
        <x:fgColor rgb="FFCDEDF8"/>
      </x:patternFill>
    </x:fill>
    <x:fill>
      <x:patternFill patternType="solid">
        <x:fgColor rgb="FFE8F5FA"/>
      </x:patternFill>
    </x:fill>
    <x:fill>
      <x:patternFill patternType="solid">
        <x:fgColor rgb="FF17706D"/>
      </x:patternFill>
    </x:fill>
    <x:fill>
      <x:patternFill patternType="solid">
        <x:fgColor rgb="FFE5E7EB"/>
      </x:patternFill>
    </x:fill>
  </x:fills>
  <x:borders count="5">
    <x:border/>
    <x:border>
      <x:left style="thin">
        <x:color rgb="FF6EC8E6"/>
      </x:left>
      <x:right style="thin">
        <x:color rgb="FF6EC8E6"/>
      </x:right>
      <x:top style="thin">
        <x:color rgb="FF6EC8E6"/>
      </x:top>
      <x:bottom style="thin">
        <x:color rgb="FF6EC8E6"/>
      </x:bottom>
    </x:border>
    <x:border>
      <x:bottom style="thin">
        <x:color rgb="FF6EC8E6"/>
      </x:bottom>
    </x:border>
    <x:border>
      <x:top style="thin">
        <x:color rgb="FF6EC8E6"/>
      </x:top>
      <x:bottom style="thin">
        <x:color rgb="FF6EC8E6"/>
      </x:bottom>
    </x:border>
    <x:border>
      <x:top style="thin">
        <x:color rgb="FF6EC8E6"/>
      </x:top>
    </x:border>
  </x:borders>
  <x:cellStyleXfs count="1">
    <x:xf numFmtId="0" fontId="0" fillId="0" borderId="0"/>
  </x:cellStyleXfs>
  <x:cellXfs count="17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center" wrapText="1"/>
    </x:xf>
    <x:xf numFmtId="0" fontId="0" fillId="5" borderId="0" xfId="0"/>
    <x:xf numFmtId="0" fontId="3" fillId="5" borderId="0" xfId="0"/>
    <x:xf numFmtId="0" fontId="0" fillId="0" borderId="0" xfId="0" applyAlignment="1">
      <x:alignment horizontal="right"/>
    </x:xf>
    <x:xf numFmtId="164" fontId="0" fillId="0" borderId="0" xfId="0" applyAlignment="1">
      <x:alignment horizontal="right"/>
    </x:xf>
    <x:xf numFmtId="3" fontId="0" fillId="0" borderId="0" xfId="0" applyAlignment="1">
      <x:alignment horizontal="right"/>
    </x:xf>
    <x:xf numFmtId="3" fontId="0" fillId="0" borderId="0" xfId="0"/>
    <x:xf numFmtId="0" fontId="0" fillId="6" borderId="0" xfId="0"/>
    <x:xf numFmtId="0" fontId="4" fillId="6" borderId="0" xfId="0"/>
    <x:xf numFmtId="0" fontId="0" fillId="7" borderId="0" xfId="0"/>
    <x:xf numFmtId="0" fontId="5" fillId="7" borderId="0" xfId="0"/>
    <x:xf numFmtId="0" fontId="6" fillId="6" borderId="0" xfId="0"/>
    <x:xf numFmtId="0" fontId="1" fillId="2" borderId="0" xfId="0" applyAlignment="1">
      <x:alignment vertical="center" wrapText="1"/>
    </x:xf>
    <x:xf numFmtId="0" fontId="0" fillId="0" borderId="0" xfId="0" applyAlignment="1">
      <x:alignment wrapText="1"/>
    </x:xf>
    <x:xf numFmtId="0" fontId="3" fillId="5" borderId="0" xfId="0" applyAlignment="1">
      <x:alignment wrapText="1"/>
    </x:xf>
    <x:xf numFmtId="164" fontId="0" fillId="0" borderId="0" xfId="0" applyAlignment="1">
      <x:alignment horizontal="right" wrapText="1"/>
    </x:xf>
    <x:xf numFmtId="3" fontId="0" fillId="0" borderId="0" xfId="0" applyAlignment="1">
      <x:alignment wrapText="1"/>
    </x:xf>
    <x:xf numFmtId="0" fontId="0" fillId="0" borderId="0" xfId="0" applyAlignment="1">
      <x:alignment horizontal="right" wrapText="1"/>
    </x:xf>
    <x:xf numFmtId="0" fontId="4" fillId="6" borderId="0" xfId="0" applyAlignment="1">
      <x:alignment wrapText="1"/>
    </x:xf>
    <x:xf numFmtId="3" fontId="0" fillId="0" borderId="0" xfId="0" applyAlignment="1">
      <x:alignment horizontal="right" wrapText="1"/>
    </x:xf>
    <x:xf numFmtId="0" fontId="5" fillId="7" borderId="0" xfId="0" applyAlignment="1">
      <x:alignment wrapText="1"/>
    </x:xf>
    <x:xf numFmtId="0" fontId="6" fillId="6" borderId="0" xfId="0" applyAlignment="1">
      <x:alignment wrapText="1"/>
    </x:xf>
    <x:xf numFmtId="0" fontId="7" fillId="4" borderId="0" xfId="0"/>
    <x:xf numFmtId="0" fontId="7" fillId="4" borderId="0" xfId="0" applyAlignment="1">
      <x:alignment wrapText="1"/>
    </x:xf>
    <x:xf numFmtId="0" fontId="0" fillId="8" borderId="0" xfId="0"/>
    <x:xf numFmtId="0" fontId="0" fillId="9" borderId="0" xfId="0"/>
    <x:xf numFmtId="0" fontId="8" fillId="8" borderId="0" xfId="0"/>
    <x:xf numFmtId="0" fontId="8" fillId="7" borderId="0" xfId="0"/>
    <x:xf numFmtId="0" fontId="8" fillId="6" borderId="0" xfId="0"/>
    <x:xf numFmtId="0" fontId="8" fillId="9" borderId="0" xfId="0"/>
    <x:xf numFmtId="0" fontId="8" fillId="8" borderId="2" xfId="0"/>
    <x:xf numFmtId="0" fontId="8" fillId="7" borderId="2" xfId="0"/>
    <x:xf numFmtId="0" fontId="8" fillId="6" borderId="2" xfId="0"/>
    <x:xf numFmtId="0" fontId="8" fillId="9" borderId="2" xfId="0"/>
    <x:xf numFmtId="0" fontId="8" fillId="8" borderId="3" xfId="0"/>
    <x:xf numFmtId="0" fontId="8" fillId="7" borderId="3" xfId="0"/>
    <x:xf numFmtId="0" fontId="8" fillId="6" borderId="3" xfId="0"/>
    <x:xf numFmtId="0" fontId="8" fillId="9" borderId="3" xfId="0"/>
    <x:xf numFmtId="0" fontId="8" fillId="8" borderId="4" xfId="0"/>
    <x:xf numFmtId="0" fontId="8" fillId="7" borderId="4" xfId="0"/>
    <x:xf numFmtId="0" fontId="8" fillId="6" borderId="4" xfId="0"/>
    <x:xf numFmtId="0" fontId="8" fillId="9" borderId="4" xfId="0"/>
    <x:xf numFmtId="0" fontId="8" fillId="8" borderId="2" xfId="0" applyAlignment="1">
      <x:alignment vertical="center"/>
    </x:xf>
    <x:xf numFmtId="0" fontId="8" fillId="7" borderId="2" xfId="0" applyAlignment="1">
      <x:alignment vertical="center"/>
    </x:xf>
    <x:xf numFmtId="0" fontId="8" fillId="6" borderId="2" xfId="0" applyAlignment="1">
      <x:alignment vertical="center"/>
    </x:xf>
    <x:xf numFmtId="0" fontId="8" fillId="9" borderId="2" xfId="0" applyAlignment="1">
      <x:alignment vertical="center"/>
    </x:xf>
    <x:xf numFmtId="0" fontId="8" fillId="8" borderId="3" xfId="0" applyAlignment="1">
      <x:alignment vertical="center"/>
    </x:xf>
    <x:xf numFmtId="0" fontId="8" fillId="7" borderId="3" xfId="0" applyAlignment="1">
      <x:alignment vertical="center"/>
    </x:xf>
    <x:xf numFmtId="0" fontId="8" fillId="6" borderId="3" xfId="0" applyAlignment="1">
      <x:alignment vertical="center"/>
    </x:xf>
    <x:xf numFmtId="0" fontId="8" fillId="9" borderId="3" xfId="0" applyAlignment="1">
      <x:alignment vertical="center"/>
    </x:xf>
    <x:xf numFmtId="0" fontId="8" fillId="8" borderId="4" xfId="0" applyAlignment="1">
      <x:alignment vertical="center"/>
    </x:xf>
    <x:xf numFmtId="0" fontId="8" fillId="7" borderId="4" xfId="0" applyAlignment="1">
      <x:alignment vertical="center"/>
    </x:xf>
    <x:xf numFmtId="0" fontId="8" fillId="6" borderId="4" xfId="0" applyAlignment="1">
      <x:alignment vertical="center"/>
    </x:xf>
    <x:xf numFmtId="0" fontId="8" fillId="9" borderId="4" xfId="0" applyAlignment="1">
      <x:alignment vertical="center"/>
    </x:xf>
    <x:xf numFmtId="164" fontId="8" fillId="8" borderId="2" xfId="0" applyAlignment="1">
      <x:alignment vertical="center"/>
    </x:xf>
    <x:xf numFmtId="164" fontId="8" fillId="8" borderId="3" xfId="0" applyAlignment="1">
      <x:alignment vertical="center"/>
    </x:xf>
    <x:xf numFmtId="164" fontId="8" fillId="8" borderId="4" xfId="0" applyAlignment="1">
      <x:alignment vertical="center"/>
    </x:xf>
    <x:xf numFmtId="164" fontId="8" fillId="7" borderId="2" xfId="0" applyAlignment="1">
      <x:alignment vertical="center"/>
    </x:xf>
    <x:xf numFmtId="164" fontId="8" fillId="7" borderId="3" xfId="0" applyAlignment="1">
      <x:alignment vertical="center"/>
    </x:xf>
    <x:xf numFmtId="164" fontId="8" fillId="7" borderId="4" xfId="0" applyAlignment="1">
      <x:alignment vertical="center"/>
    </x:xf>
    <x:xf numFmtId="1" fontId="8" fillId="6" borderId="2" xfId="0" applyAlignment="1">
      <x:alignment vertical="center"/>
    </x:xf>
    <x:xf numFmtId="1" fontId="8" fillId="6" borderId="3" xfId="0" applyAlignment="1">
      <x:alignment vertical="center"/>
    </x:xf>
    <x:xf numFmtId="1" fontId="8" fillId="6" borderId="4" xfId="0" applyAlignment="1">
      <x:alignment vertical="center"/>
    </x:xf>
    <x:xf numFmtId="164" fontId="8" fillId="8" borderId="2" xfId="0" applyAlignment="1">
      <x:alignment horizontal="center" vertical="center"/>
    </x:xf>
    <x:xf numFmtId="0" fontId="8" fillId="8" borderId="2" xfId="0" applyAlignment="1">
      <x:alignment horizontal="center" vertical="center"/>
    </x:xf>
    <x:xf numFmtId="164" fontId="8" fillId="7" borderId="2" xfId="0" applyAlignment="1">
      <x:alignment horizontal="center" vertical="center"/>
    </x:xf>
    <x:xf numFmtId="1" fontId="8" fillId="6" borderId="2" xfId="0" applyAlignment="1">
      <x:alignment horizontal="center" vertical="center"/>
    </x:xf>
    <x:xf numFmtId="0" fontId="8" fillId="6" borderId="2" xfId="0" applyAlignment="1">
      <x:alignment horizontal="center" vertical="center"/>
    </x:xf>
    <x:xf numFmtId="0" fontId="8" fillId="9" borderId="2" xfId="0" applyAlignment="1">
      <x:alignment horizontal="center" vertical="center"/>
    </x:xf>
    <x:xf numFmtId="164" fontId="8" fillId="8" borderId="3" xfId="0" applyAlignment="1">
      <x:alignment horizontal="center" vertical="center"/>
    </x:xf>
    <x:xf numFmtId="0" fontId="8" fillId="8" borderId="3" xfId="0" applyAlignment="1">
      <x:alignment horizontal="center" vertical="center"/>
    </x:xf>
    <x:xf numFmtId="164" fontId="8" fillId="7" borderId="3" xfId="0" applyAlignment="1">
      <x:alignment horizontal="center" vertical="center"/>
    </x:xf>
    <x:xf numFmtId="1" fontId="8" fillId="6" borderId="3" xfId="0" applyAlignment="1">
      <x:alignment horizontal="center" vertical="center"/>
    </x:xf>
    <x:xf numFmtId="0" fontId="8" fillId="6" borderId="3" xfId="0" applyAlignment="1">
      <x:alignment horizontal="center" vertical="center"/>
    </x:xf>
    <x:xf numFmtId="0" fontId="8" fillId="9" borderId="3" xfId="0" applyAlignment="1">
      <x:alignment horizontal="center" vertical="center"/>
    </x:xf>
    <x:xf numFmtId="164" fontId="8" fillId="8" borderId="4" xfId="0" applyAlignment="1">
      <x:alignment horizontal="center" vertical="center"/>
    </x:xf>
    <x:xf numFmtId="0" fontId="8" fillId="8" borderId="4" xfId="0" applyAlignment="1">
      <x:alignment horizontal="center" vertical="center"/>
    </x:xf>
    <x:xf numFmtId="164" fontId="8" fillId="7" borderId="4" xfId="0" applyAlignment="1">
      <x:alignment horizontal="center" vertical="center"/>
    </x:xf>
    <x:xf numFmtId="1" fontId="8" fillId="6" borderId="4" xfId="0" applyAlignment="1">
      <x:alignment horizontal="center" vertical="center"/>
    </x:xf>
    <x:xf numFmtId="0" fontId="8" fillId="6" borderId="4" xfId="0" applyAlignment="1">
      <x:alignment horizontal="center" vertical="center"/>
    </x:xf>
    <x:xf numFmtId="0" fontId="8" fillId="9" borderId="4" xfId="0" applyAlignment="1">
      <x:alignment horizontal="center" vertical="center"/>
    </x:xf>
    <x:xf numFmtId="0" fontId="8" fillId="9" borderId="2" xfId="0" applyAlignment="1">
      <x:alignment horizontal="left" vertical="center"/>
    </x:xf>
    <x:xf numFmtId="0" fontId="8" fillId="9" borderId="3" xfId="0" applyAlignment="1">
      <x:alignment horizontal="left" vertical="center"/>
    </x:xf>
    <x:xf numFmtId="0" fontId="8" fillId="9" borderId="4" xfId="0" applyAlignment="1">
      <x:alignment horizontal="left" vertical="center"/>
    </x:xf>
    <x:xf numFmtId="165" fontId="8" fillId="8" borderId="2" xfId="0" applyAlignment="1">
      <x:alignment vertical="center"/>
    </x:xf>
    <x:xf numFmtId="165" fontId="8" fillId="8" borderId="3" xfId="0" applyAlignment="1">
      <x:alignment vertical="center"/>
    </x:xf>
    <x:xf numFmtId="165" fontId="8" fillId="8" borderId="4" xfId="0" applyAlignment="1">
      <x:alignment vertical="center"/>
    </x:xf>
    <x:xf numFmtId="2" fontId="8" fillId="8" borderId="2" xfId="0" applyAlignment="1">
      <x:alignment vertical="center"/>
    </x:xf>
    <x:xf numFmtId="2" fontId="8" fillId="8" borderId="3" xfId="0" applyAlignment="1">
      <x:alignment vertical="center"/>
    </x:xf>
    <x:xf numFmtId="2" fontId="8" fillId="8" borderId="4" xfId="0" applyAlignment="1">
      <x:alignment vertical="center"/>
    </x:xf>
    <x:xf numFmtId="3" fontId="8" fillId="8" borderId="2" xfId="0" applyAlignment="1">
      <x:alignment vertical="center"/>
    </x:xf>
    <x:xf numFmtId="3" fontId="8" fillId="8" borderId="3" xfId="0" applyAlignment="1">
      <x:alignment vertical="center"/>
    </x:xf>
    <x:xf numFmtId="3" fontId="8" fillId="8" borderId="4" xfId="0" applyAlignment="1">
      <x:alignment vertical="center"/>
    </x:xf>
    <x:xf numFmtId="0" fontId="8" fillId="4" borderId="0" xfId="0"/>
    <x:xf numFmtId="0" fontId="8" fillId="4" borderId="2" xfId="0"/>
    <x:xf numFmtId="0" fontId="8" fillId="4" borderId="3" xfId="0"/>
    <x:xf numFmtId="0" fontId="8" fillId="4" borderId="4" xfId="0"/>
    <x:xf numFmtId="0" fontId="8" fillId="4" borderId="2" xfId="0" applyAlignment="1">
      <x:alignment vertical="center"/>
    </x:xf>
    <x:xf numFmtId="0" fontId="8" fillId="4" borderId="3" xfId="0" applyAlignment="1">
      <x:alignment vertical="center"/>
    </x:xf>
    <x:xf numFmtId="0" fontId="8" fillId="4" borderId="4" xfId="0" applyAlignment="1">
      <x:alignment vertical="center"/>
    </x:xf>
    <x:xf numFmtId="0" fontId="8" fillId="8" borderId="2" xfId="0" applyAlignment="1">
      <x:alignment horizontal="center" vertical="center" wrapText="1"/>
    </x:xf>
    <x:xf numFmtId="0" fontId="8" fillId="8" borderId="2" xfId="0" applyAlignment="1">
      <x:alignment vertical="center" wrapText="1"/>
    </x:xf>
    <x:xf numFmtId="164" fontId="8" fillId="8" borderId="2" xfId="0" applyAlignment="1">
      <x:alignment vertical="center" wrapText="1"/>
    </x:xf>
    <x:xf numFmtId="0" fontId="8" fillId="8" borderId="3" xfId="0" applyAlignment="1">
      <x:alignment horizontal="center" vertical="center" wrapText="1"/>
    </x:xf>
    <x:xf numFmtId="0" fontId="8" fillId="8" borderId="3" xfId="0" applyAlignment="1">
      <x:alignment vertical="center" wrapText="1"/>
    </x:xf>
    <x:xf numFmtId="164" fontId="8" fillId="8" borderId="3" xfId="0" applyAlignment="1">
      <x:alignment vertical="center" wrapText="1"/>
    </x:xf>
    <x:xf numFmtId="0" fontId="8" fillId="8" borderId="4" xfId="0" applyAlignment="1">
      <x:alignment horizontal="center" vertical="center" wrapText="1"/>
    </x:xf>
    <x:xf numFmtId="0" fontId="8" fillId="8" borderId="4" xfId="0" applyAlignment="1">
      <x:alignment vertical="center" wrapText="1"/>
    </x:xf>
    <x:xf numFmtId="164" fontId="8" fillId="8" borderId="4" xfId="0" applyAlignment="1">
      <x:alignment vertical="center" wrapText="1"/>
    </x:xf>
    <x:xf numFmtId="0" fontId="8" fillId="4" borderId="2" xfId="0" applyAlignment="1">
      <x:alignment vertical="center" wrapText="1"/>
    </x:xf>
    <x:xf numFmtId="0" fontId="8" fillId="4" borderId="3" xfId="0" applyAlignment="1">
      <x:alignment vertical="center" wrapText="1"/>
    </x:xf>
    <x:xf numFmtId="0" fontId="8" fillId="4" borderId="4" xfId="0" applyAlignment="1">
      <x:alignment vertical="center" wrapText="1"/>
    </x:xf>
    <x:xf numFmtId="0" fontId="8" fillId="0" borderId="0" xfId="0"/>
    <x:xf numFmtId="0" fontId="8" fillId="0" borderId="4" xfId="0"/>
    <x:xf numFmtId="0" fontId="8" fillId="0" borderId="4" xfId="0" applyAlignment="1">
      <x:alignment vertical="center"/>
    </x:xf>
    <x:xf numFmtId="0" fontId="8" fillId="10" borderId="4" xfId="0" applyAlignment="1">
      <x:alignment vertical="center"/>
    </x:xf>
    <x:xf numFmtId="0" fontId="9" fillId="10" borderId="4" xfId="0" applyAlignment="1">
      <x:alignment vertical="center"/>
    </x:xf>
    <x:xf numFmtId="0" fontId="8" fillId="8" borderId="2" xfId="0" applyAlignment="1">
      <x:alignment horizontal="right" vertical="center"/>
    </x:xf>
    <x:xf numFmtId="0" fontId="8" fillId="8" borderId="3" xfId="0" applyAlignment="1">
      <x:alignment horizontal="right" vertical="center"/>
    </x:xf>
    <x:xf numFmtId="0" fontId="9" fillId="10" borderId="4" xfId="0" applyAlignment="1">
      <x:alignment horizontal="right" vertical="center"/>
    </x:xf>
    <x:xf numFmtId="164" fontId="8" fillId="11" borderId="3" xfId="0" applyAlignment="1">
      <x:alignment horizontal="center" vertical="center"/>
    </x:xf>
    <x:xf numFmtId="164" fontId="8" fillId="11" borderId="4" xfId="0" applyAlignment="1">
      <x:alignment horizontal="center" vertical="center"/>
    </x:xf>
    <x:xf numFmtId="164" fontId="10" fillId="11" borderId="3" xfId="0" applyAlignment="1">
      <x:alignment horizontal="center" vertical="center"/>
    </x:xf>
    <x:xf numFmtId="164" fontId="10" fillId="11" borderId="4" xfId="0" applyAlignment="1">
      <x:alignment horizontal="center" vertical="center"/>
    </x:xf>
    <x:xf numFmtId="0" fontId="8" fillId="11" borderId="3" xfId="0" applyAlignment="1">
      <x:alignment horizontal="center" vertical="center" wrapText="1"/>
    </x:xf>
    <x:xf numFmtId="0" fontId="8" fillId="11" borderId="3" xfId="0" applyAlignment="1">
      <x:alignment vertical="center" wrapText="1"/>
    </x:xf>
    <x:xf numFmtId="164" fontId="8" fillId="11" borderId="3" xfId="0" applyAlignment="1">
      <x:alignment vertical="center" wrapText="1"/>
    </x:xf>
    <x:xf numFmtId="0" fontId="10" fillId="11" borderId="3" xfId="0" applyAlignment="1">
      <x:alignment horizontal="center" vertical="center" wrapText="1"/>
    </x:xf>
    <x:xf numFmtId="0" fontId="10" fillId="11" borderId="3" xfId="0" applyAlignment="1">
      <x:alignment vertical="center" wrapText="1"/>
    </x:xf>
    <x:xf numFmtId="164" fontId="10" fillId="11" borderId="3" xfId="0" applyAlignment="1">
      <x:alignment vertical="center" wrapText="1"/>
    </x:xf>
    <x:xf numFmtId="0" fontId="8" fillId="11" borderId="3" xfId="0" applyAlignment="1">
      <x:alignment horizontal="center" vertical="center"/>
    </x:xf>
    <x:xf numFmtId="0" fontId="8" fillId="11" borderId="3" xfId="0" applyAlignment="1">
      <x:alignment vertical="center"/>
    </x:xf>
    <x:xf numFmtId="0" fontId="8" fillId="11" borderId="3" xfId="0" applyAlignment="1">
      <x:alignment horizontal="right" vertical="center"/>
    </x:xf>
    <x:xf numFmtId="0" fontId="10" fillId="11" borderId="3" xfId="0" applyAlignment="1">
      <x:alignment horizontal="center" vertical="center"/>
    </x:xf>
    <x:xf numFmtId="0" fontId="10" fillId="11" borderId="3" xfId="0" applyAlignment="1">
      <x:alignment vertical="center"/>
    </x:xf>
    <x:xf numFmtId="0" fontId="10" fillId="11" borderId="3" xfId="0" applyAlignment="1">
      <x:alignment horizontal="right" vertical="center"/>
    </x:xf>
    <x:xf numFmtId="164" fontId="0" fillId="0" borderId="0" xfId="0" applyAlignment="1">
      <x:alignment horizontal="right" wrapText="1"/>
    </x:xf>
    <x:xf numFmtId="3" fontId="0" fillId="0" borderId="0" xfId="0" applyAlignment="1">
      <x:alignment wrapText="1"/>
    </x:xf>
    <x:xf numFmtId="3" fontId="0" fillId="0" borderId="0" xfId="0" applyAlignment="1">
      <x:alignment horizontal="right" wrapText="1"/>
    </x:xf>
    <x:xf numFmtId="164" fontId="8" fillId="8" borderId="2" xfId="0" applyAlignment="1">
      <x:alignment horizontal="center" vertical="center"/>
    </x:xf>
    <x:xf numFmtId="164" fontId="8" fillId="7" borderId="2" xfId="0" applyAlignment="1">
      <x:alignment horizontal="center" vertical="center"/>
    </x:xf>
    <x:xf numFmtId="1" fontId="8" fillId="6" borderId="2" xfId="0" applyAlignment="1">
      <x:alignment horizontal="center" vertical="center"/>
    </x:xf>
    <x:xf numFmtId="164" fontId="8" fillId="8" borderId="3" xfId="0" applyAlignment="1">
      <x:alignment horizontal="center" vertical="center"/>
    </x:xf>
    <x:xf numFmtId="164" fontId="8" fillId="7" borderId="3" xfId="0" applyAlignment="1">
      <x:alignment horizontal="center" vertical="center"/>
    </x:xf>
    <x:xf numFmtId="164" fontId="10" fillId="11" borderId="3" xfId="0" applyAlignment="1">
      <x:alignment horizontal="center" vertical="center"/>
    </x:xf>
    <x:xf numFmtId="1" fontId="8" fillId="6" borderId="3" xfId="0" applyAlignment="1">
      <x:alignment horizontal="center" vertical="center"/>
    </x:xf>
    <x:xf numFmtId="164" fontId="8" fillId="8" borderId="4" xfId="0" applyAlignment="1">
      <x:alignment horizontal="center" vertical="center"/>
    </x:xf>
    <x:xf numFmtId="164" fontId="8" fillId="7" borderId="4" xfId="0" applyAlignment="1">
      <x:alignment horizontal="center" vertical="center"/>
    </x:xf>
    <x:xf numFmtId="164" fontId="10" fillId="11" borderId="4" xfId="0" applyAlignment="1">
      <x:alignment horizontal="center" vertical="center"/>
    </x:xf>
    <x:xf numFmtId="1" fontId="8" fillId="6" borderId="4" xfId="0" applyAlignment="1">
      <x:alignment horizontal="center" vertical="center"/>
    </x:xf>
    <x:xf numFmtId="164" fontId="8" fillId="8" borderId="2" xfId="0" applyAlignment="1">
      <x:alignment vertical="center"/>
    </x:xf>
    <x:xf numFmtId="165" fontId="8" fillId="8" borderId="2" xfId="0" applyAlignment="1">
      <x:alignment vertical="center"/>
    </x:xf>
    <x:xf numFmtId="2" fontId="8" fillId="8" borderId="2" xfId="0" applyAlignment="1">
      <x:alignment vertical="center"/>
    </x:xf>
    <x:xf numFmtId="3" fontId="8" fillId="8" borderId="2" xfId="0" applyAlignment="1">
      <x:alignment vertical="center"/>
    </x:xf>
    <x:xf numFmtId="164" fontId="8" fillId="8" borderId="3" xfId="0" applyAlignment="1">
      <x:alignment vertical="center"/>
    </x:xf>
    <x:xf numFmtId="165" fontId="8" fillId="8" borderId="3" xfId="0" applyAlignment="1">
      <x:alignment vertical="center"/>
    </x:xf>
    <x:xf numFmtId="2" fontId="8" fillId="8" borderId="3" xfId="0" applyAlignment="1">
      <x:alignment vertical="center"/>
    </x:xf>
    <x:xf numFmtId="3" fontId="8" fillId="8" borderId="3" xfId="0" applyAlignment="1">
      <x:alignment vertical="center"/>
    </x:xf>
    <x:xf numFmtId="164" fontId="8" fillId="8" borderId="4" xfId="0" applyAlignment="1">
      <x:alignment vertical="center"/>
    </x:xf>
    <x:xf numFmtId="165" fontId="8" fillId="8" borderId="4" xfId="0" applyAlignment="1">
      <x:alignment vertical="center"/>
    </x:xf>
    <x:xf numFmtId="2" fontId="8" fillId="8" borderId="4" xfId="0" applyAlignment="1">
      <x:alignment vertical="center"/>
    </x:xf>
    <x:xf numFmtId="3" fontId="8" fillId="8" borderId="4" xfId="0" applyAlignment="1">
      <x:alignment vertical="center"/>
    </x:xf>
    <x:xf numFmtId="164" fontId="8" fillId="8" borderId="2" xfId="0" applyAlignment="1">
      <x:alignment vertical="center" wrapText="1"/>
    </x:xf>
    <x:xf numFmtId="164" fontId="10" fillId="11" borderId="3" xfId="0" applyAlignment="1">
      <x:alignment vertical="center" wrapText="1"/>
    </x:xf>
    <x:xf numFmtId="164" fontId="8" fillId="8" borderId="3" xfId="0" applyAlignment="1">
      <x:alignment vertical="center" wrapText="1"/>
    </x:xf>
    <x:xf numFmtId="164" fontId="8" fillId="8" borderId="4" xfId="0" applyAlignment="1">
      <x:alignment vertical="center" wrapText="1"/>
    </x:xf>
  </x:cellXfs>
  <x:cellStyles count="1">
    <x:cellStyle name="Normal" xfId="0"/>
  </x:cellStyles>
  <x:dxfs count="2">
    <x:dxf>
      <x:font>
        <x:color rgb="FF2E7D32"/>
      </x:font>
      <x:fill>
        <x:patternFill>
          <x:bgColor rgb="FFDDF2DF"/>
        </x:patternFill>
      </x:fill>
    </x:dxf>
    <x:dxf>
      <x:font>
        <x:color rgb="FFB3261E"/>
      </x:font>
      <x:fill>
        <x:patternFill>
          <x:bgColor rgb="FFFCE0E0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45db2cb7ba46fa" /><Relationship Type="http://schemas.openxmlformats.org/officeDocument/2006/relationships/theme" Target="/xl/theme/theme1.xml" Id="R5dbbc33519fb40d7" /><Relationship Type="http://schemas.openxmlformats.org/officeDocument/2006/relationships/sharedStrings" Target="/xl/sharedStrings.xml" Id="R0b8a406c361a4bba" /><Relationship Type="http://schemas.openxmlformats.org/officeDocument/2006/relationships/worksheet" Target="/xl/worksheets/sheet1.xml" Id="R87964c2862694f82" /><Relationship Type="http://schemas.openxmlformats.org/officeDocument/2006/relationships/worksheet" Target="/xl/worksheets/sheet2.xml" Id="Rbefb96a2c2764fae" /><Relationship Type="http://schemas.openxmlformats.org/officeDocument/2006/relationships/worksheet" Target="/xl/worksheets/sheet3.xml" Id="R4bc0f28d3ef94c15" /><Relationship Type="http://schemas.openxmlformats.org/officeDocument/2006/relationships/worksheet" Target="/xl/worksheets/sheet4.xml" Id="Rc07d5adc49f642e2" /><Relationship Type="http://schemas.openxmlformats.org/officeDocument/2006/relationships/worksheet" Target="/xl/worksheets/sheet5.xml" Id="R6fcc14807db14c83" /><Relationship Type="http://schemas.openxmlformats.org/officeDocument/2006/relationships/worksheet" Target="/xl/worksheets/sheet6.xml" Id="R80541189e4d740a9" /><Relationship Type="http://schemas.openxmlformats.org/officeDocument/2006/relationships/worksheet" Target="/xl/worksheets/sheet7.xml" Id="R5b3c6b6210044f5c" /><Relationship Type="http://schemas.openxmlformats.org/officeDocument/2006/relationships/worksheet" Target="/xl/worksheets/sheet8.xml" Id="R1fdf85d1777041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2" customWidth="1"/>
    <x:col min="3" max="3" width="4" customWidth="1"/>
    <x:col min="4" max="4" width="35" customWidth="1"/>
    <x:col min="5" max="5" width="26" customWidth="1"/>
  </x:cols>
  <x:sheetData>
    <x:row r="1" ht="30" customHeight="1">
      <x:c r="A1" s="25" t="inlineStr">
        <x:is>
          <x:t xml:space="preserve">LỊCH CRAWL MÁY PHỤ — 02/09: 12 CHECK-IN; TỪ 03/09: 10 CHECK-IN</x:t>
        </x:is>
      </x:c>
    </x:row>
    <x:row r="2">
      <x:c r="A2" s="26" t="n"/>
      <x:c r="B2" s="26" t="n"/>
      <x:c r="C2" s="26" t="n"/>
      <x:c r="D2" s="26" t="n"/>
      <x:c r="E2" s="26" t="n"/>
    </x:row>
    <x:row r="3" ht="30" customHeight="1">
      <x:c r="A3" s="9" t="inlineStr">
        <x:is>
          <x:t xml:space="preserve">Thông số</x:t>
        </x:is>
      </x:c>
      <x:c r="B3" s="9" t="inlineStr">
        <x:is>
          <x:t xml:space="preserve">Giá trị</x:t>
        </x:is>
      </x:c>
      <x:c r="C3" s="26" t="n"/>
      <x:c r="D3" s="9" t="inlineStr">
        <x:is>
          <x:t xml:space="preserve">Kiểm tra</x:t>
        </x:is>
      </x:c>
      <x:c r="E3" s="9" t="inlineStr">
        <x:is>
          <x:t xml:space="preserve">Kết quả</x:t>
        </x:is>
      </x:c>
    </x:row>
    <x:row r="4">
      <x:c r="A4" s="27" t="inlineStr">
        <x:is>
          <x:t xml:space="preserve">Ngày bắt đầu</x:t>
        </x:is>
      </x:c>
      <x:c r="B4" s="149" t="n">
        <x:v>46267</x:v>
      </x:c>
      <x:c r="C4" s="26" t="n"/>
      <x:c r="D4" s="27" t="inlineStr">
        <x:is>
          <x:t xml:space="preserve">Số ngày mong đợi</x:t>
        </x:is>
      </x:c>
      <x:c r="E4" s="150" t="n">
        <x:f>B5-B4+1</x:f>
        <x:v>90</x:v>
      </x:c>
    </x:row>
    <x:row r="5">
      <x:c r="A5" s="27" t="inlineStr">
        <x:is>
          <x:t xml:space="preserve">Ngày kết thúc</x:t>
        </x:is>
      </x:c>
      <x:c r="B5" s="149" t="n">
        <x:v>46356</x:v>
      </x:c>
      <x:c r="C5" s="26" t="n"/>
      <x:c r="D5" s="27" t="inlineStr">
        <x:is>
          <x:t xml:space="preserve">Số dòng lịch thực tế</x:t>
        </x:is>
      </x:c>
      <x:c r="E5" s="150" t="n">
        <x:f>ROWS('AUX_CRAWL_PLAN'!A4:A93)</x:f>
        <x:v>90</x:v>
      </x:c>
    </x:row>
    <x:row r="6">
      <x:c r="A6" s="27" t="inlineStr">
        <x:is>
          <x:t xml:space="preserve">Giờ bắt đầu mỗi ngày</x:t>
        </x:is>
      </x:c>
      <x:c r="B6" s="30" t="inlineStr">
        <x:is>
          <x:t xml:space="preserve">00:30</x:t>
        </x:is>
      </x:c>
      <x:c r="C6" s="26" t="n"/>
      <x:c r="D6" s="27" t="inlineStr">
        <x:is>
          <x:t xml:space="preserve">02/09 đủ 12; từ 03/09 đủ 10</x:t>
        </x:is>
      </x:c>
      <x:c r="E6" s="31" t="str">
        <x:f>IF(COUNTIF('AUX_CRAWL_PLAN'!S4:S93,"FAIL")=0,"PASS","FAIL")</x:f>
        <x:v>PASS</x:v>
      </x:c>
    </x:row>
    <x:row r="7">
      <x:c r="A7" s="27" t="inlineStr">
        <x:is>
          <x:t xml:space="preserve">Múi giờ</x:t>
        </x:is>
      </x:c>
      <x:c r="B7" s="30" t="inlineStr">
        <x:is>
          <x:t xml:space="preserve">Asia/Ho_Chi_Minh</x:t>
        </x:is>
      </x:c>
      <x:c r="C7" s="26" t="n"/>
      <x:c r="D7" s="27" t="inlineStr">
        <x:is>
          <x:t xml:space="preserve">Không trùng local chính</x:t>
        </x:is>
      </x:c>
      <x:c r="E7" s="31" t="str">
        <x:f>IF(COUNTIF('AUX_CRAWL_PLAN'!T4:T93,"FAIL")=0,"PASS","FAIL")</x:f>
        <x:v>PASS</x:v>
      </x:c>
    </x:row>
    <x:row r="8">
      <x:c r="A8" s="27" t="inlineStr">
        <x:is>
          <x:t xml:space="preserve">Tổng số ngày theo lịch</x:t>
        </x:is>
      </x:c>
      <x:c r="B8" s="151" t="n">
        <x:f>'AUX_CRAWL_PLAN'!A93-'AUX_CRAWL_PLAN'!A4+1</x:f>
        <x:v>90</x:v>
      </x:c>
      <x:c r="C8" s="26" t="n"/>
      <x:c r="D8" s="27" t="inlineStr">
        <x:is>
          <x:t xml:space="preserve">Không trùng VPS</x:t>
        </x:is>
      </x:c>
      <x:c r="E8" s="31" t="str">
        <x:f>IF(COUNTIF('AUX_CRAWL_PLAN'!U4:U93,"FAIL")=0,"PASS","FAIL")</x:f>
        <x:v>PASS</x:v>
      </x:c>
    </x:row>
    <x:row r="9">
      <x:c r="A9" s="27" t="inlineStr">
        <x:is>
          <x:t xml:space="preserve">Số khách sạn (cohort v2)</x:t>
        </x:is>
      </x:c>
      <x:c r="B9" s="151" t="n">
        <x:v>354</x:v>
      </x:c>
      <x:c r="C9" s="26" t="n"/>
      <x:c r="D9" s="27" t="inlineStr">
        <x:is>
          <x:t xml:space="preserve">Không trùng nội bộ máy phụ</x:t>
        </x:is>
      </x:c>
      <x:c r="E9" s="31" t="str">
        <x:f>IF(COUNTIF('AUX_CRAWL_PLAN'!V4:V93,"FAIL")=0,"PASS","FAIL")</x:f>
        <x:v>PASS</x:v>
      </x:c>
    </x:row>
    <x:row r="10">
      <x:c r="A10" s="27" t="inlineStr">
        <x:is>
          <x:t xml:space="preserve">Check-in mỗi ngày từ 03/09</x:t>
        </x:is>
      </x:c>
      <x:c r="B10" s="151" t="n">
        <x:v>10</x:v>
      </x:c>
      <x:c r="C10" s="26" t="n"/>
      <x:c r="D10" s="27" t="inlineStr">
        <x:is>
          <x:t xml:space="preserve">Benchmark capacity máy phụ</x:t>
        </x:is>
      </x:c>
      <x:c r="E10" s="33" t="str">
        <x:f>"PENDING"</x:f>
        <x:v>PENDING</x:v>
      </x:c>
    </x:row>
    <x:row r="11">
      <x:c r="A11" s="27" t="inlineStr">
        <x:is>
          <x:t xml:space="preserve">Item dự kiến mỗi ngày từ 03/09</x:t>
        </x:is>
      </x:c>
      <x:c r="B11" s="151" t="n">
        <x:f>B9*B10</x:f>
        <x:v>3540</x:v>
      </x:c>
      <x:c r="C11" s="26" t="n"/>
      <x:c r="D11" s="27" t="inlineStr">
        <x:is>
          <x:t xml:space="preserve">Dead-link two-confirmation đã deploy</x:t>
        </x:is>
      </x:c>
      <x:c r="E11" s="33" t="str">
        <x:f>"PENDING"</x:f>
        <x:v>PENDING</x:v>
      </x:c>
    </x:row>
    <x:row r="12">
      <x:c r="A12" s="27" t="inlineStr">
        <x:is>
          <x:t xml:space="preserve">Tổng item lý thuyết</x:t>
        </x:is>
      </x:c>
      <x:c r="B12" s="151" t="n">
        <x:f>B9*12+B9*B10*(B8-1)</x:f>
        <x:v>319308</x:v>
      </x:c>
      <x:c r="C12" s="26" t="n"/>
      <x:c r="D12" s="27" t="inlineStr">
        <x:is>
          <x:t xml:space="preserve">Trạng thái kỹ thuật workbook</x:t>
        </x:is>
      </x:c>
      <x:c r="E12" s="34" t="str">
        <x:f>IF(AND(E4=E5,E6="PASS",E7="PASS",E8="PASS",E9="PASS"),"PASS — chờ 2 gate vận hành","FAIL")</x:f>
        <x:v>PASS — chờ 2 gate vận hành</x:v>
      </x:c>
    </x:row>
    <x:row r="13">
      <x:c r="A13" s="27" t="inlineStr">
        <x:is>
          <x:t xml:space="preserve">Đã hoàn thành</x:t>
        </x:is>
      </x:c>
      <x:c r="B13" s="151" t="n">
        <x:f>COUNTIF('CRAWL_LOG'!B4:B93,"Hoàn thành*")</x:f>
        <x:v>0</x:v>
      </x:c>
      <x:c r="C13" s="26" t="n"/>
      <x:c r="D13" s="26" t="n"/>
      <x:c r="E13" s="26" t="n"/>
    </x:row>
    <x:row r="14">
      <x:c r="A14" s="27" t="inlineStr">
        <x:is>
          <x:t xml:space="preserve">Chưa chạy</x:t>
        </x:is>
      </x:c>
      <x:c r="B14" s="151" t="n">
        <x:f>COUNTIF('CRAWL_LOG'!B4:B93,"Chưa chạy")</x:f>
        <x:v>89</x:v>
      </x:c>
      <x:c r="C14" s="26" t="n"/>
      <x:c r="D14" s="26" t="n"/>
      <x:c r="E14" s="26" t="n"/>
    </x:row>
    <x:row r="15">
      <x:c r="A15" s="26" t="n"/>
      <x:c r="B15" s="26" t="n"/>
      <x:c r="C15" s="26" t="n"/>
      <x:c r="D15" s="26" t="n"/>
      <x:c r="E15" s="26" t="n"/>
    </x:row>
    <x:row r="16">
      <x:c r="A16" s="13" t="inlineStr">
        <x:is>
          <x:t xml:space="preserve">Máy phụ là nguồn thứ ba độc lập (local_aux). Lượt 02/09 giữ 12 check-in; từ 03/09 dùng 7 near + 3 far để giảm tải. Cohort v2 có 354 khách sạn. Không thay đổi lịch local chính hoặc VPS.</x:t>
        </x:is>
      </x:c>
    </x:row>
    <x:row r="17"/>
  </x:sheetData>
  <x:mergeCells>
    <x:mergeCell ref="A1:E1"/>
    <x:mergeCell ref="A16:E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2" customWidth="1"/>
    <x:col min="3" max="3" width="11" customWidth="1"/>
    <x:col min="4" max="4" width="15" customWidth="1"/>
    <x:col min="5" max="5" width="13" customWidth="1"/>
    <x:col min="6" max="6" width="13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13" customWidth="1"/>
    <x:col min="17" max="17" width="10" customWidth="1"/>
    <x:col min="18" max="18" width="10" customWidth="1"/>
    <x:col min="19" max="19" width="18" customWidth="1"/>
    <x:col min="20" max="20" width="18" customWidth="1"/>
    <x:col min="21" max="21" width="18" customWidth="1"/>
    <x:col min="22" max="22" width="18" customWidth="1"/>
    <x:col min="23" max="23" width="18" customWidth="1"/>
    <x:col min="24" max="24" width="42" customWidth="1"/>
  </x:cols>
  <x:sheetData>
    <x:row r="1" ht="30" customHeight="1">
      <x:c r="A1" s="3" t="inlineStr">
        <x:is>
          <x:t xml:space="preserve">AUX-LOCAL CRAWL PLAN — 02/09: 12 SLOT; TỪ 03/09: 10 SLOT (7 NEAR + 3 FAR)</x:t>
        </x:is>
      </x:c>
    </x:row>
    <x:row r="2">
      <x:c r="A2" s="36" t="inlineStr">
        <x:is>
          <x:t xml:space="preserve">Từ 03/09, AN2 và AN3 ngừng sử dụng; giữ AN1, AN4–AN9 và AF1–AF3. Mọi ngày vẫn đối chiếu local chính/VPS; roll khi check-in &lt; crawl date; lead time 0 hợp lệ.</x:t>
        </x:is>
      </x:c>
    </x:row>
    <x:row r="3" ht="30" customHeight="1">
      <x:c r="A3" s="9" t="inlineStr">
        <x:is>
          <x:t xml:space="preserve">Crawl date</x:t>
        </x:is>
      </x:c>
      <x:c r="B3" s="9" t="inlineStr">
        <x:is>
          <x:t xml:space="preserve">Thứ</x:t>
        </x:is>
      </x:c>
      <x:c r="C3" s="9" t="inlineStr">
        <x:is>
          <x:t xml:space="preserve">Phase</x:t>
        </x:is>
      </x:c>
      <x:c r="D3" s="9" t="inlineStr">
        <x:is>
          <x:t xml:space="preserve">Start time (ICT)</x:t>
        </x:is>
      </x:c>
      <x:c r="E3" s="9" t="inlineStr">
        <x:is>
          <x:t xml:space="preserve">AN1</x:t>
        </x:is>
      </x:c>
      <x:c r="F3" s="9" t="inlineStr">
        <x:is>
          <x:t xml:space="preserve">AN2 (chỉ 02/09)</x:t>
        </x:is>
      </x:c>
      <x:c r="G3" s="9" t="inlineStr">
        <x:is>
          <x:t xml:space="preserve">AN3 (chỉ 02/09)</x:t>
        </x:is>
      </x:c>
      <x:c r="H3" s="9" t="inlineStr">
        <x:is>
          <x:t xml:space="preserve">AN4</x:t>
        </x:is>
      </x:c>
      <x:c r="I3" s="9" t="inlineStr">
        <x:is>
          <x:t xml:space="preserve">AN5</x:t>
        </x:is>
      </x:c>
      <x:c r="J3" s="9" t="inlineStr">
        <x:is>
          <x:t xml:space="preserve">AN6</x:t>
        </x:is>
      </x:c>
      <x:c r="K3" s="9" t="inlineStr">
        <x:is>
          <x:t xml:space="preserve">AN7</x:t>
        </x:is>
      </x:c>
      <x:c r="L3" s="9" t="inlineStr">
        <x:is>
          <x:t xml:space="preserve">AN8</x:t>
        </x:is>
      </x:c>
      <x:c r="M3" s="9" t="inlineStr">
        <x:is>
          <x:t xml:space="preserve">AN9</x:t>
        </x:is>
      </x:c>
      <x:c r="N3" s="9" t="inlineStr">
        <x:is>
          <x:t xml:space="preserve">AF1</x:t>
        </x:is>
      </x:c>
      <x:c r="O3" s="9" t="inlineStr">
        <x:is>
          <x:t xml:space="preserve">AF2</x:t>
        </x:is>
      </x:c>
      <x:c r="P3" s="9" t="inlineStr">
        <x:is>
          <x:t xml:space="preserve">AF3</x:t>
        </x:is>
      </x:c>
      <x:c r="Q3" s="9" t="inlineStr">
        <x:is>
          <x:t xml:space="preserve">Min lead</x:t>
        </x:is>
      </x:c>
      <x:c r="R3" s="9" t="inlineStr">
        <x:is>
          <x:t xml:space="preserve">Max lead</x:t>
        </x:is>
      </x:c>
      <x:c r="S3" s="9" t="inlineStr">
        <x:is>
          <x:t xml:space="preserve">Số ngày hợp lệ</x:t>
        </x:is>
      </x:c>
      <x:c r="T3" s="9" t="inlineStr">
        <x:is>
          <x:t xml:space="preserve">Không trùng local</x:t>
        </x:is>
      </x:c>
      <x:c r="U3" s="9" t="inlineStr">
        <x:is>
          <x:t xml:space="preserve">Không trùng VPS</x:t>
        </x:is>
      </x:c>
      <x:c r="V3" s="9" t="inlineStr">
        <x:is>
          <x:t xml:space="preserve">Không trùng nội bộ</x:t>
        </x:is>
      </x:c>
      <x:c r="W3" s="9" t="inlineStr">
        <x:is>
          <x:t xml:space="preserve">Crawl status</x:t>
        </x:is>
      </x:c>
      <x:c r="X3" s="9" t="inlineStr">
        <x:is>
          <x:t xml:space="preserve">Sampling note</x:t>
        </x:is>
      </x:c>
    </x:row>
    <x:row r="4">
      <x:c r="A4" s="152" t="n">
        <x:v>46267</x:v>
      </x:c>
      <x:c r="B4" s="77" t="inlineStr">
        <x:is>
          <x:t xml:space="preserve">Thứ Tư</x:t>
        </x:is>
      </x:c>
      <x:c r="C4" s="77" t="inlineStr">
        <x:is>
          <x:t xml:space="preserve">Official</x:t>
        </x:is>
      </x:c>
      <x:c r="D4" s="77" t="inlineStr">
        <x:is>
          <x:t xml:space="preserve">00:30</x:t>
        </x:is>
      </x:c>
      <x:c r="E4" s="153" t="n">
        <x:f>'SLOT_RULES'!$D$4+IF($A4&lt;='SLOT_RULES'!$D$4,0,INT(($A4-'SLOT_RULES'!$D$4-1)/'SLOT_RULES'!$E$4)+1)*'SLOT_RULES'!$E$4</x:f>
        <x:v>46269</x:v>
      </x:c>
      <x:c r="F4" s="153" t="n">
        <x:f>'SLOT_RULES'!$D$5+IF($A4&lt;='SLOT_RULES'!$D$5,0,INT(($A4-'SLOT_RULES'!$D$5-1)/'SLOT_RULES'!$E$5)+1)*'SLOT_RULES'!$E$5</x:f>
        <x:v>46276</x:v>
      </x:c>
      <x:c r="G4" s="153" t="n">
        <x:f>'SLOT_RULES'!$D$6+IF($A4&lt;='SLOT_RULES'!$D$6,0,INT(($A4-'SLOT_RULES'!$D$6-1)/'SLOT_RULES'!$E$6)+1)*'SLOT_RULES'!$E$6</x:f>
        <x:v>46283</x:v>
      </x:c>
      <x:c r="H4" s="153" t="n">
        <x:f>'SLOT_RULES'!$D$7+IF($A4&lt;='SLOT_RULES'!$D$7,0,INT(($A4-'SLOT_RULES'!$D$7-1)/'SLOT_RULES'!$E$7)+1)*'SLOT_RULES'!$E$7</x:f>
        <x:v>46290</x:v>
      </x:c>
      <x:c r="I4" s="153" t="n">
        <x:f>'SLOT_RULES'!$D$8+IF($A4&lt;='SLOT_RULES'!$D$8,0,INT(($A4-'SLOT_RULES'!$D$8-1)/'SLOT_RULES'!$E$8)+1)*'SLOT_RULES'!$E$8</x:f>
        <x:v>46272</x:v>
      </x:c>
      <x:c r="J4" s="153" t="n">
        <x:f>'SLOT_RULES'!$D$9+IF($A4&lt;='SLOT_RULES'!$D$9,0,INT(($A4-'SLOT_RULES'!$D$9-1)/'SLOT_RULES'!$E$9)+1)*'SLOT_RULES'!$E$9</x:f>
        <x:v>46286</x:v>
      </x:c>
      <x:c r="K4" s="153" t="n">
        <x:f>'SLOT_RULES'!$D$10+IF($A4&lt;='SLOT_RULES'!$D$10,0,INT(($A4-'SLOT_RULES'!$D$10-1)/'SLOT_RULES'!$E$10)+1)*'SLOT_RULES'!$E$10</x:f>
        <x:v>46273</x:v>
      </x:c>
      <x:c r="L4" s="153" t="n">
        <x:f>'SLOT_RULES'!$D$11+IF($A4&lt;='SLOT_RULES'!$D$11,0,INT(($A4-'SLOT_RULES'!$D$11-1)/'SLOT_RULES'!$E$11)+1)*'SLOT_RULES'!$E$11</x:f>
        <x:v>46280</x:v>
      </x:c>
      <x:c r="M4" s="153" t="n">
        <x:f>'SLOT_RULES'!$D$12+IF($A4&lt;='SLOT_RULES'!$D$12,0,INT(($A4-'SLOT_RULES'!$D$12-1)/'SLOT_RULES'!$E$12)+1)*'SLOT_RULES'!$E$12</x:f>
        <x:v>46285</x:v>
      </x:c>
      <x:c r="N4" s="153" t="n">
        <x:f>'SLOT_RULES'!$D$13+IF($A4&lt;='SLOT_RULES'!$D$13,0,INT(($A4-'SLOT_RULES'!$D$13-1)/'SLOT_RULES'!$E$13)+1)*'SLOT_RULES'!$E$13</x:f>
        <x:v>46321</x:v>
      </x:c>
      <x:c r="O4" s="153" t="n">
        <x:f>'SLOT_RULES'!$D$14+IF($A4&lt;='SLOT_RULES'!$D$14,0,INT(($A4-'SLOT_RULES'!$D$14-1)/'SLOT_RULES'!$E$14)+1)*'SLOT_RULES'!$E$14</x:f>
        <x:v>46350</x:v>
      </x:c>
      <x:c r="P4" s="153" t="n">
        <x:f>'SLOT_RULES'!$D$15+IF($A4&lt;='SLOT_RULES'!$D$15,0,INT(($A4-'SLOT_RULES'!$D$15-1)/'SLOT_RULES'!$E$15)+1)*'SLOT_RULES'!$E$15</x:f>
        <x:v>46422</x:v>
      </x:c>
      <x:c r="Q4" s="154" t="n">
        <x:f>MIN(E4:P4)-A4</x:f>
        <x:v>2</x:v>
      </x:c>
      <x:c r="R4" s="154" t="n">
        <x:f>MAX(E4:P4)-A4</x:f>
        <x:v>155</x:v>
      </x:c>
      <x:c r="S4" s="80" t="str">
        <x:f>IF(AND(COUNT(E4:P4)=12,MIN(E4:P4)&gt;=A4),"PASS","FAIL")</x:f>
        <x:v>PASS</x:v>
      </x:c>
      <x:c r="T4" s="80" t="str">
        <x: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x:f>
        <x:v>PASS</x:v>
      </x:c>
      <x:c r="U4" s="80" t="str">
        <x: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x:f>
        <x:v>PASS</x:v>
      </x:c>
      <x:c r="V4" s="80" t="str">
        <x: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x:f>
        <x:v>PASS</x:v>
      </x:c>
      <x:c r="W4" s="81" t="str">
        <x:f>'CRAWL_LOG'!B4</x:f>
        <x:v>Hoàn thành có lỗi</x:v>
      </x:c>
      <x:c r="X4" s="94" t="inlineStr">
        <x:is>
          <x:t xml:space="preserve">Lượt đầu 02/09 giữ 12 slot; chuyển sang 10 slot từ ngày kế tiếp</x:t>
        </x:is>
      </x:c>
    </x:row>
    <x:row r="5">
      <x:c r="A5" s="155" t="n">
        <x:v>46268</x:v>
      </x:c>
      <x:c r="B5" s="83" t="inlineStr">
        <x:is>
          <x:t xml:space="preserve">Thứ Năm</x:t>
        </x:is>
      </x:c>
      <x:c r="C5" s="83" t="inlineStr">
        <x:is>
          <x:t xml:space="preserve">Official</x:t>
        </x:is>
      </x:c>
      <x:c r="D5" s="83" t="inlineStr">
        <x:is>
          <x:t xml:space="preserve">00:30</x:t>
        </x:is>
      </x:c>
      <x:c r="E5" s="156" t="n">
        <x:f>'SLOT_RULES'!$D$4+IF($A5&lt;='SLOT_RULES'!$D$4,0,INT(($A5-'SLOT_RULES'!$D$4-1)/'SLOT_RULES'!$E$4)+1)*'SLOT_RULES'!$E$4</x:f>
        <x:v>46269</x:v>
      </x:c>
      <x:c r="F5" s="157" t="n"/>
      <x:c r="G5" s="157" t="n"/>
      <x:c r="H5" s="156" t="n">
        <x:f>'SLOT_RULES'!$D$7+IF($A5&lt;='SLOT_RULES'!$D$7,0,INT(($A5-'SLOT_RULES'!$D$7-1)/'SLOT_RULES'!$E$7)+1)*'SLOT_RULES'!$E$7</x:f>
        <x:v>46290</x:v>
      </x:c>
      <x:c r="I5" s="156" t="n">
        <x:f>'SLOT_RULES'!$D$8+IF($A5&lt;='SLOT_RULES'!$D$8,0,INT(($A5-'SLOT_RULES'!$D$8-1)/'SLOT_RULES'!$E$8)+1)*'SLOT_RULES'!$E$8</x:f>
        <x:v>46272</x:v>
      </x:c>
      <x:c r="J5" s="156" t="n">
        <x:f>'SLOT_RULES'!$D$9+IF($A5&lt;='SLOT_RULES'!$D$9,0,INT(($A5-'SLOT_RULES'!$D$9-1)/'SLOT_RULES'!$E$9)+1)*'SLOT_RULES'!$E$9</x:f>
        <x:v>46286</x:v>
      </x:c>
      <x:c r="K5" s="156" t="n">
        <x:f>'SLOT_RULES'!$D$10+IF($A5&lt;='SLOT_RULES'!$D$10,0,INT(($A5-'SLOT_RULES'!$D$10-1)/'SLOT_RULES'!$E$10)+1)*'SLOT_RULES'!$E$10</x:f>
        <x:v>46273</x:v>
      </x:c>
      <x:c r="L5" s="156" t="n">
        <x:f>'SLOT_RULES'!$D$11+IF($A5&lt;='SLOT_RULES'!$D$11,0,INT(($A5-'SLOT_RULES'!$D$11-1)/'SLOT_RULES'!$E$11)+1)*'SLOT_RULES'!$E$11</x:f>
        <x:v>46280</x:v>
      </x:c>
      <x:c r="M5" s="156" t="n">
        <x:f>'SLOT_RULES'!$D$12+IF($A5&lt;='SLOT_RULES'!$D$12,0,INT(($A5-'SLOT_RULES'!$D$12-1)/'SLOT_RULES'!$E$12)+1)*'SLOT_RULES'!$E$12</x:f>
        <x:v>46285</x:v>
      </x:c>
      <x:c r="N5" s="156" t="n">
        <x:f>'SLOT_RULES'!$D$13+IF($A5&lt;='SLOT_RULES'!$D$13,0,INT(($A5-'SLOT_RULES'!$D$13-1)/'SLOT_RULES'!$E$13)+1)*'SLOT_RULES'!$E$13</x:f>
        <x:v>46321</x:v>
      </x:c>
      <x:c r="O5" s="156" t="n">
        <x:f>'SLOT_RULES'!$D$14+IF($A5&lt;='SLOT_RULES'!$D$14,0,INT(($A5-'SLOT_RULES'!$D$14-1)/'SLOT_RULES'!$E$14)+1)*'SLOT_RULES'!$E$14</x:f>
        <x:v>46350</x:v>
      </x:c>
      <x:c r="P5" s="156" t="n">
        <x:f>'SLOT_RULES'!$D$15+IF($A5&lt;='SLOT_RULES'!$D$15,0,INT(($A5-'SLOT_RULES'!$D$15-1)/'SLOT_RULES'!$E$15)+1)*'SLOT_RULES'!$E$15</x:f>
        <x:v>46422</x:v>
      </x:c>
      <x:c r="Q5" s="158" t="n">
        <x:f>MIN(E5:P5)-A5</x:f>
        <x:v>1</x:v>
      </x:c>
      <x:c r="R5" s="158" t="n">
        <x:f>MAX(E5:P5)-A5</x:f>
        <x:v>154</x:v>
      </x:c>
      <x:c r="S5" s="86" t="str">
        <x:f>IF(AND(COUNT(E5:P5)=10,MIN(E5:P5)&gt;=A5),"PASS","FAIL")</x:f>
        <x:v>PASS</x:v>
      </x:c>
      <x:c r="T5" s="86" t="str">
        <x: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x:f>
        <x:v>PASS</x:v>
      </x:c>
      <x:c r="U5" s="86" t="str">
        <x: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x:f>
        <x:v>PASS</x:v>
      </x:c>
      <x:c r="V5" s="86" t="str">
        <x: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x:f>
        <x:v>PASS</x:v>
      </x:c>
      <x:c r="W5" s="87" t="str">
        <x:f>'CRAWL_LOG'!B5</x:f>
        <x:v>Chưa chạy</x:v>
      </x:c>
      <x:c r="X5" s="95" t="inlineStr">
        <x:is>
          <x:t xml:space="preserve">10-slot panel: 7 near + 3 far; AN2/AN3 inactive from 03/09</x:t>
        </x:is>
      </x:c>
    </x:row>
    <x:row r="6">
      <x:c r="A6" s="155" t="n">
        <x:v>46269</x:v>
      </x:c>
      <x:c r="B6" s="83" t="inlineStr">
        <x:is>
          <x:t xml:space="preserve">Thứ Sáu</x:t>
        </x:is>
      </x:c>
      <x:c r="C6" s="83" t="inlineStr">
        <x:is>
          <x:t xml:space="preserve">Official</x:t>
        </x:is>
      </x:c>
      <x:c r="D6" s="83" t="inlineStr">
        <x:is>
          <x:t xml:space="preserve">00:30</x:t>
        </x:is>
      </x:c>
      <x:c r="E6" s="156" t="n">
        <x:f>'SLOT_RULES'!$D$4+IF($A6&lt;='SLOT_RULES'!$D$4,0,INT(($A6-'SLOT_RULES'!$D$4-1)/'SLOT_RULES'!$E$4)+1)*'SLOT_RULES'!$E$4</x:f>
        <x:v>46269</x:v>
      </x:c>
      <x:c r="F6" s="157" t="n"/>
      <x:c r="G6" s="157" t="n"/>
      <x:c r="H6" s="156" t="n">
        <x:f>'SLOT_RULES'!$D$7+IF($A6&lt;='SLOT_RULES'!$D$7,0,INT(($A6-'SLOT_RULES'!$D$7-1)/'SLOT_RULES'!$E$7)+1)*'SLOT_RULES'!$E$7</x:f>
        <x:v>46290</x:v>
      </x:c>
      <x:c r="I6" s="156" t="n">
        <x:f>'SLOT_RULES'!$D$8+IF($A6&lt;='SLOT_RULES'!$D$8,0,INT(($A6-'SLOT_RULES'!$D$8-1)/'SLOT_RULES'!$E$8)+1)*'SLOT_RULES'!$E$8</x:f>
        <x:v>46272</x:v>
      </x:c>
      <x:c r="J6" s="156" t="n">
        <x:f>'SLOT_RULES'!$D$9+IF($A6&lt;='SLOT_RULES'!$D$9,0,INT(($A6-'SLOT_RULES'!$D$9-1)/'SLOT_RULES'!$E$9)+1)*'SLOT_RULES'!$E$9</x:f>
        <x:v>46286</x:v>
      </x:c>
      <x:c r="K6" s="156" t="n">
        <x:f>'SLOT_RULES'!$D$10+IF($A6&lt;='SLOT_RULES'!$D$10,0,INT(($A6-'SLOT_RULES'!$D$10-1)/'SLOT_RULES'!$E$10)+1)*'SLOT_RULES'!$E$10</x:f>
        <x:v>46273</x:v>
      </x:c>
      <x:c r="L6" s="156" t="n">
        <x:f>'SLOT_RULES'!$D$11+IF($A6&lt;='SLOT_RULES'!$D$11,0,INT(($A6-'SLOT_RULES'!$D$11-1)/'SLOT_RULES'!$E$11)+1)*'SLOT_RULES'!$E$11</x:f>
        <x:v>46280</x:v>
      </x:c>
      <x:c r="M6" s="156" t="n">
        <x:f>'SLOT_RULES'!$D$12+IF($A6&lt;='SLOT_RULES'!$D$12,0,INT(($A6-'SLOT_RULES'!$D$12-1)/'SLOT_RULES'!$E$12)+1)*'SLOT_RULES'!$E$12</x:f>
        <x:v>46285</x:v>
      </x:c>
      <x:c r="N6" s="156" t="n">
        <x:f>'SLOT_RULES'!$D$13+IF($A6&lt;='SLOT_RULES'!$D$13,0,INT(($A6-'SLOT_RULES'!$D$13-1)/'SLOT_RULES'!$E$13)+1)*'SLOT_RULES'!$E$13</x:f>
        <x:v>46321</x:v>
      </x:c>
      <x:c r="O6" s="156" t="n">
        <x:f>'SLOT_RULES'!$D$14+IF($A6&lt;='SLOT_RULES'!$D$14,0,INT(($A6-'SLOT_RULES'!$D$14-1)/'SLOT_RULES'!$E$14)+1)*'SLOT_RULES'!$E$14</x:f>
        <x:v>46350</x:v>
      </x:c>
      <x:c r="P6" s="156" t="n">
        <x:f>'SLOT_RULES'!$D$15+IF($A6&lt;='SLOT_RULES'!$D$15,0,INT(($A6-'SLOT_RULES'!$D$15-1)/'SLOT_RULES'!$E$15)+1)*'SLOT_RULES'!$E$15</x:f>
        <x:v>46422</x:v>
      </x:c>
      <x:c r="Q6" s="158" t="n">
        <x:f>MIN(E6:P6)-A6</x:f>
        <x:v>0</x:v>
      </x:c>
      <x:c r="R6" s="158" t="n">
        <x:f>MAX(E6:P6)-A6</x:f>
        <x:v>153</x:v>
      </x:c>
      <x:c r="S6" s="86" t="str">
        <x:f>IF(AND(COUNT(E6:P6)=10,MIN(E6:P6)&gt;=A6),"PASS","FAIL")</x:f>
        <x:v>PASS</x:v>
      </x:c>
      <x:c r="T6" s="86" t="str">
        <x: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x:f>
        <x:v>PASS</x:v>
      </x:c>
      <x:c r="U6" s="86" t="str">
        <x: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x:f>
        <x:v>PASS</x:v>
      </x:c>
      <x:c r="V6" s="86" t="str">
        <x: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x:f>
        <x:v>PASS</x:v>
      </x:c>
      <x:c r="W6" s="87" t="str">
        <x:f>'CRAWL_LOG'!B6</x:f>
        <x:v>Chưa chạy</x:v>
      </x:c>
      <x:c r="X6" s="95" t="inlineStr">
        <x:is>
          <x:t xml:space="preserve">10-slot panel: 7 near + 3 far; AN2/AN3 inactive from 03/09</x:t>
        </x:is>
      </x:c>
    </x:row>
    <x:row r="7">
      <x:c r="A7" s="155" t="n">
        <x:v>46270</x:v>
      </x:c>
      <x:c r="B7" s="83" t="inlineStr">
        <x:is>
          <x:t xml:space="preserve">Thứ Bảy</x:t>
        </x:is>
      </x:c>
      <x:c r="C7" s="83" t="inlineStr">
        <x:is>
          <x:t xml:space="preserve">Official</x:t>
        </x:is>
      </x:c>
      <x:c r="D7" s="83" t="inlineStr">
        <x:is>
          <x:t xml:space="preserve">00:30</x:t>
        </x:is>
      </x:c>
      <x:c r="E7" s="156" t="n">
        <x:f>'SLOT_RULES'!$D$4+IF($A7&lt;='SLOT_RULES'!$D$4,0,INT(($A7-'SLOT_RULES'!$D$4-1)/'SLOT_RULES'!$E$4)+1)*'SLOT_RULES'!$E$4</x:f>
        <x:v>46297</x:v>
      </x:c>
      <x:c r="F7" s="157" t="n"/>
      <x:c r="G7" s="157" t="n"/>
      <x:c r="H7" s="156" t="n">
        <x:f>'SLOT_RULES'!$D$7+IF($A7&lt;='SLOT_RULES'!$D$7,0,INT(($A7-'SLOT_RULES'!$D$7-1)/'SLOT_RULES'!$E$7)+1)*'SLOT_RULES'!$E$7</x:f>
        <x:v>46290</x:v>
      </x:c>
      <x:c r="I7" s="156" t="n">
        <x:f>'SLOT_RULES'!$D$8+IF($A7&lt;='SLOT_RULES'!$D$8,0,INT(($A7-'SLOT_RULES'!$D$8-1)/'SLOT_RULES'!$E$8)+1)*'SLOT_RULES'!$E$8</x:f>
        <x:v>46272</x:v>
      </x:c>
      <x:c r="J7" s="156" t="n">
        <x:f>'SLOT_RULES'!$D$9+IF($A7&lt;='SLOT_RULES'!$D$9,0,INT(($A7-'SLOT_RULES'!$D$9-1)/'SLOT_RULES'!$E$9)+1)*'SLOT_RULES'!$E$9</x:f>
        <x:v>46286</x:v>
      </x:c>
      <x:c r="K7" s="156" t="n">
        <x:f>'SLOT_RULES'!$D$10+IF($A7&lt;='SLOT_RULES'!$D$10,0,INT(($A7-'SLOT_RULES'!$D$10-1)/'SLOT_RULES'!$E$10)+1)*'SLOT_RULES'!$E$10</x:f>
        <x:v>46273</x:v>
      </x:c>
      <x:c r="L7" s="156" t="n">
        <x:f>'SLOT_RULES'!$D$11+IF($A7&lt;='SLOT_RULES'!$D$11,0,INT(($A7-'SLOT_RULES'!$D$11-1)/'SLOT_RULES'!$E$11)+1)*'SLOT_RULES'!$E$11</x:f>
        <x:v>46280</x:v>
      </x:c>
      <x:c r="M7" s="156" t="n">
        <x:f>'SLOT_RULES'!$D$12+IF($A7&lt;='SLOT_RULES'!$D$12,0,INT(($A7-'SLOT_RULES'!$D$12-1)/'SLOT_RULES'!$E$12)+1)*'SLOT_RULES'!$E$12</x:f>
        <x:v>46285</x:v>
      </x:c>
      <x:c r="N7" s="156" t="n">
        <x:f>'SLOT_RULES'!$D$13+IF($A7&lt;='SLOT_RULES'!$D$13,0,INT(($A7-'SLOT_RULES'!$D$13-1)/'SLOT_RULES'!$E$13)+1)*'SLOT_RULES'!$E$13</x:f>
        <x:v>46321</x:v>
      </x:c>
      <x:c r="O7" s="156" t="n">
        <x:f>'SLOT_RULES'!$D$14+IF($A7&lt;='SLOT_RULES'!$D$14,0,INT(($A7-'SLOT_RULES'!$D$14-1)/'SLOT_RULES'!$E$14)+1)*'SLOT_RULES'!$E$14</x:f>
        <x:v>46350</x:v>
      </x:c>
      <x:c r="P7" s="156" t="n">
        <x:f>'SLOT_RULES'!$D$15+IF($A7&lt;='SLOT_RULES'!$D$15,0,INT(($A7-'SLOT_RULES'!$D$15-1)/'SLOT_RULES'!$E$15)+1)*'SLOT_RULES'!$E$15</x:f>
        <x:v>46422</x:v>
      </x:c>
      <x:c r="Q7" s="158" t="n">
        <x:f>MIN(E7:P7)-A7</x:f>
        <x:v>2</x:v>
      </x:c>
      <x:c r="R7" s="158" t="n">
        <x:f>MAX(E7:P7)-A7</x:f>
        <x:v>152</x:v>
      </x:c>
      <x:c r="S7" s="86" t="str">
        <x:f>IF(AND(COUNT(E7:P7)=10,MIN(E7:P7)&gt;=A7),"PASS","FAIL")</x:f>
        <x:v>PASS</x:v>
      </x:c>
      <x:c r="T7" s="86" t="str">
        <x: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x:f>
        <x:v>PASS</x:v>
      </x:c>
      <x:c r="U7" s="86" t="str">
        <x: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x:f>
        <x:v>PASS</x:v>
      </x:c>
      <x:c r="V7" s="86" t="str">
        <x: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x:f>
        <x:v>PASS</x:v>
      </x:c>
      <x:c r="W7" s="87" t="str">
        <x:f>'CRAWL_LOG'!B7</x:f>
        <x:v>Chưa chạy</x:v>
      </x:c>
      <x:c r="X7" s="95" t="inlineStr">
        <x:is>
          <x:t xml:space="preserve">10-slot panel: 7 near + 3 far; AN2/AN3 inactive from 03/09</x:t>
        </x:is>
      </x:c>
    </x:row>
    <x:row r="8">
      <x:c r="A8" s="155" t="n">
        <x:v>46271</x:v>
      </x:c>
      <x:c r="B8" s="83" t="inlineStr">
        <x:is>
          <x:t xml:space="preserve">Chủ Nhật</x:t>
        </x:is>
      </x:c>
      <x:c r="C8" s="83" t="inlineStr">
        <x:is>
          <x:t xml:space="preserve">Official</x:t>
        </x:is>
      </x:c>
      <x:c r="D8" s="83" t="inlineStr">
        <x:is>
          <x:t xml:space="preserve">00:30</x:t>
        </x:is>
      </x:c>
      <x:c r="E8" s="156" t="n">
        <x:f>'SLOT_RULES'!$D$4+IF($A8&lt;='SLOT_RULES'!$D$4,0,INT(($A8-'SLOT_RULES'!$D$4-1)/'SLOT_RULES'!$E$4)+1)*'SLOT_RULES'!$E$4</x:f>
        <x:v>46297</x:v>
      </x:c>
      <x:c r="F8" s="157" t="n"/>
      <x:c r="G8" s="157" t="n"/>
      <x:c r="H8" s="156" t="n">
        <x:f>'SLOT_RULES'!$D$7+IF($A8&lt;='SLOT_RULES'!$D$7,0,INT(($A8-'SLOT_RULES'!$D$7-1)/'SLOT_RULES'!$E$7)+1)*'SLOT_RULES'!$E$7</x:f>
        <x:v>46290</x:v>
      </x:c>
      <x:c r="I8" s="156" t="n">
        <x:f>'SLOT_RULES'!$D$8+IF($A8&lt;='SLOT_RULES'!$D$8,0,INT(($A8-'SLOT_RULES'!$D$8-1)/'SLOT_RULES'!$E$8)+1)*'SLOT_RULES'!$E$8</x:f>
        <x:v>46272</x:v>
      </x:c>
      <x:c r="J8" s="156" t="n">
        <x:f>'SLOT_RULES'!$D$9+IF($A8&lt;='SLOT_RULES'!$D$9,0,INT(($A8-'SLOT_RULES'!$D$9-1)/'SLOT_RULES'!$E$9)+1)*'SLOT_RULES'!$E$9</x:f>
        <x:v>46286</x:v>
      </x:c>
      <x:c r="K8" s="156" t="n">
        <x:f>'SLOT_RULES'!$D$10+IF($A8&lt;='SLOT_RULES'!$D$10,0,INT(($A8-'SLOT_RULES'!$D$10-1)/'SLOT_RULES'!$E$10)+1)*'SLOT_RULES'!$E$10</x:f>
        <x:v>46273</x:v>
      </x:c>
      <x:c r="L8" s="156" t="n">
        <x:f>'SLOT_RULES'!$D$11+IF($A8&lt;='SLOT_RULES'!$D$11,0,INT(($A8-'SLOT_RULES'!$D$11-1)/'SLOT_RULES'!$E$11)+1)*'SLOT_RULES'!$E$11</x:f>
        <x:v>46280</x:v>
      </x:c>
      <x:c r="M8" s="156" t="n">
        <x:f>'SLOT_RULES'!$D$12+IF($A8&lt;='SLOT_RULES'!$D$12,0,INT(($A8-'SLOT_RULES'!$D$12-1)/'SLOT_RULES'!$E$12)+1)*'SLOT_RULES'!$E$12</x:f>
        <x:v>46285</x:v>
      </x:c>
      <x:c r="N8" s="156" t="n">
        <x:f>'SLOT_RULES'!$D$13+IF($A8&lt;='SLOT_RULES'!$D$13,0,INT(($A8-'SLOT_RULES'!$D$13-1)/'SLOT_RULES'!$E$13)+1)*'SLOT_RULES'!$E$13</x:f>
        <x:v>46321</x:v>
      </x:c>
      <x:c r="O8" s="156" t="n">
        <x:f>'SLOT_RULES'!$D$14+IF($A8&lt;='SLOT_RULES'!$D$14,0,INT(($A8-'SLOT_RULES'!$D$14-1)/'SLOT_RULES'!$E$14)+1)*'SLOT_RULES'!$E$14</x:f>
        <x:v>46350</x:v>
      </x:c>
      <x:c r="P8" s="156" t="n">
        <x:f>'SLOT_RULES'!$D$15+IF($A8&lt;='SLOT_RULES'!$D$15,0,INT(($A8-'SLOT_RULES'!$D$15-1)/'SLOT_RULES'!$E$15)+1)*'SLOT_RULES'!$E$15</x:f>
        <x:v>46422</x:v>
      </x:c>
      <x:c r="Q8" s="158" t="n">
        <x:f>MIN(E8:P8)-A8</x:f>
        <x:v>1</x:v>
      </x:c>
      <x:c r="R8" s="158" t="n">
        <x:f>MAX(E8:P8)-A8</x:f>
        <x:v>151</x:v>
      </x:c>
      <x:c r="S8" s="86" t="str">
        <x:f>IF(AND(COUNT(E8:P8)=10,MIN(E8:P8)&gt;=A8),"PASS","FAIL")</x:f>
        <x:v>PASS</x:v>
      </x:c>
      <x:c r="T8" s="86" t="str">
        <x: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x:f>
        <x:v>PASS</x:v>
      </x:c>
      <x:c r="U8" s="86" t="str">
        <x: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x:f>
        <x:v>PASS</x:v>
      </x:c>
      <x:c r="V8" s="86" t="str">
        <x: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x:f>
        <x:v>PASS</x:v>
      </x:c>
      <x:c r="W8" s="87" t="str">
        <x:f>'CRAWL_LOG'!B8</x:f>
        <x:v>Chưa chạy</x:v>
      </x:c>
      <x:c r="X8" s="95" t="inlineStr">
        <x:is>
          <x:t xml:space="preserve">10-slot panel: 7 near + 3 far; AN2/AN3 inactive from 03/09</x:t>
        </x:is>
      </x:c>
    </x:row>
    <x:row r="9">
      <x:c r="A9" s="155" t="n">
        <x:v>46272</x:v>
      </x:c>
      <x:c r="B9" s="83" t="inlineStr">
        <x:is>
          <x:t xml:space="preserve">Thứ Hai</x:t>
        </x:is>
      </x:c>
      <x:c r="C9" s="83" t="inlineStr">
        <x:is>
          <x:t xml:space="preserve">Official</x:t>
        </x:is>
      </x:c>
      <x:c r="D9" s="83" t="inlineStr">
        <x:is>
          <x:t xml:space="preserve">00:30</x:t>
        </x:is>
      </x:c>
      <x:c r="E9" s="156" t="n">
        <x:f>'SLOT_RULES'!$D$4+IF($A9&lt;='SLOT_RULES'!$D$4,0,INT(($A9-'SLOT_RULES'!$D$4-1)/'SLOT_RULES'!$E$4)+1)*'SLOT_RULES'!$E$4</x:f>
        <x:v>46297</x:v>
      </x:c>
      <x:c r="F9" s="157" t="n"/>
      <x:c r="G9" s="157" t="n"/>
      <x:c r="H9" s="156" t="n">
        <x:f>'SLOT_RULES'!$D$7+IF($A9&lt;='SLOT_RULES'!$D$7,0,INT(($A9-'SLOT_RULES'!$D$7-1)/'SLOT_RULES'!$E$7)+1)*'SLOT_RULES'!$E$7</x:f>
        <x:v>46290</x:v>
      </x:c>
      <x:c r="I9" s="156" t="n">
        <x:f>'SLOT_RULES'!$D$8+IF($A9&lt;='SLOT_RULES'!$D$8,0,INT(($A9-'SLOT_RULES'!$D$8-1)/'SLOT_RULES'!$E$8)+1)*'SLOT_RULES'!$E$8</x:f>
        <x:v>46272</x:v>
      </x:c>
      <x:c r="J9" s="156" t="n">
        <x:f>'SLOT_RULES'!$D$9+IF($A9&lt;='SLOT_RULES'!$D$9,0,INT(($A9-'SLOT_RULES'!$D$9-1)/'SLOT_RULES'!$E$9)+1)*'SLOT_RULES'!$E$9</x:f>
        <x:v>46286</x:v>
      </x:c>
      <x:c r="K9" s="156" t="n">
        <x:f>'SLOT_RULES'!$D$10+IF($A9&lt;='SLOT_RULES'!$D$10,0,INT(($A9-'SLOT_RULES'!$D$10-1)/'SLOT_RULES'!$E$10)+1)*'SLOT_RULES'!$E$10</x:f>
        <x:v>46273</x:v>
      </x:c>
      <x:c r="L9" s="156" t="n">
        <x:f>'SLOT_RULES'!$D$11+IF($A9&lt;='SLOT_RULES'!$D$11,0,INT(($A9-'SLOT_RULES'!$D$11-1)/'SLOT_RULES'!$E$11)+1)*'SLOT_RULES'!$E$11</x:f>
        <x:v>46280</x:v>
      </x:c>
      <x:c r="M9" s="156" t="n">
        <x:f>'SLOT_RULES'!$D$12+IF($A9&lt;='SLOT_RULES'!$D$12,0,INT(($A9-'SLOT_RULES'!$D$12-1)/'SLOT_RULES'!$E$12)+1)*'SLOT_RULES'!$E$12</x:f>
        <x:v>46285</x:v>
      </x:c>
      <x:c r="N9" s="156" t="n">
        <x:f>'SLOT_RULES'!$D$13+IF($A9&lt;='SLOT_RULES'!$D$13,0,INT(($A9-'SLOT_RULES'!$D$13-1)/'SLOT_RULES'!$E$13)+1)*'SLOT_RULES'!$E$13</x:f>
        <x:v>46321</x:v>
      </x:c>
      <x:c r="O9" s="156" t="n">
        <x:f>'SLOT_RULES'!$D$14+IF($A9&lt;='SLOT_RULES'!$D$14,0,INT(($A9-'SLOT_RULES'!$D$14-1)/'SLOT_RULES'!$E$14)+1)*'SLOT_RULES'!$E$14</x:f>
        <x:v>46350</x:v>
      </x:c>
      <x:c r="P9" s="156" t="n">
        <x:f>'SLOT_RULES'!$D$15+IF($A9&lt;='SLOT_RULES'!$D$15,0,INT(($A9-'SLOT_RULES'!$D$15-1)/'SLOT_RULES'!$E$15)+1)*'SLOT_RULES'!$E$15</x:f>
        <x:v>46422</x:v>
      </x:c>
      <x:c r="Q9" s="158" t="n">
        <x:f>MIN(E9:P9)-A9</x:f>
        <x:v>0</x:v>
      </x:c>
      <x:c r="R9" s="158" t="n">
        <x:f>MAX(E9:P9)-A9</x:f>
        <x:v>150</x:v>
      </x:c>
      <x:c r="S9" s="86" t="str">
        <x:f>IF(AND(COUNT(E9:P9)=10,MIN(E9:P9)&gt;=A9),"PASS","FAIL")</x:f>
        <x:v>PASS</x:v>
      </x:c>
      <x:c r="T9" s="86" t="str">
        <x: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x:f>
        <x:v>PASS</x:v>
      </x:c>
      <x:c r="U9" s="86" t="str">
        <x: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x:f>
        <x:v>PASS</x:v>
      </x:c>
      <x:c r="V9" s="86" t="str">
        <x: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x:f>
        <x:v>PASS</x:v>
      </x:c>
      <x:c r="W9" s="87" t="str">
        <x:f>'CRAWL_LOG'!B9</x:f>
        <x:v>Chưa chạy</x:v>
      </x:c>
      <x:c r="X9" s="95" t="inlineStr">
        <x:is>
          <x:t xml:space="preserve">10-slot panel: 7 near + 3 far; AN2/AN3 inactive from 03/09</x:t>
        </x:is>
      </x:c>
    </x:row>
    <x:row r="10">
      <x:c r="A10" s="155" t="n">
        <x:v>46273</x:v>
      </x:c>
      <x:c r="B10" s="83" t="inlineStr">
        <x:is>
          <x:t xml:space="preserve">Thứ Ba</x:t>
        </x:is>
      </x:c>
      <x:c r="C10" s="83" t="inlineStr">
        <x:is>
          <x:t xml:space="preserve">Official</x:t>
        </x:is>
      </x:c>
      <x:c r="D10" s="83" t="inlineStr">
        <x:is>
          <x:t xml:space="preserve">00:30</x:t>
        </x:is>
      </x:c>
      <x:c r="E10" s="156" t="n">
        <x:f>'SLOT_RULES'!$D$4+IF($A10&lt;='SLOT_RULES'!$D$4,0,INT(($A10-'SLOT_RULES'!$D$4-1)/'SLOT_RULES'!$E$4)+1)*'SLOT_RULES'!$E$4</x:f>
        <x:v>46297</x:v>
      </x:c>
      <x:c r="F10" s="157" t="n"/>
      <x:c r="G10" s="157" t="n"/>
      <x:c r="H10" s="156" t="n">
        <x:f>'SLOT_RULES'!$D$7+IF($A10&lt;='SLOT_RULES'!$D$7,0,INT(($A10-'SLOT_RULES'!$D$7-1)/'SLOT_RULES'!$E$7)+1)*'SLOT_RULES'!$E$7</x:f>
        <x:v>46290</x:v>
      </x:c>
      <x:c r="I10" s="156" t="n">
        <x:f>'SLOT_RULES'!$D$8+IF($A10&lt;='SLOT_RULES'!$D$8,0,INT(($A10-'SLOT_RULES'!$D$8-1)/'SLOT_RULES'!$E$8)+1)*'SLOT_RULES'!$E$8</x:f>
        <x:v>46300</x:v>
      </x:c>
      <x:c r="J10" s="156" t="n">
        <x:f>'SLOT_RULES'!$D$9+IF($A10&lt;='SLOT_RULES'!$D$9,0,INT(($A10-'SLOT_RULES'!$D$9-1)/'SLOT_RULES'!$E$9)+1)*'SLOT_RULES'!$E$9</x:f>
        <x:v>46286</x:v>
      </x:c>
      <x:c r="K10" s="156" t="n">
        <x:f>'SLOT_RULES'!$D$10+IF($A10&lt;='SLOT_RULES'!$D$10,0,INT(($A10-'SLOT_RULES'!$D$10-1)/'SLOT_RULES'!$E$10)+1)*'SLOT_RULES'!$E$10</x:f>
        <x:v>46273</x:v>
      </x:c>
      <x:c r="L10" s="156" t="n">
        <x:f>'SLOT_RULES'!$D$11+IF($A10&lt;='SLOT_RULES'!$D$11,0,INT(($A10-'SLOT_RULES'!$D$11-1)/'SLOT_RULES'!$E$11)+1)*'SLOT_RULES'!$E$11</x:f>
        <x:v>46280</x:v>
      </x:c>
      <x:c r="M10" s="156" t="n">
        <x:f>'SLOT_RULES'!$D$12+IF($A10&lt;='SLOT_RULES'!$D$12,0,INT(($A10-'SLOT_RULES'!$D$12-1)/'SLOT_RULES'!$E$12)+1)*'SLOT_RULES'!$E$12</x:f>
        <x:v>46285</x:v>
      </x:c>
      <x:c r="N10" s="156" t="n">
        <x:f>'SLOT_RULES'!$D$13+IF($A10&lt;='SLOT_RULES'!$D$13,0,INT(($A10-'SLOT_RULES'!$D$13-1)/'SLOT_RULES'!$E$13)+1)*'SLOT_RULES'!$E$13</x:f>
        <x:v>46321</x:v>
      </x:c>
      <x:c r="O10" s="156" t="n">
        <x:f>'SLOT_RULES'!$D$14+IF($A10&lt;='SLOT_RULES'!$D$14,0,INT(($A10-'SLOT_RULES'!$D$14-1)/'SLOT_RULES'!$E$14)+1)*'SLOT_RULES'!$E$14</x:f>
        <x:v>46350</x:v>
      </x:c>
      <x:c r="P10" s="156" t="n">
        <x:f>'SLOT_RULES'!$D$15+IF($A10&lt;='SLOT_RULES'!$D$15,0,INT(($A10-'SLOT_RULES'!$D$15-1)/'SLOT_RULES'!$E$15)+1)*'SLOT_RULES'!$E$15</x:f>
        <x:v>46422</x:v>
      </x:c>
      <x:c r="Q10" s="158" t="n">
        <x:f>MIN(E10:P10)-A10</x:f>
        <x:v>0</x:v>
      </x:c>
      <x:c r="R10" s="158" t="n">
        <x:f>MAX(E10:P10)-A10</x:f>
        <x:v>149</x:v>
      </x:c>
      <x:c r="S10" s="86" t="str">
        <x:f>IF(AND(COUNT(E10:P10)=10,MIN(E10:P10)&gt;=A10),"PASS","FAIL")</x:f>
        <x:v>PASS</x:v>
      </x:c>
      <x:c r="T10" s="86" t="str">
        <x: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x:f>
        <x:v>PASS</x:v>
      </x:c>
      <x:c r="U10" s="86" t="str">
        <x: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x:f>
        <x:v>PASS</x:v>
      </x:c>
      <x:c r="V10" s="86" t="str">
        <x: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x:f>
        <x:v>PASS</x:v>
      </x:c>
      <x:c r="W10" s="87" t="str">
        <x:f>'CRAWL_LOG'!B10</x:f>
        <x:v>Chưa chạy</x:v>
      </x:c>
      <x:c r="X10" s="95" t="inlineStr">
        <x:is>
          <x:t xml:space="preserve">10-slot panel: 7 near + 3 far; AN2/AN3 inactive from 03/09</x:t>
        </x:is>
      </x:c>
    </x:row>
    <x:row r="11">
      <x:c r="A11" s="155" t="n">
        <x:v>46274</x:v>
      </x:c>
      <x:c r="B11" s="83" t="inlineStr">
        <x:is>
          <x:t xml:space="preserve">Thứ Tư</x:t>
        </x:is>
      </x:c>
      <x:c r="C11" s="83" t="inlineStr">
        <x:is>
          <x:t xml:space="preserve">Official</x:t>
        </x:is>
      </x:c>
      <x:c r="D11" s="83" t="inlineStr">
        <x:is>
          <x:t xml:space="preserve">00:30</x:t>
        </x:is>
      </x:c>
      <x:c r="E11" s="156" t="n">
        <x:f>'SLOT_RULES'!$D$4+IF($A11&lt;='SLOT_RULES'!$D$4,0,INT(($A11-'SLOT_RULES'!$D$4-1)/'SLOT_RULES'!$E$4)+1)*'SLOT_RULES'!$E$4</x:f>
        <x:v>46297</x:v>
      </x:c>
      <x:c r="F11" s="157" t="n"/>
      <x:c r="G11" s="157" t="n"/>
      <x:c r="H11" s="156" t="n">
        <x:f>'SLOT_RULES'!$D$7+IF($A11&lt;='SLOT_RULES'!$D$7,0,INT(($A11-'SLOT_RULES'!$D$7-1)/'SLOT_RULES'!$E$7)+1)*'SLOT_RULES'!$E$7</x:f>
        <x:v>46290</x:v>
      </x:c>
      <x:c r="I11" s="156" t="n">
        <x:f>'SLOT_RULES'!$D$8+IF($A11&lt;='SLOT_RULES'!$D$8,0,INT(($A11-'SLOT_RULES'!$D$8-1)/'SLOT_RULES'!$E$8)+1)*'SLOT_RULES'!$E$8</x:f>
        <x:v>46300</x:v>
      </x:c>
      <x:c r="J11" s="156" t="n">
        <x:f>'SLOT_RULES'!$D$9+IF($A11&lt;='SLOT_RULES'!$D$9,0,INT(($A11-'SLOT_RULES'!$D$9-1)/'SLOT_RULES'!$E$9)+1)*'SLOT_RULES'!$E$9</x:f>
        <x:v>46286</x:v>
      </x:c>
      <x:c r="K11" s="156" t="n">
        <x:f>'SLOT_RULES'!$D$10+IF($A11&lt;='SLOT_RULES'!$D$10,0,INT(($A11-'SLOT_RULES'!$D$10-1)/'SLOT_RULES'!$E$10)+1)*'SLOT_RULES'!$E$10</x:f>
        <x:v>46301</x:v>
      </x:c>
      <x:c r="L11" s="156" t="n">
        <x:f>'SLOT_RULES'!$D$11+IF($A11&lt;='SLOT_RULES'!$D$11,0,INT(($A11-'SLOT_RULES'!$D$11-1)/'SLOT_RULES'!$E$11)+1)*'SLOT_RULES'!$E$11</x:f>
        <x:v>46280</x:v>
      </x:c>
      <x:c r="M11" s="156" t="n">
        <x:f>'SLOT_RULES'!$D$12+IF($A11&lt;='SLOT_RULES'!$D$12,0,INT(($A11-'SLOT_RULES'!$D$12-1)/'SLOT_RULES'!$E$12)+1)*'SLOT_RULES'!$E$12</x:f>
        <x:v>46285</x:v>
      </x:c>
      <x:c r="N11" s="156" t="n">
        <x:f>'SLOT_RULES'!$D$13+IF($A11&lt;='SLOT_RULES'!$D$13,0,INT(($A11-'SLOT_RULES'!$D$13-1)/'SLOT_RULES'!$E$13)+1)*'SLOT_RULES'!$E$13</x:f>
        <x:v>46321</x:v>
      </x:c>
      <x:c r="O11" s="156" t="n">
        <x:f>'SLOT_RULES'!$D$14+IF($A11&lt;='SLOT_RULES'!$D$14,0,INT(($A11-'SLOT_RULES'!$D$14-1)/'SLOT_RULES'!$E$14)+1)*'SLOT_RULES'!$E$14</x:f>
        <x:v>46350</x:v>
      </x:c>
      <x:c r="P11" s="156" t="n">
        <x:f>'SLOT_RULES'!$D$15+IF($A11&lt;='SLOT_RULES'!$D$15,0,INT(($A11-'SLOT_RULES'!$D$15-1)/'SLOT_RULES'!$E$15)+1)*'SLOT_RULES'!$E$15</x:f>
        <x:v>46422</x:v>
      </x:c>
      <x:c r="Q11" s="158" t="n">
        <x:f>MIN(E11:P11)-A11</x:f>
        <x:v>6</x:v>
      </x:c>
      <x:c r="R11" s="158" t="n">
        <x:f>MAX(E11:P11)-A11</x:f>
        <x:v>148</x:v>
      </x:c>
      <x:c r="S11" s="86" t="str">
        <x:f>IF(AND(COUNT(E11:P11)=10,MIN(E11:P11)&gt;=A11),"PASS","FAIL")</x:f>
        <x:v>PASS</x:v>
      </x:c>
      <x:c r="T11" s="86" t="str">
        <x: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x:f>
        <x:v>PASS</x:v>
      </x:c>
      <x:c r="U11" s="86" t="str">
        <x: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x:f>
        <x:v>PASS</x:v>
      </x:c>
      <x:c r="V11" s="86" t="str">
        <x: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x:f>
        <x:v>PASS</x:v>
      </x:c>
      <x:c r="W11" s="87" t="str">
        <x:f>'CRAWL_LOG'!B11</x:f>
        <x:v>Chưa chạy</x:v>
      </x:c>
      <x:c r="X11" s="95" t="inlineStr">
        <x:is>
          <x:t xml:space="preserve">10-slot panel: 7 near + 3 far; AN2/AN3 inactive from 03/09</x:t>
        </x:is>
      </x:c>
    </x:row>
    <x:row r="12">
      <x:c r="A12" s="155" t="n">
        <x:v>46275</x:v>
      </x:c>
      <x:c r="B12" s="83" t="inlineStr">
        <x:is>
          <x:t xml:space="preserve">Thứ Năm</x:t>
        </x:is>
      </x:c>
      <x:c r="C12" s="83" t="inlineStr">
        <x:is>
          <x:t xml:space="preserve">Official</x:t>
        </x:is>
      </x:c>
      <x:c r="D12" s="83" t="inlineStr">
        <x:is>
          <x:t xml:space="preserve">00:30</x:t>
        </x:is>
      </x:c>
      <x:c r="E12" s="156" t="n">
        <x:f>'SLOT_RULES'!$D$4+IF($A12&lt;='SLOT_RULES'!$D$4,0,INT(($A12-'SLOT_RULES'!$D$4-1)/'SLOT_RULES'!$E$4)+1)*'SLOT_RULES'!$E$4</x:f>
        <x:v>46297</x:v>
      </x:c>
      <x:c r="F12" s="157" t="n"/>
      <x:c r="G12" s="157" t="n"/>
      <x:c r="H12" s="156" t="n">
        <x:f>'SLOT_RULES'!$D$7+IF($A12&lt;='SLOT_RULES'!$D$7,0,INT(($A12-'SLOT_RULES'!$D$7-1)/'SLOT_RULES'!$E$7)+1)*'SLOT_RULES'!$E$7</x:f>
        <x:v>46290</x:v>
      </x:c>
      <x:c r="I12" s="156" t="n">
        <x:f>'SLOT_RULES'!$D$8+IF($A12&lt;='SLOT_RULES'!$D$8,0,INT(($A12-'SLOT_RULES'!$D$8-1)/'SLOT_RULES'!$E$8)+1)*'SLOT_RULES'!$E$8</x:f>
        <x:v>46300</x:v>
      </x:c>
      <x:c r="J12" s="156" t="n">
        <x:f>'SLOT_RULES'!$D$9+IF($A12&lt;='SLOT_RULES'!$D$9,0,INT(($A12-'SLOT_RULES'!$D$9-1)/'SLOT_RULES'!$E$9)+1)*'SLOT_RULES'!$E$9</x:f>
        <x:v>46286</x:v>
      </x:c>
      <x:c r="K12" s="156" t="n">
        <x:f>'SLOT_RULES'!$D$10+IF($A12&lt;='SLOT_RULES'!$D$10,0,INT(($A12-'SLOT_RULES'!$D$10-1)/'SLOT_RULES'!$E$10)+1)*'SLOT_RULES'!$E$10</x:f>
        <x:v>46301</x:v>
      </x:c>
      <x:c r="L12" s="156" t="n">
        <x:f>'SLOT_RULES'!$D$11+IF($A12&lt;='SLOT_RULES'!$D$11,0,INT(($A12-'SLOT_RULES'!$D$11-1)/'SLOT_RULES'!$E$11)+1)*'SLOT_RULES'!$E$11</x:f>
        <x:v>46280</x:v>
      </x:c>
      <x:c r="M12" s="156" t="n">
        <x:f>'SLOT_RULES'!$D$12+IF($A12&lt;='SLOT_RULES'!$D$12,0,INT(($A12-'SLOT_RULES'!$D$12-1)/'SLOT_RULES'!$E$12)+1)*'SLOT_RULES'!$E$12</x:f>
        <x:v>46285</x:v>
      </x:c>
      <x:c r="N12" s="156" t="n">
        <x:f>'SLOT_RULES'!$D$13+IF($A12&lt;='SLOT_RULES'!$D$13,0,INT(($A12-'SLOT_RULES'!$D$13-1)/'SLOT_RULES'!$E$13)+1)*'SLOT_RULES'!$E$13</x:f>
        <x:v>46321</x:v>
      </x:c>
      <x:c r="O12" s="156" t="n">
        <x:f>'SLOT_RULES'!$D$14+IF($A12&lt;='SLOT_RULES'!$D$14,0,INT(($A12-'SLOT_RULES'!$D$14-1)/'SLOT_RULES'!$E$14)+1)*'SLOT_RULES'!$E$14</x:f>
        <x:v>46350</x:v>
      </x:c>
      <x:c r="P12" s="156" t="n">
        <x:f>'SLOT_RULES'!$D$15+IF($A12&lt;='SLOT_RULES'!$D$15,0,INT(($A12-'SLOT_RULES'!$D$15-1)/'SLOT_RULES'!$E$15)+1)*'SLOT_RULES'!$E$15</x:f>
        <x:v>46422</x:v>
      </x:c>
      <x:c r="Q12" s="158" t="n">
        <x:f>MIN(E12:P12)-A12</x:f>
        <x:v>5</x:v>
      </x:c>
      <x:c r="R12" s="158" t="n">
        <x:f>MAX(E12:P12)-A12</x:f>
        <x:v>147</x:v>
      </x:c>
      <x:c r="S12" s="86" t="str">
        <x:f>IF(AND(COUNT(E12:P12)=10,MIN(E12:P12)&gt;=A12),"PASS","FAIL")</x:f>
        <x:v>PASS</x:v>
      </x:c>
      <x:c r="T12" s="86" t="str">
        <x: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x:f>
        <x:v>PASS</x:v>
      </x:c>
      <x:c r="U12" s="86" t="str">
        <x: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x:f>
        <x:v>PASS</x:v>
      </x:c>
      <x:c r="V12" s="86" t="str">
        <x: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x:f>
        <x:v>PASS</x:v>
      </x:c>
      <x:c r="W12" s="87" t="str">
        <x:f>'CRAWL_LOG'!B12</x:f>
        <x:v>Chưa chạy</x:v>
      </x:c>
      <x:c r="X12" s="95" t="inlineStr">
        <x:is>
          <x:t xml:space="preserve">10-slot panel: 7 near + 3 far; AN2/AN3 inactive from 03/09</x:t>
        </x:is>
      </x:c>
    </x:row>
    <x:row r="13">
      <x:c r="A13" s="155" t="n">
        <x:v>46276</x:v>
      </x:c>
      <x:c r="B13" s="83" t="inlineStr">
        <x:is>
          <x:t xml:space="preserve">Thứ Sáu</x:t>
        </x:is>
      </x:c>
      <x:c r="C13" s="83" t="inlineStr">
        <x:is>
          <x:t xml:space="preserve">Official</x:t>
        </x:is>
      </x:c>
      <x:c r="D13" s="83" t="inlineStr">
        <x:is>
          <x:t xml:space="preserve">00:30</x:t>
        </x:is>
      </x:c>
      <x:c r="E13" s="156" t="n">
        <x:f>'SLOT_RULES'!$D$4+IF($A13&lt;='SLOT_RULES'!$D$4,0,INT(($A13-'SLOT_RULES'!$D$4-1)/'SLOT_RULES'!$E$4)+1)*'SLOT_RULES'!$E$4</x:f>
        <x:v>46297</x:v>
      </x:c>
      <x:c r="F13" s="157" t="n"/>
      <x:c r="G13" s="157" t="n"/>
      <x:c r="H13" s="156" t="n">
        <x:f>'SLOT_RULES'!$D$7+IF($A13&lt;='SLOT_RULES'!$D$7,0,INT(($A13-'SLOT_RULES'!$D$7-1)/'SLOT_RULES'!$E$7)+1)*'SLOT_RULES'!$E$7</x:f>
        <x:v>46290</x:v>
      </x:c>
      <x:c r="I13" s="156" t="n">
        <x:f>'SLOT_RULES'!$D$8+IF($A13&lt;='SLOT_RULES'!$D$8,0,INT(($A13-'SLOT_RULES'!$D$8-1)/'SLOT_RULES'!$E$8)+1)*'SLOT_RULES'!$E$8</x:f>
        <x:v>46300</x:v>
      </x:c>
      <x:c r="J13" s="156" t="n">
        <x:f>'SLOT_RULES'!$D$9+IF($A13&lt;='SLOT_RULES'!$D$9,0,INT(($A13-'SLOT_RULES'!$D$9-1)/'SLOT_RULES'!$E$9)+1)*'SLOT_RULES'!$E$9</x:f>
        <x:v>46286</x:v>
      </x:c>
      <x:c r="K13" s="156" t="n">
        <x:f>'SLOT_RULES'!$D$10+IF($A13&lt;='SLOT_RULES'!$D$10,0,INT(($A13-'SLOT_RULES'!$D$10-1)/'SLOT_RULES'!$E$10)+1)*'SLOT_RULES'!$E$10</x:f>
        <x:v>46301</x:v>
      </x:c>
      <x:c r="L13" s="156" t="n">
        <x:f>'SLOT_RULES'!$D$11+IF($A13&lt;='SLOT_RULES'!$D$11,0,INT(($A13-'SLOT_RULES'!$D$11-1)/'SLOT_RULES'!$E$11)+1)*'SLOT_RULES'!$E$11</x:f>
        <x:v>46280</x:v>
      </x:c>
      <x:c r="M13" s="156" t="n">
        <x:f>'SLOT_RULES'!$D$12+IF($A13&lt;='SLOT_RULES'!$D$12,0,INT(($A13-'SLOT_RULES'!$D$12-1)/'SLOT_RULES'!$E$12)+1)*'SLOT_RULES'!$E$12</x:f>
        <x:v>46285</x:v>
      </x:c>
      <x:c r="N13" s="156" t="n">
        <x:f>'SLOT_RULES'!$D$13+IF($A13&lt;='SLOT_RULES'!$D$13,0,INT(($A13-'SLOT_RULES'!$D$13-1)/'SLOT_RULES'!$E$13)+1)*'SLOT_RULES'!$E$13</x:f>
        <x:v>46321</x:v>
      </x:c>
      <x:c r="O13" s="156" t="n">
        <x:f>'SLOT_RULES'!$D$14+IF($A13&lt;='SLOT_RULES'!$D$14,0,INT(($A13-'SLOT_RULES'!$D$14-1)/'SLOT_RULES'!$E$14)+1)*'SLOT_RULES'!$E$14</x:f>
        <x:v>46350</x:v>
      </x:c>
      <x:c r="P13" s="156" t="n">
        <x:f>'SLOT_RULES'!$D$15+IF($A13&lt;='SLOT_RULES'!$D$15,0,INT(($A13-'SLOT_RULES'!$D$15-1)/'SLOT_RULES'!$E$15)+1)*'SLOT_RULES'!$E$15</x:f>
        <x:v>46422</x:v>
      </x:c>
      <x:c r="Q13" s="158" t="n">
        <x:f>MIN(E13:P13)-A13</x:f>
        <x:v>4</x:v>
      </x:c>
      <x:c r="R13" s="158" t="n">
        <x:f>MAX(E13:P13)-A13</x:f>
        <x:v>146</x:v>
      </x:c>
      <x:c r="S13" s="86" t="str">
        <x:f>IF(AND(COUNT(E13:P13)=10,MIN(E13:P13)&gt;=A13),"PASS","FAIL")</x:f>
        <x:v>PASS</x:v>
      </x:c>
      <x:c r="T13" s="86" t="str">
        <x: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x:f>
        <x:v>PASS</x:v>
      </x:c>
      <x:c r="U13" s="86" t="str">
        <x: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x:f>
        <x:v>PASS</x:v>
      </x:c>
      <x:c r="V13" s="86" t="str">
        <x: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x:f>
        <x:v>PASS</x:v>
      </x:c>
      <x:c r="W13" s="87" t="str">
        <x:f>'CRAWL_LOG'!B13</x:f>
        <x:v>Chưa chạy</x:v>
      </x:c>
      <x:c r="X13" s="95" t="inlineStr">
        <x:is>
          <x:t xml:space="preserve">10-slot panel: 7 near + 3 far; AN2/AN3 inactive from 03/09</x:t>
        </x:is>
      </x:c>
    </x:row>
    <x:row r="14">
      <x:c r="A14" s="155" t="n">
        <x:v>46277</x:v>
      </x:c>
      <x:c r="B14" s="83" t="inlineStr">
        <x:is>
          <x:t xml:space="preserve">Thứ Bảy</x:t>
        </x:is>
      </x:c>
      <x:c r="C14" s="83" t="inlineStr">
        <x:is>
          <x:t xml:space="preserve">Official</x:t>
        </x:is>
      </x:c>
      <x:c r="D14" s="83" t="inlineStr">
        <x:is>
          <x:t xml:space="preserve">00:30</x:t>
        </x:is>
      </x:c>
      <x:c r="E14" s="156" t="n">
        <x:f>'SLOT_RULES'!$D$4+IF($A14&lt;='SLOT_RULES'!$D$4,0,INT(($A14-'SLOT_RULES'!$D$4-1)/'SLOT_RULES'!$E$4)+1)*'SLOT_RULES'!$E$4</x:f>
        <x:v>46297</x:v>
      </x:c>
      <x:c r="F14" s="157" t="n"/>
      <x:c r="G14" s="157" t="n"/>
      <x:c r="H14" s="156" t="n">
        <x:f>'SLOT_RULES'!$D$7+IF($A14&lt;='SLOT_RULES'!$D$7,0,INT(($A14-'SLOT_RULES'!$D$7-1)/'SLOT_RULES'!$E$7)+1)*'SLOT_RULES'!$E$7</x:f>
        <x:v>46290</x:v>
      </x:c>
      <x:c r="I14" s="156" t="n">
        <x:f>'SLOT_RULES'!$D$8+IF($A14&lt;='SLOT_RULES'!$D$8,0,INT(($A14-'SLOT_RULES'!$D$8-1)/'SLOT_RULES'!$E$8)+1)*'SLOT_RULES'!$E$8</x:f>
        <x:v>46300</x:v>
      </x:c>
      <x:c r="J14" s="156" t="n">
        <x:f>'SLOT_RULES'!$D$9+IF($A14&lt;='SLOT_RULES'!$D$9,0,INT(($A14-'SLOT_RULES'!$D$9-1)/'SLOT_RULES'!$E$9)+1)*'SLOT_RULES'!$E$9</x:f>
        <x:v>46286</x:v>
      </x:c>
      <x:c r="K14" s="156" t="n">
        <x:f>'SLOT_RULES'!$D$10+IF($A14&lt;='SLOT_RULES'!$D$10,0,INT(($A14-'SLOT_RULES'!$D$10-1)/'SLOT_RULES'!$E$10)+1)*'SLOT_RULES'!$E$10</x:f>
        <x:v>46301</x:v>
      </x:c>
      <x:c r="L14" s="156" t="n">
        <x:f>'SLOT_RULES'!$D$11+IF($A14&lt;='SLOT_RULES'!$D$11,0,INT(($A14-'SLOT_RULES'!$D$11-1)/'SLOT_RULES'!$E$11)+1)*'SLOT_RULES'!$E$11</x:f>
        <x:v>46280</x:v>
      </x:c>
      <x:c r="M14" s="156" t="n">
        <x:f>'SLOT_RULES'!$D$12+IF($A14&lt;='SLOT_RULES'!$D$12,0,INT(($A14-'SLOT_RULES'!$D$12-1)/'SLOT_RULES'!$E$12)+1)*'SLOT_RULES'!$E$12</x:f>
        <x:v>46285</x:v>
      </x:c>
      <x:c r="N14" s="156" t="n">
        <x:f>'SLOT_RULES'!$D$13+IF($A14&lt;='SLOT_RULES'!$D$13,0,INT(($A14-'SLOT_RULES'!$D$13-1)/'SLOT_RULES'!$E$13)+1)*'SLOT_RULES'!$E$13</x:f>
        <x:v>46321</x:v>
      </x:c>
      <x:c r="O14" s="156" t="n">
        <x:f>'SLOT_RULES'!$D$14+IF($A14&lt;='SLOT_RULES'!$D$14,0,INT(($A14-'SLOT_RULES'!$D$14-1)/'SLOT_RULES'!$E$14)+1)*'SLOT_RULES'!$E$14</x:f>
        <x:v>46350</x:v>
      </x:c>
      <x:c r="P14" s="156" t="n">
        <x:f>'SLOT_RULES'!$D$15+IF($A14&lt;='SLOT_RULES'!$D$15,0,INT(($A14-'SLOT_RULES'!$D$15-1)/'SLOT_RULES'!$E$15)+1)*'SLOT_RULES'!$E$15</x:f>
        <x:v>46422</x:v>
      </x:c>
      <x:c r="Q14" s="158" t="n">
        <x:f>MIN(E14:P14)-A14</x:f>
        <x:v>3</x:v>
      </x:c>
      <x:c r="R14" s="158" t="n">
        <x:f>MAX(E14:P14)-A14</x:f>
        <x:v>145</x:v>
      </x:c>
      <x:c r="S14" s="86" t="str">
        <x:f>IF(AND(COUNT(E14:P14)=10,MIN(E14:P14)&gt;=A14),"PASS","FAIL")</x:f>
        <x:v>PASS</x:v>
      </x:c>
      <x:c r="T14" s="86" t="str">
        <x: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x:f>
        <x:v>PASS</x:v>
      </x:c>
      <x:c r="U14" s="86" t="str">
        <x: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x:f>
        <x:v>PASS</x:v>
      </x:c>
      <x:c r="V14" s="86" t="str">
        <x: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x:f>
        <x:v>PASS</x:v>
      </x:c>
      <x:c r="W14" s="87" t="str">
        <x:f>'CRAWL_LOG'!B14</x:f>
        <x:v>Chưa chạy</x:v>
      </x:c>
      <x:c r="X14" s="95" t="inlineStr">
        <x:is>
          <x:t xml:space="preserve">10-slot panel: 7 near + 3 far; AN2/AN3 inactive from 03/09</x:t>
        </x:is>
      </x:c>
    </x:row>
    <x:row r="15">
      <x:c r="A15" s="155" t="n">
        <x:v>46278</x:v>
      </x:c>
      <x:c r="B15" s="83" t="inlineStr">
        <x:is>
          <x:t xml:space="preserve">Chủ Nhật</x:t>
        </x:is>
      </x:c>
      <x:c r="C15" s="83" t="inlineStr">
        <x:is>
          <x:t xml:space="preserve">Official</x:t>
        </x:is>
      </x:c>
      <x:c r="D15" s="83" t="inlineStr">
        <x:is>
          <x:t xml:space="preserve">00:30</x:t>
        </x:is>
      </x:c>
      <x:c r="E15" s="156" t="n">
        <x:f>'SLOT_RULES'!$D$4+IF($A15&lt;='SLOT_RULES'!$D$4,0,INT(($A15-'SLOT_RULES'!$D$4-1)/'SLOT_RULES'!$E$4)+1)*'SLOT_RULES'!$E$4</x:f>
        <x:v>46297</x:v>
      </x:c>
      <x:c r="F15" s="157" t="n"/>
      <x:c r="G15" s="157" t="n"/>
      <x:c r="H15" s="156" t="n">
        <x:f>'SLOT_RULES'!$D$7+IF($A15&lt;='SLOT_RULES'!$D$7,0,INT(($A15-'SLOT_RULES'!$D$7-1)/'SLOT_RULES'!$E$7)+1)*'SLOT_RULES'!$E$7</x:f>
        <x:v>46290</x:v>
      </x:c>
      <x:c r="I15" s="156" t="n">
        <x:f>'SLOT_RULES'!$D$8+IF($A15&lt;='SLOT_RULES'!$D$8,0,INT(($A15-'SLOT_RULES'!$D$8-1)/'SLOT_RULES'!$E$8)+1)*'SLOT_RULES'!$E$8</x:f>
        <x:v>46300</x:v>
      </x:c>
      <x:c r="J15" s="156" t="n">
        <x:f>'SLOT_RULES'!$D$9+IF($A15&lt;='SLOT_RULES'!$D$9,0,INT(($A15-'SLOT_RULES'!$D$9-1)/'SLOT_RULES'!$E$9)+1)*'SLOT_RULES'!$E$9</x:f>
        <x:v>46286</x:v>
      </x:c>
      <x:c r="K15" s="156" t="n">
        <x:f>'SLOT_RULES'!$D$10+IF($A15&lt;='SLOT_RULES'!$D$10,0,INT(($A15-'SLOT_RULES'!$D$10-1)/'SLOT_RULES'!$E$10)+1)*'SLOT_RULES'!$E$10</x:f>
        <x:v>46301</x:v>
      </x:c>
      <x:c r="L15" s="156" t="n">
        <x:f>'SLOT_RULES'!$D$11+IF($A15&lt;='SLOT_RULES'!$D$11,0,INT(($A15-'SLOT_RULES'!$D$11-1)/'SLOT_RULES'!$E$11)+1)*'SLOT_RULES'!$E$11</x:f>
        <x:v>46280</x:v>
      </x:c>
      <x:c r="M15" s="156" t="n">
        <x:f>'SLOT_RULES'!$D$12+IF($A15&lt;='SLOT_RULES'!$D$12,0,INT(($A15-'SLOT_RULES'!$D$12-1)/'SLOT_RULES'!$E$12)+1)*'SLOT_RULES'!$E$12</x:f>
        <x:v>46285</x:v>
      </x:c>
      <x:c r="N15" s="156" t="n">
        <x:f>'SLOT_RULES'!$D$13+IF($A15&lt;='SLOT_RULES'!$D$13,0,INT(($A15-'SLOT_RULES'!$D$13-1)/'SLOT_RULES'!$E$13)+1)*'SLOT_RULES'!$E$13</x:f>
        <x:v>46321</x:v>
      </x:c>
      <x:c r="O15" s="156" t="n">
        <x:f>'SLOT_RULES'!$D$14+IF($A15&lt;='SLOT_RULES'!$D$14,0,INT(($A15-'SLOT_RULES'!$D$14-1)/'SLOT_RULES'!$E$14)+1)*'SLOT_RULES'!$E$14</x:f>
        <x:v>46350</x:v>
      </x:c>
      <x:c r="P15" s="156" t="n">
        <x:f>'SLOT_RULES'!$D$15+IF($A15&lt;='SLOT_RULES'!$D$15,0,INT(($A15-'SLOT_RULES'!$D$15-1)/'SLOT_RULES'!$E$15)+1)*'SLOT_RULES'!$E$15</x:f>
        <x:v>46422</x:v>
      </x:c>
      <x:c r="Q15" s="158" t="n">
        <x:f>MIN(E15:P15)-A15</x:f>
        <x:v>2</x:v>
      </x:c>
      <x:c r="R15" s="158" t="n">
        <x:f>MAX(E15:P15)-A15</x:f>
        <x:v>144</x:v>
      </x:c>
      <x:c r="S15" s="86" t="str">
        <x:f>IF(AND(COUNT(E15:P15)=10,MIN(E15:P15)&gt;=A15),"PASS","FAIL")</x:f>
        <x:v>PASS</x:v>
      </x:c>
      <x:c r="T15" s="86" t="str">
        <x: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x:f>
        <x:v>PASS</x:v>
      </x:c>
      <x:c r="U15" s="86" t="str">
        <x: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x:f>
        <x:v>PASS</x:v>
      </x:c>
      <x:c r="V15" s="86" t="str">
        <x: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x:f>
        <x:v>PASS</x:v>
      </x:c>
      <x:c r="W15" s="87" t="str">
        <x:f>'CRAWL_LOG'!B15</x:f>
        <x:v>Chưa chạy</x:v>
      </x:c>
      <x:c r="X15" s="95" t="inlineStr">
        <x:is>
          <x:t xml:space="preserve">10-slot panel: 7 near + 3 far; AN2/AN3 inactive from 03/09</x:t>
        </x:is>
      </x:c>
    </x:row>
    <x:row r="16">
      <x:c r="A16" s="155" t="n">
        <x:v>46279</x:v>
      </x:c>
      <x:c r="B16" s="83" t="inlineStr">
        <x:is>
          <x:t xml:space="preserve">Thứ Hai</x:t>
        </x:is>
      </x:c>
      <x:c r="C16" s="83" t="inlineStr">
        <x:is>
          <x:t xml:space="preserve">Official</x:t>
        </x:is>
      </x:c>
      <x:c r="D16" s="83" t="inlineStr">
        <x:is>
          <x:t xml:space="preserve">00:30</x:t>
        </x:is>
      </x:c>
      <x:c r="E16" s="156" t="n">
        <x:f>'SLOT_RULES'!$D$4+IF($A16&lt;='SLOT_RULES'!$D$4,0,INT(($A16-'SLOT_RULES'!$D$4-1)/'SLOT_RULES'!$E$4)+1)*'SLOT_RULES'!$E$4</x:f>
        <x:v>46297</x:v>
      </x:c>
      <x:c r="F16" s="157" t="n"/>
      <x:c r="G16" s="157" t="n"/>
      <x:c r="H16" s="156" t="n">
        <x:f>'SLOT_RULES'!$D$7+IF($A16&lt;='SLOT_RULES'!$D$7,0,INT(($A16-'SLOT_RULES'!$D$7-1)/'SLOT_RULES'!$E$7)+1)*'SLOT_RULES'!$E$7</x:f>
        <x:v>46290</x:v>
      </x:c>
      <x:c r="I16" s="156" t="n">
        <x:f>'SLOT_RULES'!$D$8+IF($A16&lt;='SLOT_RULES'!$D$8,0,INT(($A16-'SLOT_RULES'!$D$8-1)/'SLOT_RULES'!$E$8)+1)*'SLOT_RULES'!$E$8</x:f>
        <x:v>46300</x:v>
      </x:c>
      <x:c r="J16" s="156" t="n">
        <x:f>'SLOT_RULES'!$D$9+IF($A16&lt;='SLOT_RULES'!$D$9,0,INT(($A16-'SLOT_RULES'!$D$9-1)/'SLOT_RULES'!$E$9)+1)*'SLOT_RULES'!$E$9</x:f>
        <x:v>46286</x:v>
      </x:c>
      <x:c r="K16" s="156" t="n">
        <x:f>'SLOT_RULES'!$D$10+IF($A16&lt;='SLOT_RULES'!$D$10,0,INT(($A16-'SLOT_RULES'!$D$10-1)/'SLOT_RULES'!$E$10)+1)*'SLOT_RULES'!$E$10</x:f>
        <x:v>46301</x:v>
      </x:c>
      <x:c r="L16" s="156" t="n">
        <x:f>'SLOT_RULES'!$D$11+IF($A16&lt;='SLOT_RULES'!$D$11,0,INT(($A16-'SLOT_RULES'!$D$11-1)/'SLOT_RULES'!$E$11)+1)*'SLOT_RULES'!$E$11</x:f>
        <x:v>46280</x:v>
      </x:c>
      <x:c r="M16" s="156" t="n">
        <x:f>'SLOT_RULES'!$D$12+IF($A16&lt;='SLOT_RULES'!$D$12,0,INT(($A16-'SLOT_RULES'!$D$12-1)/'SLOT_RULES'!$E$12)+1)*'SLOT_RULES'!$E$12</x:f>
        <x:v>46285</x:v>
      </x:c>
      <x:c r="N16" s="156" t="n">
        <x:f>'SLOT_RULES'!$D$13+IF($A16&lt;='SLOT_RULES'!$D$13,0,INT(($A16-'SLOT_RULES'!$D$13-1)/'SLOT_RULES'!$E$13)+1)*'SLOT_RULES'!$E$13</x:f>
        <x:v>46321</x:v>
      </x:c>
      <x:c r="O16" s="156" t="n">
        <x:f>'SLOT_RULES'!$D$14+IF($A16&lt;='SLOT_RULES'!$D$14,0,INT(($A16-'SLOT_RULES'!$D$14-1)/'SLOT_RULES'!$E$14)+1)*'SLOT_RULES'!$E$14</x:f>
        <x:v>46350</x:v>
      </x:c>
      <x:c r="P16" s="156" t="n">
        <x:f>'SLOT_RULES'!$D$15+IF($A16&lt;='SLOT_RULES'!$D$15,0,INT(($A16-'SLOT_RULES'!$D$15-1)/'SLOT_RULES'!$E$15)+1)*'SLOT_RULES'!$E$15</x:f>
        <x:v>46422</x:v>
      </x:c>
      <x:c r="Q16" s="158" t="n">
        <x:f>MIN(E16:P16)-A16</x:f>
        <x:v>1</x:v>
      </x:c>
      <x:c r="R16" s="158" t="n">
        <x:f>MAX(E16:P16)-A16</x:f>
        <x:v>143</x:v>
      </x:c>
      <x:c r="S16" s="86" t="str">
        <x:f>IF(AND(COUNT(E16:P16)=10,MIN(E16:P16)&gt;=A16),"PASS","FAIL")</x:f>
        <x:v>PASS</x:v>
      </x:c>
      <x:c r="T16" s="86" t="str">
        <x: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x:f>
        <x:v>PASS</x:v>
      </x:c>
      <x:c r="U16" s="86" t="str">
        <x: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x:f>
        <x:v>PASS</x:v>
      </x:c>
      <x:c r="V16" s="86" t="str">
        <x: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x:f>
        <x:v>PASS</x:v>
      </x:c>
      <x:c r="W16" s="87" t="str">
        <x:f>'CRAWL_LOG'!B16</x:f>
        <x:v>Chưa chạy</x:v>
      </x:c>
      <x:c r="X16" s="95" t="inlineStr">
        <x:is>
          <x:t xml:space="preserve">10-slot panel: 7 near + 3 far; AN2/AN3 inactive from 03/09</x:t>
        </x:is>
      </x:c>
    </x:row>
    <x:row r="17">
      <x:c r="A17" s="155" t="n">
        <x:v>46280</x:v>
      </x:c>
      <x:c r="B17" s="83" t="inlineStr">
        <x:is>
          <x:t xml:space="preserve">Thứ Ba</x:t>
        </x:is>
      </x:c>
      <x:c r="C17" s="83" t="inlineStr">
        <x:is>
          <x:t xml:space="preserve">Official</x:t>
        </x:is>
      </x:c>
      <x:c r="D17" s="83" t="inlineStr">
        <x:is>
          <x:t xml:space="preserve">00:30</x:t>
        </x:is>
      </x:c>
      <x:c r="E17" s="156" t="n">
        <x:f>'SLOT_RULES'!$D$4+IF($A17&lt;='SLOT_RULES'!$D$4,0,INT(($A17-'SLOT_RULES'!$D$4-1)/'SLOT_RULES'!$E$4)+1)*'SLOT_RULES'!$E$4</x:f>
        <x:v>46297</x:v>
      </x:c>
      <x:c r="F17" s="157" t="n"/>
      <x:c r="G17" s="157" t="n"/>
      <x:c r="H17" s="156" t="n">
        <x:f>'SLOT_RULES'!$D$7+IF($A17&lt;='SLOT_RULES'!$D$7,0,INT(($A17-'SLOT_RULES'!$D$7-1)/'SLOT_RULES'!$E$7)+1)*'SLOT_RULES'!$E$7</x:f>
        <x:v>46290</x:v>
      </x:c>
      <x:c r="I17" s="156" t="n">
        <x:f>'SLOT_RULES'!$D$8+IF($A17&lt;='SLOT_RULES'!$D$8,0,INT(($A17-'SLOT_RULES'!$D$8-1)/'SLOT_RULES'!$E$8)+1)*'SLOT_RULES'!$E$8</x:f>
        <x:v>46300</x:v>
      </x:c>
      <x:c r="J17" s="156" t="n">
        <x:f>'SLOT_RULES'!$D$9+IF($A17&lt;='SLOT_RULES'!$D$9,0,INT(($A17-'SLOT_RULES'!$D$9-1)/'SLOT_RULES'!$E$9)+1)*'SLOT_RULES'!$E$9</x:f>
        <x:v>46286</x:v>
      </x:c>
      <x:c r="K17" s="156" t="n">
        <x:f>'SLOT_RULES'!$D$10+IF($A17&lt;='SLOT_RULES'!$D$10,0,INT(($A17-'SLOT_RULES'!$D$10-1)/'SLOT_RULES'!$E$10)+1)*'SLOT_RULES'!$E$10</x:f>
        <x:v>46301</x:v>
      </x:c>
      <x:c r="L17" s="156" t="n">
        <x:f>'SLOT_RULES'!$D$11+IF($A17&lt;='SLOT_RULES'!$D$11,0,INT(($A17-'SLOT_RULES'!$D$11-1)/'SLOT_RULES'!$E$11)+1)*'SLOT_RULES'!$E$11</x:f>
        <x:v>46280</x:v>
      </x:c>
      <x:c r="M17" s="156" t="n">
        <x:f>'SLOT_RULES'!$D$12+IF($A17&lt;='SLOT_RULES'!$D$12,0,INT(($A17-'SLOT_RULES'!$D$12-1)/'SLOT_RULES'!$E$12)+1)*'SLOT_RULES'!$E$12</x:f>
        <x:v>46285</x:v>
      </x:c>
      <x:c r="N17" s="156" t="n">
        <x:f>'SLOT_RULES'!$D$13+IF($A17&lt;='SLOT_RULES'!$D$13,0,INT(($A17-'SLOT_RULES'!$D$13-1)/'SLOT_RULES'!$E$13)+1)*'SLOT_RULES'!$E$13</x:f>
        <x:v>46321</x:v>
      </x:c>
      <x:c r="O17" s="156" t="n">
        <x:f>'SLOT_RULES'!$D$14+IF($A17&lt;='SLOT_RULES'!$D$14,0,INT(($A17-'SLOT_RULES'!$D$14-1)/'SLOT_RULES'!$E$14)+1)*'SLOT_RULES'!$E$14</x:f>
        <x:v>46350</x:v>
      </x:c>
      <x:c r="P17" s="156" t="n">
        <x:f>'SLOT_RULES'!$D$15+IF($A17&lt;='SLOT_RULES'!$D$15,0,INT(($A17-'SLOT_RULES'!$D$15-1)/'SLOT_RULES'!$E$15)+1)*'SLOT_RULES'!$E$15</x:f>
        <x:v>46422</x:v>
      </x:c>
      <x:c r="Q17" s="158" t="n">
        <x:f>MIN(E17:P17)-A17</x:f>
        <x:v>0</x:v>
      </x:c>
      <x:c r="R17" s="158" t="n">
        <x:f>MAX(E17:P17)-A17</x:f>
        <x:v>142</x:v>
      </x:c>
      <x:c r="S17" s="86" t="str">
        <x:f>IF(AND(COUNT(E17:P17)=10,MIN(E17:P17)&gt;=A17),"PASS","FAIL")</x:f>
        <x:v>PASS</x:v>
      </x:c>
      <x:c r="T17" s="86" t="str">
        <x: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x:f>
        <x:v>PASS</x:v>
      </x:c>
      <x:c r="U17" s="86" t="str">
        <x: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x:f>
        <x:v>PASS</x:v>
      </x:c>
      <x:c r="V17" s="86" t="str">
        <x: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x:f>
        <x:v>PASS</x:v>
      </x:c>
      <x:c r="W17" s="87" t="str">
        <x:f>'CRAWL_LOG'!B17</x:f>
        <x:v>Chưa chạy</x:v>
      </x:c>
      <x:c r="X17" s="95" t="inlineStr">
        <x:is>
          <x:t xml:space="preserve">10-slot panel: 7 near + 3 far; AN2/AN3 inactive from 03/09</x:t>
        </x:is>
      </x:c>
    </x:row>
    <x:row r="18">
      <x:c r="A18" s="155" t="n">
        <x:v>46281</x:v>
      </x:c>
      <x:c r="B18" s="83" t="inlineStr">
        <x:is>
          <x:t xml:space="preserve">Thứ Tư</x:t>
        </x:is>
      </x:c>
      <x:c r="C18" s="83" t="inlineStr">
        <x:is>
          <x:t xml:space="preserve">Official</x:t>
        </x:is>
      </x:c>
      <x:c r="D18" s="83" t="inlineStr">
        <x:is>
          <x:t xml:space="preserve">00:30</x:t>
        </x:is>
      </x:c>
      <x:c r="E18" s="156" t="n">
        <x:f>'SLOT_RULES'!$D$4+IF($A18&lt;='SLOT_RULES'!$D$4,0,INT(($A18-'SLOT_RULES'!$D$4-1)/'SLOT_RULES'!$E$4)+1)*'SLOT_RULES'!$E$4</x:f>
        <x:v>46297</x:v>
      </x:c>
      <x:c r="F18" s="157" t="n"/>
      <x:c r="G18" s="157" t="n"/>
      <x:c r="H18" s="156" t="n">
        <x:f>'SLOT_RULES'!$D$7+IF($A18&lt;='SLOT_RULES'!$D$7,0,INT(($A18-'SLOT_RULES'!$D$7-1)/'SLOT_RULES'!$E$7)+1)*'SLOT_RULES'!$E$7</x:f>
        <x:v>46290</x:v>
      </x:c>
      <x:c r="I18" s="156" t="n">
        <x:f>'SLOT_RULES'!$D$8+IF($A18&lt;='SLOT_RULES'!$D$8,0,INT(($A18-'SLOT_RULES'!$D$8-1)/'SLOT_RULES'!$E$8)+1)*'SLOT_RULES'!$E$8</x:f>
        <x:v>46300</x:v>
      </x:c>
      <x:c r="J18" s="156" t="n">
        <x:f>'SLOT_RULES'!$D$9+IF($A18&lt;='SLOT_RULES'!$D$9,0,INT(($A18-'SLOT_RULES'!$D$9-1)/'SLOT_RULES'!$E$9)+1)*'SLOT_RULES'!$E$9</x:f>
        <x:v>46286</x:v>
      </x:c>
      <x:c r="K18" s="156" t="n">
        <x:f>'SLOT_RULES'!$D$10+IF($A18&lt;='SLOT_RULES'!$D$10,0,INT(($A18-'SLOT_RULES'!$D$10-1)/'SLOT_RULES'!$E$10)+1)*'SLOT_RULES'!$E$10</x:f>
        <x:v>46301</x:v>
      </x:c>
      <x:c r="L18" s="156" t="n">
        <x:f>'SLOT_RULES'!$D$11+IF($A18&lt;='SLOT_RULES'!$D$11,0,INT(($A18-'SLOT_RULES'!$D$11-1)/'SLOT_RULES'!$E$11)+1)*'SLOT_RULES'!$E$11</x:f>
        <x:v>46308</x:v>
      </x:c>
      <x:c r="M18" s="156" t="n">
        <x:f>'SLOT_RULES'!$D$12+IF($A18&lt;='SLOT_RULES'!$D$12,0,INT(($A18-'SLOT_RULES'!$D$12-1)/'SLOT_RULES'!$E$12)+1)*'SLOT_RULES'!$E$12</x:f>
        <x:v>46285</x:v>
      </x:c>
      <x:c r="N18" s="156" t="n">
        <x:f>'SLOT_RULES'!$D$13+IF($A18&lt;='SLOT_RULES'!$D$13,0,INT(($A18-'SLOT_RULES'!$D$13-1)/'SLOT_RULES'!$E$13)+1)*'SLOT_RULES'!$E$13</x:f>
        <x:v>46321</x:v>
      </x:c>
      <x:c r="O18" s="156" t="n">
        <x:f>'SLOT_RULES'!$D$14+IF($A18&lt;='SLOT_RULES'!$D$14,0,INT(($A18-'SLOT_RULES'!$D$14-1)/'SLOT_RULES'!$E$14)+1)*'SLOT_RULES'!$E$14</x:f>
        <x:v>46350</x:v>
      </x:c>
      <x:c r="P18" s="156" t="n">
        <x:f>'SLOT_RULES'!$D$15+IF($A18&lt;='SLOT_RULES'!$D$15,0,INT(($A18-'SLOT_RULES'!$D$15-1)/'SLOT_RULES'!$E$15)+1)*'SLOT_RULES'!$E$15</x:f>
        <x:v>46422</x:v>
      </x:c>
      <x:c r="Q18" s="158" t="n">
        <x:f>MIN(E18:P18)-A18</x:f>
        <x:v>4</x:v>
      </x:c>
      <x:c r="R18" s="158" t="n">
        <x:f>MAX(E18:P18)-A18</x:f>
        <x:v>141</x:v>
      </x:c>
      <x:c r="S18" s="86" t="str">
        <x:f>IF(AND(COUNT(E18:P18)=10,MIN(E18:P18)&gt;=A18),"PASS","FAIL")</x:f>
        <x:v>PASS</x:v>
      </x:c>
      <x:c r="T18" s="86" t="str">
        <x: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x:f>
        <x:v>PASS</x:v>
      </x:c>
      <x:c r="U18" s="86" t="str">
        <x: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x:f>
        <x:v>PASS</x:v>
      </x:c>
      <x:c r="V18" s="86" t="str">
        <x: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x:f>
        <x:v>PASS</x:v>
      </x:c>
      <x:c r="W18" s="87" t="str">
        <x:f>'CRAWL_LOG'!B18</x:f>
        <x:v>Chưa chạy</x:v>
      </x:c>
      <x:c r="X18" s="95" t="inlineStr">
        <x:is>
          <x:t xml:space="preserve">10-slot panel: 7 near + 3 far; AN2/AN3 inactive from 03/09</x:t>
        </x:is>
      </x:c>
    </x:row>
    <x:row r="19">
      <x:c r="A19" s="155" t="n">
        <x:v>46282</x:v>
      </x:c>
      <x:c r="B19" s="83" t="inlineStr">
        <x:is>
          <x:t xml:space="preserve">Thứ Năm</x:t>
        </x:is>
      </x:c>
      <x:c r="C19" s="83" t="inlineStr">
        <x:is>
          <x:t xml:space="preserve">Official</x:t>
        </x:is>
      </x:c>
      <x:c r="D19" s="83" t="inlineStr">
        <x:is>
          <x:t xml:space="preserve">00:30</x:t>
        </x:is>
      </x:c>
      <x:c r="E19" s="156" t="n">
        <x:f>'SLOT_RULES'!$D$4+IF($A19&lt;='SLOT_RULES'!$D$4,0,INT(($A19-'SLOT_RULES'!$D$4-1)/'SLOT_RULES'!$E$4)+1)*'SLOT_RULES'!$E$4</x:f>
        <x:v>46297</x:v>
      </x:c>
      <x:c r="F19" s="157" t="n"/>
      <x:c r="G19" s="157" t="n"/>
      <x:c r="H19" s="156" t="n">
        <x:f>'SLOT_RULES'!$D$7+IF($A19&lt;='SLOT_RULES'!$D$7,0,INT(($A19-'SLOT_RULES'!$D$7-1)/'SLOT_RULES'!$E$7)+1)*'SLOT_RULES'!$E$7</x:f>
        <x:v>46290</x:v>
      </x:c>
      <x:c r="I19" s="156" t="n">
        <x:f>'SLOT_RULES'!$D$8+IF($A19&lt;='SLOT_RULES'!$D$8,0,INT(($A19-'SLOT_RULES'!$D$8-1)/'SLOT_RULES'!$E$8)+1)*'SLOT_RULES'!$E$8</x:f>
        <x:v>46300</x:v>
      </x:c>
      <x:c r="J19" s="156" t="n">
        <x:f>'SLOT_RULES'!$D$9+IF($A19&lt;='SLOT_RULES'!$D$9,0,INT(($A19-'SLOT_RULES'!$D$9-1)/'SLOT_RULES'!$E$9)+1)*'SLOT_RULES'!$E$9</x:f>
        <x:v>46286</x:v>
      </x:c>
      <x:c r="K19" s="156" t="n">
        <x:f>'SLOT_RULES'!$D$10+IF($A19&lt;='SLOT_RULES'!$D$10,0,INT(($A19-'SLOT_RULES'!$D$10-1)/'SLOT_RULES'!$E$10)+1)*'SLOT_RULES'!$E$10</x:f>
        <x:v>46301</x:v>
      </x:c>
      <x:c r="L19" s="156" t="n">
        <x:f>'SLOT_RULES'!$D$11+IF($A19&lt;='SLOT_RULES'!$D$11,0,INT(($A19-'SLOT_RULES'!$D$11-1)/'SLOT_RULES'!$E$11)+1)*'SLOT_RULES'!$E$11</x:f>
        <x:v>46308</x:v>
      </x:c>
      <x:c r="M19" s="156" t="n">
        <x:f>'SLOT_RULES'!$D$12+IF($A19&lt;='SLOT_RULES'!$D$12,0,INT(($A19-'SLOT_RULES'!$D$12-1)/'SLOT_RULES'!$E$12)+1)*'SLOT_RULES'!$E$12</x:f>
        <x:v>46285</x:v>
      </x:c>
      <x:c r="N19" s="156" t="n">
        <x:f>'SLOT_RULES'!$D$13+IF($A19&lt;='SLOT_RULES'!$D$13,0,INT(($A19-'SLOT_RULES'!$D$13-1)/'SLOT_RULES'!$E$13)+1)*'SLOT_RULES'!$E$13</x:f>
        <x:v>46321</x:v>
      </x:c>
      <x:c r="O19" s="156" t="n">
        <x:f>'SLOT_RULES'!$D$14+IF($A19&lt;='SLOT_RULES'!$D$14,0,INT(($A19-'SLOT_RULES'!$D$14-1)/'SLOT_RULES'!$E$14)+1)*'SLOT_RULES'!$E$14</x:f>
        <x:v>46350</x:v>
      </x:c>
      <x:c r="P19" s="156" t="n">
        <x:f>'SLOT_RULES'!$D$15+IF($A19&lt;='SLOT_RULES'!$D$15,0,INT(($A19-'SLOT_RULES'!$D$15-1)/'SLOT_RULES'!$E$15)+1)*'SLOT_RULES'!$E$15</x:f>
        <x:v>46422</x:v>
      </x:c>
      <x:c r="Q19" s="158" t="n">
        <x:f>MIN(E19:P19)-A19</x:f>
        <x:v>3</x:v>
      </x:c>
      <x:c r="R19" s="158" t="n">
        <x:f>MAX(E19:P19)-A19</x:f>
        <x:v>140</x:v>
      </x:c>
      <x:c r="S19" s="86" t="str">
        <x:f>IF(AND(COUNT(E19:P19)=10,MIN(E19:P19)&gt;=A19),"PASS","FAIL")</x:f>
        <x:v>PASS</x:v>
      </x:c>
      <x:c r="T19" s="86" t="str">
        <x: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x:f>
        <x:v>PASS</x:v>
      </x:c>
      <x:c r="U19" s="86" t="str">
        <x: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x:f>
        <x:v>PASS</x:v>
      </x:c>
      <x:c r="V19" s="86" t="str">
        <x: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x:f>
        <x:v>PASS</x:v>
      </x:c>
      <x:c r="W19" s="87" t="str">
        <x:f>'CRAWL_LOG'!B19</x:f>
        <x:v>Chưa chạy</x:v>
      </x:c>
      <x:c r="X19" s="95" t="inlineStr">
        <x:is>
          <x:t xml:space="preserve">10-slot panel: 7 near + 3 far; AN2/AN3 inactive from 03/09</x:t>
        </x:is>
      </x:c>
    </x:row>
    <x:row r="20">
      <x:c r="A20" s="155" t="n">
        <x:v>46283</x:v>
      </x:c>
      <x:c r="B20" s="83" t="inlineStr">
        <x:is>
          <x:t xml:space="preserve">Thứ Sáu</x:t>
        </x:is>
      </x:c>
      <x:c r="C20" s="83" t="inlineStr">
        <x:is>
          <x:t xml:space="preserve">Official</x:t>
        </x:is>
      </x:c>
      <x:c r="D20" s="83" t="inlineStr">
        <x:is>
          <x:t xml:space="preserve">00:30</x:t>
        </x:is>
      </x:c>
      <x:c r="E20" s="156" t="n">
        <x:f>'SLOT_RULES'!$D$4+IF($A20&lt;='SLOT_RULES'!$D$4,0,INT(($A20-'SLOT_RULES'!$D$4-1)/'SLOT_RULES'!$E$4)+1)*'SLOT_RULES'!$E$4</x:f>
        <x:v>46297</x:v>
      </x:c>
      <x:c r="F20" s="157" t="n"/>
      <x:c r="G20" s="157" t="n"/>
      <x:c r="H20" s="156" t="n">
        <x:f>'SLOT_RULES'!$D$7+IF($A20&lt;='SLOT_RULES'!$D$7,0,INT(($A20-'SLOT_RULES'!$D$7-1)/'SLOT_RULES'!$E$7)+1)*'SLOT_RULES'!$E$7</x:f>
        <x:v>46290</x:v>
      </x:c>
      <x:c r="I20" s="156" t="n">
        <x:f>'SLOT_RULES'!$D$8+IF($A20&lt;='SLOT_RULES'!$D$8,0,INT(($A20-'SLOT_RULES'!$D$8-1)/'SLOT_RULES'!$E$8)+1)*'SLOT_RULES'!$E$8</x:f>
        <x:v>46300</x:v>
      </x:c>
      <x:c r="J20" s="156" t="n">
        <x:f>'SLOT_RULES'!$D$9+IF($A20&lt;='SLOT_RULES'!$D$9,0,INT(($A20-'SLOT_RULES'!$D$9-1)/'SLOT_RULES'!$E$9)+1)*'SLOT_RULES'!$E$9</x:f>
        <x:v>46286</x:v>
      </x:c>
      <x:c r="K20" s="156" t="n">
        <x:f>'SLOT_RULES'!$D$10+IF($A20&lt;='SLOT_RULES'!$D$10,0,INT(($A20-'SLOT_RULES'!$D$10-1)/'SLOT_RULES'!$E$10)+1)*'SLOT_RULES'!$E$10</x:f>
        <x:v>46301</x:v>
      </x:c>
      <x:c r="L20" s="156" t="n">
        <x:f>'SLOT_RULES'!$D$11+IF($A20&lt;='SLOT_RULES'!$D$11,0,INT(($A20-'SLOT_RULES'!$D$11-1)/'SLOT_RULES'!$E$11)+1)*'SLOT_RULES'!$E$11</x:f>
        <x:v>46308</x:v>
      </x:c>
      <x:c r="M20" s="156" t="n">
        <x:f>'SLOT_RULES'!$D$12+IF($A20&lt;='SLOT_RULES'!$D$12,0,INT(($A20-'SLOT_RULES'!$D$12-1)/'SLOT_RULES'!$E$12)+1)*'SLOT_RULES'!$E$12</x:f>
        <x:v>46285</x:v>
      </x:c>
      <x:c r="N20" s="156" t="n">
        <x:f>'SLOT_RULES'!$D$13+IF($A20&lt;='SLOT_RULES'!$D$13,0,INT(($A20-'SLOT_RULES'!$D$13-1)/'SLOT_RULES'!$E$13)+1)*'SLOT_RULES'!$E$13</x:f>
        <x:v>46321</x:v>
      </x:c>
      <x:c r="O20" s="156" t="n">
        <x:f>'SLOT_RULES'!$D$14+IF($A20&lt;='SLOT_RULES'!$D$14,0,INT(($A20-'SLOT_RULES'!$D$14-1)/'SLOT_RULES'!$E$14)+1)*'SLOT_RULES'!$E$14</x:f>
        <x:v>46350</x:v>
      </x:c>
      <x:c r="P20" s="156" t="n">
        <x:f>'SLOT_RULES'!$D$15+IF($A20&lt;='SLOT_RULES'!$D$15,0,INT(($A20-'SLOT_RULES'!$D$15-1)/'SLOT_RULES'!$E$15)+1)*'SLOT_RULES'!$E$15</x:f>
        <x:v>46422</x:v>
      </x:c>
      <x:c r="Q20" s="158" t="n">
        <x:f>MIN(E20:P20)-A20</x:f>
        <x:v>2</x:v>
      </x:c>
      <x:c r="R20" s="158" t="n">
        <x:f>MAX(E20:P20)-A20</x:f>
        <x:v>139</x:v>
      </x:c>
      <x:c r="S20" s="86" t="str">
        <x:f>IF(AND(COUNT(E20:P20)=10,MIN(E20:P20)&gt;=A20),"PASS","FAIL")</x:f>
        <x:v>PASS</x:v>
      </x:c>
      <x:c r="T20" s="86" t="str">
        <x: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x:f>
        <x:v>PASS</x:v>
      </x:c>
      <x:c r="U20" s="86" t="str">
        <x: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x:f>
        <x:v>PASS</x:v>
      </x:c>
      <x:c r="V20" s="86" t="str">
        <x: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x:f>
        <x:v>PASS</x:v>
      </x:c>
      <x:c r="W20" s="87" t="str">
        <x:f>'CRAWL_LOG'!B20</x:f>
        <x:v>Chưa chạy</x:v>
      </x:c>
      <x:c r="X20" s="95" t="inlineStr">
        <x:is>
          <x:t xml:space="preserve">10-slot panel: 7 near + 3 far; AN2/AN3 inactive from 03/09</x:t>
        </x:is>
      </x:c>
    </x:row>
    <x:row r="21">
      <x:c r="A21" s="155" t="n">
        <x:v>46284</x:v>
      </x:c>
      <x:c r="B21" s="83" t="inlineStr">
        <x:is>
          <x:t xml:space="preserve">Thứ Bảy</x:t>
        </x:is>
      </x:c>
      <x:c r="C21" s="83" t="inlineStr">
        <x:is>
          <x:t xml:space="preserve">Official</x:t>
        </x:is>
      </x:c>
      <x:c r="D21" s="83" t="inlineStr">
        <x:is>
          <x:t xml:space="preserve">00:30</x:t>
        </x:is>
      </x:c>
      <x:c r="E21" s="156" t="n">
        <x:f>'SLOT_RULES'!$D$4+IF($A21&lt;='SLOT_RULES'!$D$4,0,INT(($A21-'SLOT_RULES'!$D$4-1)/'SLOT_RULES'!$E$4)+1)*'SLOT_RULES'!$E$4</x:f>
        <x:v>46297</x:v>
      </x:c>
      <x:c r="F21" s="157" t="n"/>
      <x:c r="G21" s="157" t="n"/>
      <x:c r="H21" s="156" t="n">
        <x:f>'SLOT_RULES'!$D$7+IF($A21&lt;='SLOT_RULES'!$D$7,0,INT(($A21-'SLOT_RULES'!$D$7-1)/'SLOT_RULES'!$E$7)+1)*'SLOT_RULES'!$E$7</x:f>
        <x:v>46290</x:v>
      </x:c>
      <x:c r="I21" s="156" t="n">
        <x:f>'SLOT_RULES'!$D$8+IF($A21&lt;='SLOT_RULES'!$D$8,0,INT(($A21-'SLOT_RULES'!$D$8-1)/'SLOT_RULES'!$E$8)+1)*'SLOT_RULES'!$E$8</x:f>
        <x:v>46300</x:v>
      </x:c>
      <x:c r="J21" s="156" t="n">
        <x:f>'SLOT_RULES'!$D$9+IF($A21&lt;='SLOT_RULES'!$D$9,0,INT(($A21-'SLOT_RULES'!$D$9-1)/'SLOT_RULES'!$E$9)+1)*'SLOT_RULES'!$E$9</x:f>
        <x:v>46286</x:v>
      </x:c>
      <x:c r="K21" s="156" t="n">
        <x:f>'SLOT_RULES'!$D$10+IF($A21&lt;='SLOT_RULES'!$D$10,0,INT(($A21-'SLOT_RULES'!$D$10-1)/'SLOT_RULES'!$E$10)+1)*'SLOT_RULES'!$E$10</x:f>
        <x:v>46301</x:v>
      </x:c>
      <x:c r="L21" s="156" t="n">
        <x:f>'SLOT_RULES'!$D$11+IF($A21&lt;='SLOT_RULES'!$D$11,0,INT(($A21-'SLOT_RULES'!$D$11-1)/'SLOT_RULES'!$E$11)+1)*'SLOT_RULES'!$E$11</x:f>
        <x:v>46308</x:v>
      </x:c>
      <x:c r="M21" s="156" t="n">
        <x:f>'SLOT_RULES'!$D$12+IF($A21&lt;='SLOT_RULES'!$D$12,0,INT(($A21-'SLOT_RULES'!$D$12-1)/'SLOT_RULES'!$E$12)+1)*'SLOT_RULES'!$E$12</x:f>
        <x:v>46285</x:v>
      </x:c>
      <x:c r="N21" s="156" t="n">
        <x:f>'SLOT_RULES'!$D$13+IF($A21&lt;='SLOT_RULES'!$D$13,0,INT(($A21-'SLOT_RULES'!$D$13-1)/'SLOT_RULES'!$E$13)+1)*'SLOT_RULES'!$E$13</x:f>
        <x:v>46321</x:v>
      </x:c>
      <x:c r="O21" s="156" t="n">
        <x:f>'SLOT_RULES'!$D$14+IF($A21&lt;='SLOT_RULES'!$D$14,0,INT(($A21-'SLOT_RULES'!$D$14-1)/'SLOT_RULES'!$E$14)+1)*'SLOT_RULES'!$E$14</x:f>
        <x:v>46350</x:v>
      </x:c>
      <x:c r="P21" s="156" t="n">
        <x:f>'SLOT_RULES'!$D$15+IF($A21&lt;='SLOT_RULES'!$D$15,0,INT(($A21-'SLOT_RULES'!$D$15-1)/'SLOT_RULES'!$E$15)+1)*'SLOT_RULES'!$E$15</x:f>
        <x:v>46422</x:v>
      </x:c>
      <x:c r="Q21" s="158" t="n">
        <x:f>MIN(E21:P21)-A21</x:f>
        <x:v>1</x:v>
      </x:c>
      <x:c r="R21" s="158" t="n">
        <x:f>MAX(E21:P21)-A21</x:f>
        <x:v>138</x:v>
      </x:c>
      <x:c r="S21" s="86" t="str">
        <x:f>IF(AND(COUNT(E21:P21)=10,MIN(E21:P21)&gt;=A21),"PASS","FAIL")</x:f>
        <x:v>PASS</x:v>
      </x:c>
      <x:c r="T21" s="86" t="str">
        <x: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x:f>
        <x:v>PASS</x:v>
      </x:c>
      <x:c r="U21" s="86" t="str">
        <x: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x:f>
        <x:v>PASS</x:v>
      </x:c>
      <x:c r="V21" s="86" t="str">
        <x: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x:f>
        <x:v>PASS</x:v>
      </x:c>
      <x:c r="W21" s="87" t="str">
        <x:f>'CRAWL_LOG'!B21</x:f>
        <x:v>Chưa chạy</x:v>
      </x:c>
      <x:c r="X21" s="95" t="inlineStr">
        <x:is>
          <x:t xml:space="preserve">10-slot panel: 7 near + 3 far; AN2/AN3 inactive from 03/09</x:t>
        </x:is>
      </x:c>
    </x:row>
    <x:row r="22">
      <x:c r="A22" s="155" t="n">
        <x:v>46285</x:v>
      </x:c>
      <x:c r="B22" s="83" t="inlineStr">
        <x:is>
          <x:t xml:space="preserve">Chủ Nhật</x:t>
        </x:is>
      </x:c>
      <x:c r="C22" s="83" t="inlineStr">
        <x:is>
          <x:t xml:space="preserve">Official</x:t>
        </x:is>
      </x:c>
      <x:c r="D22" s="83" t="inlineStr">
        <x:is>
          <x:t xml:space="preserve">00:30</x:t>
        </x:is>
      </x:c>
      <x:c r="E22" s="156" t="n">
        <x:f>'SLOT_RULES'!$D$4+IF($A22&lt;='SLOT_RULES'!$D$4,0,INT(($A22-'SLOT_RULES'!$D$4-1)/'SLOT_RULES'!$E$4)+1)*'SLOT_RULES'!$E$4</x:f>
        <x:v>46297</x:v>
      </x:c>
      <x:c r="F22" s="157" t="n"/>
      <x:c r="G22" s="157" t="n"/>
      <x:c r="H22" s="156" t="n">
        <x:f>'SLOT_RULES'!$D$7+IF($A22&lt;='SLOT_RULES'!$D$7,0,INT(($A22-'SLOT_RULES'!$D$7-1)/'SLOT_RULES'!$E$7)+1)*'SLOT_RULES'!$E$7</x:f>
        <x:v>46290</x:v>
      </x:c>
      <x:c r="I22" s="156" t="n">
        <x:f>'SLOT_RULES'!$D$8+IF($A22&lt;='SLOT_RULES'!$D$8,0,INT(($A22-'SLOT_RULES'!$D$8-1)/'SLOT_RULES'!$E$8)+1)*'SLOT_RULES'!$E$8</x:f>
        <x:v>46300</x:v>
      </x:c>
      <x:c r="J22" s="156" t="n">
        <x:f>'SLOT_RULES'!$D$9+IF($A22&lt;='SLOT_RULES'!$D$9,0,INT(($A22-'SLOT_RULES'!$D$9-1)/'SLOT_RULES'!$E$9)+1)*'SLOT_RULES'!$E$9</x:f>
        <x:v>46286</x:v>
      </x:c>
      <x:c r="K22" s="156" t="n">
        <x:f>'SLOT_RULES'!$D$10+IF($A22&lt;='SLOT_RULES'!$D$10,0,INT(($A22-'SLOT_RULES'!$D$10-1)/'SLOT_RULES'!$E$10)+1)*'SLOT_RULES'!$E$10</x:f>
        <x:v>46301</x:v>
      </x:c>
      <x:c r="L22" s="156" t="n">
        <x:f>'SLOT_RULES'!$D$11+IF($A22&lt;='SLOT_RULES'!$D$11,0,INT(($A22-'SLOT_RULES'!$D$11-1)/'SLOT_RULES'!$E$11)+1)*'SLOT_RULES'!$E$11</x:f>
        <x:v>46308</x:v>
      </x:c>
      <x:c r="M22" s="156" t="n">
        <x:f>'SLOT_RULES'!$D$12+IF($A22&lt;='SLOT_RULES'!$D$12,0,INT(($A22-'SLOT_RULES'!$D$12-1)/'SLOT_RULES'!$E$12)+1)*'SLOT_RULES'!$E$12</x:f>
        <x:v>46285</x:v>
      </x:c>
      <x:c r="N22" s="156" t="n">
        <x:f>'SLOT_RULES'!$D$13+IF($A22&lt;='SLOT_RULES'!$D$13,0,INT(($A22-'SLOT_RULES'!$D$13-1)/'SLOT_RULES'!$E$13)+1)*'SLOT_RULES'!$E$13</x:f>
        <x:v>46321</x:v>
      </x:c>
      <x:c r="O22" s="156" t="n">
        <x:f>'SLOT_RULES'!$D$14+IF($A22&lt;='SLOT_RULES'!$D$14,0,INT(($A22-'SLOT_RULES'!$D$14-1)/'SLOT_RULES'!$E$14)+1)*'SLOT_RULES'!$E$14</x:f>
        <x:v>46350</x:v>
      </x:c>
      <x:c r="P22" s="156" t="n">
        <x:f>'SLOT_RULES'!$D$15+IF($A22&lt;='SLOT_RULES'!$D$15,0,INT(($A22-'SLOT_RULES'!$D$15-1)/'SLOT_RULES'!$E$15)+1)*'SLOT_RULES'!$E$15</x:f>
        <x:v>46422</x:v>
      </x:c>
      <x:c r="Q22" s="158" t="n">
        <x:f>MIN(E22:P22)-A22</x:f>
        <x:v>0</x:v>
      </x:c>
      <x:c r="R22" s="158" t="n">
        <x:f>MAX(E22:P22)-A22</x:f>
        <x:v>137</x:v>
      </x:c>
      <x:c r="S22" s="86" t="str">
        <x:f>IF(AND(COUNT(E22:P22)=10,MIN(E22:P22)&gt;=A22),"PASS","FAIL")</x:f>
        <x:v>PASS</x:v>
      </x:c>
      <x:c r="T22" s="86" t="str">
        <x: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x:f>
        <x:v>PASS</x:v>
      </x:c>
      <x:c r="U22" s="86" t="str">
        <x: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x:f>
        <x:v>PASS</x:v>
      </x:c>
      <x:c r="V22" s="86" t="str">
        <x: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x:f>
        <x:v>PASS</x:v>
      </x:c>
      <x:c r="W22" s="87" t="str">
        <x:f>'CRAWL_LOG'!B22</x:f>
        <x:v>Chưa chạy</x:v>
      </x:c>
      <x:c r="X22" s="95" t="inlineStr">
        <x:is>
          <x:t xml:space="preserve">10-slot panel: 7 near + 3 far; AN2/AN3 inactive from 03/09</x:t>
        </x:is>
      </x:c>
    </x:row>
    <x:row r="23">
      <x:c r="A23" s="155" t="n">
        <x:v>46286</x:v>
      </x:c>
      <x:c r="B23" s="83" t="inlineStr">
        <x:is>
          <x:t xml:space="preserve">Thứ Hai</x:t>
        </x:is>
      </x:c>
      <x:c r="C23" s="83" t="inlineStr">
        <x:is>
          <x:t xml:space="preserve">Official</x:t>
        </x:is>
      </x:c>
      <x:c r="D23" s="83" t="inlineStr">
        <x:is>
          <x:t xml:space="preserve">00:30</x:t>
        </x:is>
      </x:c>
      <x:c r="E23" s="156" t="n">
        <x:f>'SLOT_RULES'!$D$4+IF($A23&lt;='SLOT_RULES'!$D$4,0,INT(($A23-'SLOT_RULES'!$D$4-1)/'SLOT_RULES'!$E$4)+1)*'SLOT_RULES'!$E$4</x:f>
        <x:v>46297</x:v>
      </x:c>
      <x:c r="F23" s="157" t="n"/>
      <x:c r="G23" s="157" t="n"/>
      <x:c r="H23" s="156" t="n">
        <x:f>'SLOT_RULES'!$D$7+IF($A23&lt;='SLOT_RULES'!$D$7,0,INT(($A23-'SLOT_RULES'!$D$7-1)/'SLOT_RULES'!$E$7)+1)*'SLOT_RULES'!$E$7</x:f>
        <x:v>46290</x:v>
      </x:c>
      <x:c r="I23" s="156" t="n">
        <x:f>'SLOT_RULES'!$D$8+IF($A23&lt;='SLOT_RULES'!$D$8,0,INT(($A23-'SLOT_RULES'!$D$8-1)/'SLOT_RULES'!$E$8)+1)*'SLOT_RULES'!$E$8</x:f>
        <x:v>46300</x:v>
      </x:c>
      <x:c r="J23" s="156" t="n">
        <x:f>'SLOT_RULES'!$D$9+IF($A23&lt;='SLOT_RULES'!$D$9,0,INT(($A23-'SLOT_RULES'!$D$9-1)/'SLOT_RULES'!$E$9)+1)*'SLOT_RULES'!$E$9</x:f>
        <x:v>46286</x:v>
      </x:c>
      <x:c r="K23" s="156" t="n">
        <x:f>'SLOT_RULES'!$D$10+IF($A23&lt;='SLOT_RULES'!$D$10,0,INT(($A23-'SLOT_RULES'!$D$10-1)/'SLOT_RULES'!$E$10)+1)*'SLOT_RULES'!$E$10</x:f>
        <x:v>46301</x:v>
      </x:c>
      <x:c r="L23" s="156" t="n">
        <x:f>'SLOT_RULES'!$D$11+IF($A23&lt;='SLOT_RULES'!$D$11,0,INT(($A23-'SLOT_RULES'!$D$11-1)/'SLOT_RULES'!$E$11)+1)*'SLOT_RULES'!$E$11</x:f>
        <x:v>46308</x:v>
      </x:c>
      <x:c r="M23" s="156" t="n">
        <x:f>'SLOT_RULES'!$D$12+IF($A23&lt;='SLOT_RULES'!$D$12,0,INT(($A23-'SLOT_RULES'!$D$12-1)/'SLOT_RULES'!$E$12)+1)*'SLOT_RULES'!$E$12</x:f>
        <x:v>46313</x:v>
      </x:c>
      <x:c r="N23" s="156" t="n">
        <x:f>'SLOT_RULES'!$D$13+IF($A23&lt;='SLOT_RULES'!$D$13,0,INT(($A23-'SLOT_RULES'!$D$13-1)/'SLOT_RULES'!$E$13)+1)*'SLOT_RULES'!$E$13</x:f>
        <x:v>46321</x:v>
      </x:c>
      <x:c r="O23" s="156" t="n">
        <x:f>'SLOT_RULES'!$D$14+IF($A23&lt;='SLOT_RULES'!$D$14,0,INT(($A23-'SLOT_RULES'!$D$14-1)/'SLOT_RULES'!$E$14)+1)*'SLOT_RULES'!$E$14</x:f>
        <x:v>46350</x:v>
      </x:c>
      <x:c r="P23" s="156" t="n">
        <x:f>'SLOT_RULES'!$D$15+IF($A23&lt;='SLOT_RULES'!$D$15,0,INT(($A23-'SLOT_RULES'!$D$15-1)/'SLOT_RULES'!$E$15)+1)*'SLOT_RULES'!$E$15</x:f>
        <x:v>46422</x:v>
      </x:c>
      <x:c r="Q23" s="158" t="n">
        <x:f>MIN(E23:P23)-A23</x:f>
        <x:v>0</x:v>
      </x:c>
      <x:c r="R23" s="158" t="n">
        <x:f>MAX(E23:P23)-A23</x:f>
        <x:v>136</x:v>
      </x:c>
      <x:c r="S23" s="86" t="str">
        <x:f>IF(AND(COUNT(E23:P23)=10,MIN(E23:P23)&gt;=A23),"PASS","FAIL")</x:f>
        <x:v>PASS</x:v>
      </x:c>
      <x:c r="T23" s="86" t="str">
        <x: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x:f>
        <x:v>PASS</x:v>
      </x:c>
      <x:c r="U23" s="86" t="str">
        <x: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x:f>
        <x:v>PASS</x:v>
      </x:c>
      <x:c r="V23" s="86" t="str">
        <x: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x:f>
        <x:v>PASS</x:v>
      </x:c>
      <x:c r="W23" s="87" t="str">
        <x:f>'CRAWL_LOG'!B23</x:f>
        <x:v>Chưa chạy</x:v>
      </x:c>
      <x:c r="X23" s="95" t="inlineStr">
        <x:is>
          <x:t xml:space="preserve">10-slot panel: 7 near + 3 far; AN2/AN3 inactive from 03/09</x:t>
        </x:is>
      </x:c>
    </x:row>
    <x:row r="24">
      <x:c r="A24" s="155" t="n">
        <x:v>46287</x:v>
      </x:c>
      <x:c r="B24" s="83" t="inlineStr">
        <x:is>
          <x:t xml:space="preserve">Thứ Ba</x:t>
        </x:is>
      </x:c>
      <x:c r="C24" s="83" t="inlineStr">
        <x:is>
          <x:t xml:space="preserve">Official</x:t>
        </x:is>
      </x:c>
      <x:c r="D24" s="83" t="inlineStr">
        <x:is>
          <x:t xml:space="preserve">00:30</x:t>
        </x:is>
      </x:c>
      <x:c r="E24" s="156" t="n">
        <x:f>'SLOT_RULES'!$D$4+IF($A24&lt;='SLOT_RULES'!$D$4,0,INT(($A24-'SLOT_RULES'!$D$4-1)/'SLOT_RULES'!$E$4)+1)*'SLOT_RULES'!$E$4</x:f>
        <x:v>46297</x:v>
      </x:c>
      <x:c r="F24" s="157" t="n"/>
      <x:c r="G24" s="157" t="n"/>
      <x:c r="H24" s="156" t="n">
        <x:f>'SLOT_RULES'!$D$7+IF($A24&lt;='SLOT_RULES'!$D$7,0,INT(($A24-'SLOT_RULES'!$D$7-1)/'SLOT_RULES'!$E$7)+1)*'SLOT_RULES'!$E$7</x:f>
        <x:v>46290</x:v>
      </x:c>
      <x:c r="I24" s="156" t="n">
        <x:f>'SLOT_RULES'!$D$8+IF($A24&lt;='SLOT_RULES'!$D$8,0,INT(($A24-'SLOT_RULES'!$D$8-1)/'SLOT_RULES'!$E$8)+1)*'SLOT_RULES'!$E$8</x:f>
        <x:v>46300</x:v>
      </x:c>
      <x:c r="J24" s="156" t="n">
        <x:f>'SLOT_RULES'!$D$9+IF($A24&lt;='SLOT_RULES'!$D$9,0,INT(($A24-'SLOT_RULES'!$D$9-1)/'SLOT_RULES'!$E$9)+1)*'SLOT_RULES'!$E$9</x:f>
        <x:v>46314</x:v>
      </x:c>
      <x:c r="K24" s="156" t="n">
        <x:f>'SLOT_RULES'!$D$10+IF($A24&lt;='SLOT_RULES'!$D$10,0,INT(($A24-'SLOT_RULES'!$D$10-1)/'SLOT_RULES'!$E$10)+1)*'SLOT_RULES'!$E$10</x:f>
        <x:v>46301</x:v>
      </x:c>
      <x:c r="L24" s="156" t="n">
        <x:f>'SLOT_RULES'!$D$11+IF($A24&lt;='SLOT_RULES'!$D$11,0,INT(($A24-'SLOT_RULES'!$D$11-1)/'SLOT_RULES'!$E$11)+1)*'SLOT_RULES'!$E$11</x:f>
        <x:v>46308</x:v>
      </x:c>
      <x:c r="M24" s="156" t="n">
        <x:f>'SLOT_RULES'!$D$12+IF($A24&lt;='SLOT_RULES'!$D$12,0,INT(($A24-'SLOT_RULES'!$D$12-1)/'SLOT_RULES'!$E$12)+1)*'SLOT_RULES'!$E$12</x:f>
        <x:v>46313</x:v>
      </x:c>
      <x:c r="N24" s="156" t="n">
        <x:f>'SLOT_RULES'!$D$13+IF($A24&lt;='SLOT_RULES'!$D$13,0,INT(($A24-'SLOT_RULES'!$D$13-1)/'SLOT_RULES'!$E$13)+1)*'SLOT_RULES'!$E$13</x:f>
        <x:v>46321</x:v>
      </x:c>
      <x:c r="O24" s="156" t="n">
        <x:f>'SLOT_RULES'!$D$14+IF($A24&lt;='SLOT_RULES'!$D$14,0,INT(($A24-'SLOT_RULES'!$D$14-1)/'SLOT_RULES'!$E$14)+1)*'SLOT_RULES'!$E$14</x:f>
        <x:v>46350</x:v>
      </x:c>
      <x:c r="P24" s="156" t="n">
        <x:f>'SLOT_RULES'!$D$15+IF($A24&lt;='SLOT_RULES'!$D$15,0,INT(($A24-'SLOT_RULES'!$D$15-1)/'SLOT_RULES'!$E$15)+1)*'SLOT_RULES'!$E$15</x:f>
        <x:v>46422</x:v>
      </x:c>
      <x:c r="Q24" s="158" t="n">
        <x:f>MIN(E24:P24)-A24</x:f>
        <x:v>3</x:v>
      </x:c>
      <x:c r="R24" s="158" t="n">
        <x:f>MAX(E24:P24)-A24</x:f>
        <x:v>135</x:v>
      </x:c>
      <x:c r="S24" s="86" t="str">
        <x:f>IF(AND(COUNT(E24:P24)=10,MIN(E24:P24)&gt;=A24),"PASS","FAIL")</x:f>
        <x:v>PASS</x:v>
      </x:c>
      <x:c r="T24" s="86" t="str">
        <x: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x:f>
        <x:v>PASS</x:v>
      </x:c>
      <x:c r="U24" s="86" t="str">
        <x: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x:f>
        <x:v>PASS</x:v>
      </x:c>
      <x:c r="V24" s="86" t="str">
        <x: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x:f>
        <x:v>PASS</x:v>
      </x:c>
      <x:c r="W24" s="87" t="str">
        <x:f>'CRAWL_LOG'!B24</x:f>
        <x:v>Chưa chạy</x:v>
      </x:c>
      <x:c r="X24" s="95" t="inlineStr">
        <x:is>
          <x:t xml:space="preserve">10-slot panel: 7 near + 3 far; AN2/AN3 inactive from 03/09</x:t>
        </x:is>
      </x:c>
    </x:row>
    <x:row r="25">
      <x:c r="A25" s="155" t="n">
        <x:v>46288</x:v>
      </x:c>
      <x:c r="B25" s="83" t="inlineStr">
        <x:is>
          <x:t xml:space="preserve">Thứ Tư</x:t>
        </x:is>
      </x:c>
      <x:c r="C25" s="83" t="inlineStr">
        <x:is>
          <x:t xml:space="preserve">Official</x:t>
        </x:is>
      </x:c>
      <x:c r="D25" s="83" t="inlineStr">
        <x:is>
          <x:t xml:space="preserve">00:30</x:t>
        </x:is>
      </x:c>
      <x:c r="E25" s="156" t="n">
        <x:f>'SLOT_RULES'!$D$4+IF($A25&lt;='SLOT_RULES'!$D$4,0,INT(($A25-'SLOT_RULES'!$D$4-1)/'SLOT_RULES'!$E$4)+1)*'SLOT_RULES'!$E$4</x:f>
        <x:v>46297</x:v>
      </x:c>
      <x:c r="F25" s="157" t="n"/>
      <x:c r="G25" s="157" t="n"/>
      <x:c r="H25" s="156" t="n">
        <x:f>'SLOT_RULES'!$D$7+IF($A25&lt;='SLOT_RULES'!$D$7,0,INT(($A25-'SLOT_RULES'!$D$7-1)/'SLOT_RULES'!$E$7)+1)*'SLOT_RULES'!$E$7</x:f>
        <x:v>46290</x:v>
      </x:c>
      <x:c r="I25" s="156" t="n">
        <x:f>'SLOT_RULES'!$D$8+IF($A25&lt;='SLOT_RULES'!$D$8,0,INT(($A25-'SLOT_RULES'!$D$8-1)/'SLOT_RULES'!$E$8)+1)*'SLOT_RULES'!$E$8</x:f>
        <x:v>46300</x:v>
      </x:c>
      <x:c r="J25" s="156" t="n">
        <x:f>'SLOT_RULES'!$D$9+IF($A25&lt;='SLOT_RULES'!$D$9,0,INT(($A25-'SLOT_RULES'!$D$9-1)/'SLOT_RULES'!$E$9)+1)*'SLOT_RULES'!$E$9</x:f>
        <x:v>46314</x:v>
      </x:c>
      <x:c r="K25" s="156" t="n">
        <x:f>'SLOT_RULES'!$D$10+IF($A25&lt;='SLOT_RULES'!$D$10,0,INT(($A25-'SLOT_RULES'!$D$10-1)/'SLOT_RULES'!$E$10)+1)*'SLOT_RULES'!$E$10</x:f>
        <x:v>46301</x:v>
      </x:c>
      <x:c r="L25" s="156" t="n">
        <x:f>'SLOT_RULES'!$D$11+IF($A25&lt;='SLOT_RULES'!$D$11,0,INT(($A25-'SLOT_RULES'!$D$11-1)/'SLOT_RULES'!$E$11)+1)*'SLOT_RULES'!$E$11</x:f>
        <x:v>46308</x:v>
      </x:c>
      <x:c r="M25" s="156" t="n">
        <x:f>'SLOT_RULES'!$D$12+IF($A25&lt;='SLOT_RULES'!$D$12,0,INT(($A25-'SLOT_RULES'!$D$12-1)/'SLOT_RULES'!$E$12)+1)*'SLOT_RULES'!$E$12</x:f>
        <x:v>46313</x:v>
      </x:c>
      <x:c r="N25" s="156" t="n">
        <x:f>'SLOT_RULES'!$D$13+IF($A25&lt;='SLOT_RULES'!$D$13,0,INT(($A25-'SLOT_RULES'!$D$13-1)/'SLOT_RULES'!$E$13)+1)*'SLOT_RULES'!$E$13</x:f>
        <x:v>46321</x:v>
      </x:c>
      <x:c r="O25" s="156" t="n">
        <x:f>'SLOT_RULES'!$D$14+IF($A25&lt;='SLOT_RULES'!$D$14,0,INT(($A25-'SLOT_RULES'!$D$14-1)/'SLOT_RULES'!$E$14)+1)*'SLOT_RULES'!$E$14</x:f>
        <x:v>46350</x:v>
      </x:c>
      <x:c r="P25" s="156" t="n">
        <x:f>'SLOT_RULES'!$D$15+IF($A25&lt;='SLOT_RULES'!$D$15,0,INT(($A25-'SLOT_RULES'!$D$15-1)/'SLOT_RULES'!$E$15)+1)*'SLOT_RULES'!$E$15</x:f>
        <x:v>46422</x:v>
      </x:c>
      <x:c r="Q25" s="158" t="n">
        <x:f>MIN(E25:P25)-A25</x:f>
        <x:v>2</x:v>
      </x:c>
      <x:c r="R25" s="158" t="n">
        <x:f>MAX(E25:P25)-A25</x:f>
        <x:v>134</x:v>
      </x:c>
      <x:c r="S25" s="86" t="str">
        <x:f>IF(AND(COUNT(E25:P25)=10,MIN(E25:P25)&gt;=A25),"PASS","FAIL")</x:f>
        <x:v>PASS</x:v>
      </x:c>
      <x:c r="T25" s="86" t="str">
        <x: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x:f>
        <x:v>PASS</x:v>
      </x:c>
      <x:c r="U25" s="86" t="str">
        <x: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x:f>
        <x:v>PASS</x:v>
      </x:c>
      <x:c r="V25" s="86" t="str">
        <x: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x:f>
        <x:v>PASS</x:v>
      </x:c>
      <x:c r="W25" s="87" t="str">
        <x:f>'CRAWL_LOG'!B25</x:f>
        <x:v>Chưa chạy</x:v>
      </x:c>
      <x:c r="X25" s="95" t="inlineStr">
        <x:is>
          <x:t xml:space="preserve">10-slot panel: 7 near + 3 far; AN2/AN3 inactive from 03/09</x:t>
        </x:is>
      </x:c>
    </x:row>
    <x:row r="26">
      <x:c r="A26" s="155" t="n">
        <x:v>46289</x:v>
      </x:c>
      <x:c r="B26" s="83" t="inlineStr">
        <x:is>
          <x:t xml:space="preserve">Thứ Năm</x:t>
        </x:is>
      </x:c>
      <x:c r="C26" s="83" t="inlineStr">
        <x:is>
          <x:t xml:space="preserve">Official</x:t>
        </x:is>
      </x:c>
      <x:c r="D26" s="83" t="inlineStr">
        <x:is>
          <x:t xml:space="preserve">00:30</x:t>
        </x:is>
      </x:c>
      <x:c r="E26" s="156" t="n">
        <x:f>'SLOT_RULES'!$D$4+IF($A26&lt;='SLOT_RULES'!$D$4,0,INT(($A26-'SLOT_RULES'!$D$4-1)/'SLOT_RULES'!$E$4)+1)*'SLOT_RULES'!$E$4</x:f>
        <x:v>46297</x:v>
      </x:c>
      <x:c r="F26" s="157" t="n"/>
      <x:c r="G26" s="157" t="n"/>
      <x:c r="H26" s="156" t="n">
        <x:f>'SLOT_RULES'!$D$7+IF($A26&lt;='SLOT_RULES'!$D$7,0,INT(($A26-'SLOT_RULES'!$D$7-1)/'SLOT_RULES'!$E$7)+1)*'SLOT_RULES'!$E$7</x:f>
        <x:v>46290</x:v>
      </x:c>
      <x:c r="I26" s="156" t="n">
        <x:f>'SLOT_RULES'!$D$8+IF($A26&lt;='SLOT_RULES'!$D$8,0,INT(($A26-'SLOT_RULES'!$D$8-1)/'SLOT_RULES'!$E$8)+1)*'SLOT_RULES'!$E$8</x:f>
        <x:v>46300</x:v>
      </x:c>
      <x:c r="J26" s="156" t="n">
        <x:f>'SLOT_RULES'!$D$9+IF($A26&lt;='SLOT_RULES'!$D$9,0,INT(($A26-'SLOT_RULES'!$D$9-1)/'SLOT_RULES'!$E$9)+1)*'SLOT_RULES'!$E$9</x:f>
        <x:v>46314</x:v>
      </x:c>
      <x:c r="K26" s="156" t="n">
        <x:f>'SLOT_RULES'!$D$10+IF($A26&lt;='SLOT_RULES'!$D$10,0,INT(($A26-'SLOT_RULES'!$D$10-1)/'SLOT_RULES'!$E$10)+1)*'SLOT_RULES'!$E$10</x:f>
        <x:v>46301</x:v>
      </x:c>
      <x:c r="L26" s="156" t="n">
        <x:f>'SLOT_RULES'!$D$11+IF($A26&lt;='SLOT_RULES'!$D$11,0,INT(($A26-'SLOT_RULES'!$D$11-1)/'SLOT_RULES'!$E$11)+1)*'SLOT_RULES'!$E$11</x:f>
        <x:v>46308</x:v>
      </x:c>
      <x:c r="M26" s="156" t="n">
        <x:f>'SLOT_RULES'!$D$12+IF($A26&lt;='SLOT_RULES'!$D$12,0,INT(($A26-'SLOT_RULES'!$D$12-1)/'SLOT_RULES'!$E$12)+1)*'SLOT_RULES'!$E$12</x:f>
        <x:v>46313</x:v>
      </x:c>
      <x:c r="N26" s="156" t="n">
        <x:f>'SLOT_RULES'!$D$13+IF($A26&lt;='SLOT_RULES'!$D$13,0,INT(($A26-'SLOT_RULES'!$D$13-1)/'SLOT_RULES'!$E$13)+1)*'SLOT_RULES'!$E$13</x:f>
        <x:v>46321</x:v>
      </x:c>
      <x:c r="O26" s="156" t="n">
        <x:f>'SLOT_RULES'!$D$14+IF($A26&lt;='SLOT_RULES'!$D$14,0,INT(($A26-'SLOT_RULES'!$D$14-1)/'SLOT_RULES'!$E$14)+1)*'SLOT_RULES'!$E$14</x:f>
        <x:v>46350</x:v>
      </x:c>
      <x:c r="P26" s="156" t="n">
        <x:f>'SLOT_RULES'!$D$15+IF($A26&lt;='SLOT_RULES'!$D$15,0,INT(($A26-'SLOT_RULES'!$D$15-1)/'SLOT_RULES'!$E$15)+1)*'SLOT_RULES'!$E$15</x:f>
        <x:v>46422</x:v>
      </x:c>
      <x:c r="Q26" s="158" t="n">
        <x:f>MIN(E26:P26)-A26</x:f>
        <x:v>1</x:v>
      </x:c>
      <x:c r="R26" s="158" t="n">
        <x:f>MAX(E26:P26)-A26</x:f>
        <x:v>133</x:v>
      </x:c>
      <x:c r="S26" s="86" t="str">
        <x:f>IF(AND(COUNT(E26:P26)=10,MIN(E26:P26)&gt;=A26),"PASS","FAIL")</x:f>
        <x:v>PASS</x:v>
      </x:c>
      <x:c r="T26" s="86" t="str">
        <x: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x:f>
        <x:v>PASS</x:v>
      </x:c>
      <x:c r="U26" s="86" t="str">
        <x: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x:f>
        <x:v>PASS</x:v>
      </x:c>
      <x:c r="V26" s="86" t="str">
        <x: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x:f>
        <x:v>PASS</x:v>
      </x:c>
      <x:c r="W26" s="87" t="str">
        <x:f>'CRAWL_LOG'!B26</x:f>
        <x:v>Chưa chạy</x:v>
      </x:c>
      <x:c r="X26" s="95" t="inlineStr">
        <x:is>
          <x:t xml:space="preserve">10-slot panel: 7 near + 3 far; AN2/AN3 inactive from 03/09</x:t>
        </x:is>
      </x:c>
    </x:row>
    <x:row r="27">
      <x:c r="A27" s="155" t="n">
        <x:v>46290</x:v>
      </x:c>
      <x:c r="B27" s="83" t="inlineStr">
        <x:is>
          <x:t xml:space="preserve">Thứ Sáu</x:t>
        </x:is>
      </x:c>
      <x:c r="C27" s="83" t="inlineStr">
        <x:is>
          <x:t xml:space="preserve">Official</x:t>
        </x:is>
      </x:c>
      <x:c r="D27" s="83" t="inlineStr">
        <x:is>
          <x:t xml:space="preserve">00:30</x:t>
        </x:is>
      </x:c>
      <x:c r="E27" s="156" t="n">
        <x:f>'SLOT_RULES'!$D$4+IF($A27&lt;='SLOT_RULES'!$D$4,0,INT(($A27-'SLOT_RULES'!$D$4-1)/'SLOT_RULES'!$E$4)+1)*'SLOT_RULES'!$E$4</x:f>
        <x:v>46297</x:v>
      </x:c>
      <x:c r="F27" s="157" t="n"/>
      <x:c r="G27" s="157" t="n"/>
      <x:c r="H27" s="156" t="n">
        <x:f>'SLOT_RULES'!$D$7+IF($A27&lt;='SLOT_RULES'!$D$7,0,INT(($A27-'SLOT_RULES'!$D$7-1)/'SLOT_RULES'!$E$7)+1)*'SLOT_RULES'!$E$7</x:f>
        <x:v>46290</x:v>
      </x:c>
      <x:c r="I27" s="156" t="n">
        <x:f>'SLOT_RULES'!$D$8+IF($A27&lt;='SLOT_RULES'!$D$8,0,INT(($A27-'SLOT_RULES'!$D$8-1)/'SLOT_RULES'!$E$8)+1)*'SLOT_RULES'!$E$8</x:f>
        <x:v>46300</x:v>
      </x:c>
      <x:c r="J27" s="156" t="n">
        <x:f>'SLOT_RULES'!$D$9+IF($A27&lt;='SLOT_RULES'!$D$9,0,INT(($A27-'SLOT_RULES'!$D$9-1)/'SLOT_RULES'!$E$9)+1)*'SLOT_RULES'!$E$9</x:f>
        <x:v>46314</x:v>
      </x:c>
      <x:c r="K27" s="156" t="n">
        <x:f>'SLOT_RULES'!$D$10+IF($A27&lt;='SLOT_RULES'!$D$10,0,INT(($A27-'SLOT_RULES'!$D$10-1)/'SLOT_RULES'!$E$10)+1)*'SLOT_RULES'!$E$10</x:f>
        <x:v>46301</x:v>
      </x:c>
      <x:c r="L27" s="156" t="n">
        <x:f>'SLOT_RULES'!$D$11+IF($A27&lt;='SLOT_RULES'!$D$11,0,INT(($A27-'SLOT_RULES'!$D$11-1)/'SLOT_RULES'!$E$11)+1)*'SLOT_RULES'!$E$11</x:f>
        <x:v>46308</x:v>
      </x:c>
      <x:c r="M27" s="156" t="n">
        <x:f>'SLOT_RULES'!$D$12+IF($A27&lt;='SLOT_RULES'!$D$12,0,INT(($A27-'SLOT_RULES'!$D$12-1)/'SLOT_RULES'!$E$12)+1)*'SLOT_RULES'!$E$12</x:f>
        <x:v>46313</x:v>
      </x:c>
      <x:c r="N27" s="156" t="n">
        <x:f>'SLOT_RULES'!$D$13+IF($A27&lt;='SLOT_RULES'!$D$13,0,INT(($A27-'SLOT_RULES'!$D$13-1)/'SLOT_RULES'!$E$13)+1)*'SLOT_RULES'!$E$13</x:f>
        <x:v>46321</x:v>
      </x:c>
      <x:c r="O27" s="156" t="n">
        <x:f>'SLOT_RULES'!$D$14+IF($A27&lt;='SLOT_RULES'!$D$14,0,INT(($A27-'SLOT_RULES'!$D$14-1)/'SLOT_RULES'!$E$14)+1)*'SLOT_RULES'!$E$14</x:f>
        <x:v>46350</x:v>
      </x:c>
      <x:c r="P27" s="156" t="n">
        <x:f>'SLOT_RULES'!$D$15+IF($A27&lt;='SLOT_RULES'!$D$15,0,INT(($A27-'SLOT_RULES'!$D$15-1)/'SLOT_RULES'!$E$15)+1)*'SLOT_RULES'!$E$15</x:f>
        <x:v>46422</x:v>
      </x:c>
      <x:c r="Q27" s="158" t="n">
        <x:f>MIN(E27:P27)-A27</x:f>
        <x:v>0</x:v>
      </x:c>
      <x:c r="R27" s="158" t="n">
        <x:f>MAX(E27:P27)-A27</x:f>
        <x:v>132</x:v>
      </x:c>
      <x:c r="S27" s="86" t="str">
        <x:f>IF(AND(COUNT(E27:P27)=10,MIN(E27:P27)&gt;=A27),"PASS","FAIL")</x:f>
        <x:v>PASS</x:v>
      </x:c>
      <x:c r="T27" s="86" t="str">
        <x: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x:f>
        <x:v>PASS</x:v>
      </x:c>
      <x:c r="U27" s="86" t="str">
        <x: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x:f>
        <x:v>PASS</x:v>
      </x:c>
      <x:c r="V27" s="86" t="str">
        <x: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x:f>
        <x:v>PASS</x:v>
      </x:c>
      <x:c r="W27" s="87" t="str">
        <x:f>'CRAWL_LOG'!B27</x:f>
        <x:v>Chưa chạy</x:v>
      </x:c>
      <x:c r="X27" s="95" t="inlineStr">
        <x:is>
          <x:t xml:space="preserve">10-slot panel: 7 near + 3 far; AN2/AN3 inactive from 03/09</x:t>
        </x:is>
      </x:c>
    </x:row>
    <x:row r="28">
      <x:c r="A28" s="155" t="n">
        <x:v>46291</x:v>
      </x:c>
      <x:c r="B28" s="83" t="inlineStr">
        <x:is>
          <x:t xml:space="preserve">Thứ Bảy</x:t>
        </x:is>
      </x:c>
      <x:c r="C28" s="83" t="inlineStr">
        <x:is>
          <x:t xml:space="preserve">Official</x:t>
        </x:is>
      </x:c>
      <x:c r="D28" s="83" t="inlineStr">
        <x:is>
          <x:t xml:space="preserve">00:30</x:t>
        </x:is>
      </x:c>
      <x:c r="E28" s="156" t="n">
        <x:f>'SLOT_RULES'!$D$4+IF($A28&lt;='SLOT_RULES'!$D$4,0,INT(($A28-'SLOT_RULES'!$D$4-1)/'SLOT_RULES'!$E$4)+1)*'SLOT_RULES'!$E$4</x:f>
        <x:v>46297</x:v>
      </x:c>
      <x:c r="F28" s="157" t="n"/>
      <x:c r="G28" s="157" t="n"/>
      <x:c r="H28" s="156" t="n">
        <x:f>'SLOT_RULES'!$D$7+IF($A28&lt;='SLOT_RULES'!$D$7,0,INT(($A28-'SLOT_RULES'!$D$7-1)/'SLOT_RULES'!$E$7)+1)*'SLOT_RULES'!$E$7</x:f>
        <x:v>46318</x:v>
      </x:c>
      <x:c r="I28" s="156" t="n">
        <x:f>'SLOT_RULES'!$D$8+IF($A28&lt;='SLOT_RULES'!$D$8,0,INT(($A28-'SLOT_RULES'!$D$8-1)/'SLOT_RULES'!$E$8)+1)*'SLOT_RULES'!$E$8</x:f>
        <x:v>46300</x:v>
      </x:c>
      <x:c r="J28" s="156" t="n">
        <x:f>'SLOT_RULES'!$D$9+IF($A28&lt;='SLOT_RULES'!$D$9,0,INT(($A28-'SLOT_RULES'!$D$9-1)/'SLOT_RULES'!$E$9)+1)*'SLOT_RULES'!$E$9</x:f>
        <x:v>46314</x:v>
      </x:c>
      <x:c r="K28" s="156" t="n">
        <x:f>'SLOT_RULES'!$D$10+IF($A28&lt;='SLOT_RULES'!$D$10,0,INT(($A28-'SLOT_RULES'!$D$10-1)/'SLOT_RULES'!$E$10)+1)*'SLOT_RULES'!$E$10</x:f>
        <x:v>46301</x:v>
      </x:c>
      <x:c r="L28" s="156" t="n">
        <x:f>'SLOT_RULES'!$D$11+IF($A28&lt;='SLOT_RULES'!$D$11,0,INT(($A28-'SLOT_RULES'!$D$11-1)/'SLOT_RULES'!$E$11)+1)*'SLOT_RULES'!$E$11</x:f>
        <x:v>46308</x:v>
      </x:c>
      <x:c r="M28" s="156" t="n">
        <x:f>'SLOT_RULES'!$D$12+IF($A28&lt;='SLOT_RULES'!$D$12,0,INT(($A28-'SLOT_RULES'!$D$12-1)/'SLOT_RULES'!$E$12)+1)*'SLOT_RULES'!$E$12</x:f>
        <x:v>46313</x:v>
      </x:c>
      <x:c r="N28" s="156" t="n">
        <x:f>'SLOT_RULES'!$D$13+IF($A28&lt;='SLOT_RULES'!$D$13,0,INT(($A28-'SLOT_RULES'!$D$13-1)/'SLOT_RULES'!$E$13)+1)*'SLOT_RULES'!$E$13</x:f>
        <x:v>46321</x:v>
      </x:c>
      <x:c r="O28" s="156" t="n">
        <x:f>'SLOT_RULES'!$D$14+IF($A28&lt;='SLOT_RULES'!$D$14,0,INT(($A28-'SLOT_RULES'!$D$14-1)/'SLOT_RULES'!$E$14)+1)*'SLOT_RULES'!$E$14</x:f>
        <x:v>46350</x:v>
      </x:c>
      <x:c r="P28" s="156" t="n">
        <x:f>'SLOT_RULES'!$D$15+IF($A28&lt;='SLOT_RULES'!$D$15,0,INT(($A28-'SLOT_RULES'!$D$15-1)/'SLOT_RULES'!$E$15)+1)*'SLOT_RULES'!$E$15</x:f>
        <x:v>46422</x:v>
      </x:c>
      <x:c r="Q28" s="158" t="n">
        <x:f>MIN(E28:P28)-A28</x:f>
        <x:v>6</x:v>
      </x:c>
      <x:c r="R28" s="158" t="n">
        <x:f>MAX(E28:P28)-A28</x:f>
        <x:v>131</x:v>
      </x:c>
      <x:c r="S28" s="86" t="str">
        <x:f>IF(AND(COUNT(E28:P28)=10,MIN(E28:P28)&gt;=A28),"PASS","FAIL")</x:f>
        <x:v>PASS</x:v>
      </x:c>
      <x:c r="T28" s="86" t="str">
        <x: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x:f>
        <x:v>PASS</x:v>
      </x:c>
      <x:c r="U28" s="86" t="str">
        <x: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x:f>
        <x:v>PASS</x:v>
      </x:c>
      <x:c r="V28" s="86" t="str">
        <x: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x:f>
        <x:v>PASS</x:v>
      </x:c>
      <x:c r="W28" s="87" t="str">
        <x:f>'CRAWL_LOG'!B28</x:f>
        <x:v>Chưa chạy</x:v>
      </x:c>
      <x:c r="X28" s="95" t="inlineStr">
        <x:is>
          <x:t xml:space="preserve">10-slot panel: 7 near + 3 far; AN2/AN3 inactive from 03/09</x:t>
        </x:is>
      </x:c>
    </x:row>
    <x:row r="29">
      <x:c r="A29" s="155" t="n">
        <x:v>46292</x:v>
      </x:c>
      <x:c r="B29" s="83" t="inlineStr">
        <x:is>
          <x:t xml:space="preserve">Chủ Nhật</x:t>
        </x:is>
      </x:c>
      <x:c r="C29" s="83" t="inlineStr">
        <x:is>
          <x:t xml:space="preserve">Official</x:t>
        </x:is>
      </x:c>
      <x:c r="D29" s="83" t="inlineStr">
        <x:is>
          <x:t xml:space="preserve">00:30</x:t>
        </x:is>
      </x:c>
      <x:c r="E29" s="156" t="n">
        <x:f>'SLOT_RULES'!$D$4+IF($A29&lt;='SLOT_RULES'!$D$4,0,INT(($A29-'SLOT_RULES'!$D$4-1)/'SLOT_RULES'!$E$4)+1)*'SLOT_RULES'!$E$4</x:f>
        <x:v>46297</x:v>
      </x:c>
      <x:c r="F29" s="157" t="n"/>
      <x:c r="G29" s="157" t="n"/>
      <x:c r="H29" s="156" t="n">
        <x:f>'SLOT_RULES'!$D$7+IF($A29&lt;='SLOT_RULES'!$D$7,0,INT(($A29-'SLOT_RULES'!$D$7-1)/'SLOT_RULES'!$E$7)+1)*'SLOT_RULES'!$E$7</x:f>
        <x:v>46318</x:v>
      </x:c>
      <x:c r="I29" s="156" t="n">
        <x:f>'SLOT_RULES'!$D$8+IF($A29&lt;='SLOT_RULES'!$D$8,0,INT(($A29-'SLOT_RULES'!$D$8-1)/'SLOT_RULES'!$E$8)+1)*'SLOT_RULES'!$E$8</x:f>
        <x:v>46300</x:v>
      </x:c>
      <x:c r="J29" s="156" t="n">
        <x:f>'SLOT_RULES'!$D$9+IF($A29&lt;='SLOT_RULES'!$D$9,0,INT(($A29-'SLOT_RULES'!$D$9-1)/'SLOT_RULES'!$E$9)+1)*'SLOT_RULES'!$E$9</x:f>
        <x:v>46314</x:v>
      </x:c>
      <x:c r="K29" s="156" t="n">
        <x:f>'SLOT_RULES'!$D$10+IF($A29&lt;='SLOT_RULES'!$D$10,0,INT(($A29-'SLOT_RULES'!$D$10-1)/'SLOT_RULES'!$E$10)+1)*'SLOT_RULES'!$E$10</x:f>
        <x:v>46301</x:v>
      </x:c>
      <x:c r="L29" s="156" t="n">
        <x:f>'SLOT_RULES'!$D$11+IF($A29&lt;='SLOT_RULES'!$D$11,0,INT(($A29-'SLOT_RULES'!$D$11-1)/'SLOT_RULES'!$E$11)+1)*'SLOT_RULES'!$E$11</x:f>
        <x:v>46308</x:v>
      </x:c>
      <x:c r="M29" s="156" t="n">
        <x:f>'SLOT_RULES'!$D$12+IF($A29&lt;='SLOT_RULES'!$D$12,0,INT(($A29-'SLOT_RULES'!$D$12-1)/'SLOT_RULES'!$E$12)+1)*'SLOT_RULES'!$E$12</x:f>
        <x:v>46313</x:v>
      </x:c>
      <x:c r="N29" s="156" t="n">
        <x:f>'SLOT_RULES'!$D$13+IF($A29&lt;='SLOT_RULES'!$D$13,0,INT(($A29-'SLOT_RULES'!$D$13-1)/'SLOT_RULES'!$E$13)+1)*'SLOT_RULES'!$E$13</x:f>
        <x:v>46321</x:v>
      </x:c>
      <x:c r="O29" s="156" t="n">
        <x:f>'SLOT_RULES'!$D$14+IF($A29&lt;='SLOT_RULES'!$D$14,0,INT(($A29-'SLOT_RULES'!$D$14-1)/'SLOT_RULES'!$E$14)+1)*'SLOT_RULES'!$E$14</x:f>
        <x:v>46350</x:v>
      </x:c>
      <x:c r="P29" s="156" t="n">
        <x:f>'SLOT_RULES'!$D$15+IF($A29&lt;='SLOT_RULES'!$D$15,0,INT(($A29-'SLOT_RULES'!$D$15-1)/'SLOT_RULES'!$E$15)+1)*'SLOT_RULES'!$E$15</x:f>
        <x:v>46422</x:v>
      </x:c>
      <x:c r="Q29" s="158" t="n">
        <x:f>MIN(E29:P29)-A29</x:f>
        <x:v>5</x:v>
      </x:c>
      <x:c r="R29" s="158" t="n">
        <x:f>MAX(E29:P29)-A29</x:f>
        <x:v>130</x:v>
      </x:c>
      <x:c r="S29" s="86" t="str">
        <x:f>IF(AND(COUNT(E29:P29)=10,MIN(E29:P29)&gt;=A29),"PASS","FAIL")</x:f>
        <x:v>PASS</x:v>
      </x:c>
      <x:c r="T29" s="86" t="str">
        <x: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x:f>
        <x:v>PASS</x:v>
      </x:c>
      <x:c r="U29" s="86" t="str">
        <x: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x:f>
        <x:v>PASS</x:v>
      </x:c>
      <x:c r="V29" s="86" t="str">
        <x: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x:f>
        <x:v>PASS</x:v>
      </x:c>
      <x:c r="W29" s="87" t="str">
        <x:f>'CRAWL_LOG'!B29</x:f>
        <x:v>Chưa chạy</x:v>
      </x:c>
      <x:c r="X29" s="95" t="inlineStr">
        <x:is>
          <x:t xml:space="preserve">10-slot panel: 7 near + 3 far; AN2/AN3 inactive from 03/09</x:t>
        </x:is>
      </x:c>
    </x:row>
    <x:row r="30">
      <x:c r="A30" s="155" t="n">
        <x:v>46293</x:v>
      </x:c>
      <x:c r="B30" s="83" t="inlineStr">
        <x:is>
          <x:t xml:space="preserve">Thứ Hai</x:t>
        </x:is>
      </x:c>
      <x:c r="C30" s="83" t="inlineStr">
        <x:is>
          <x:t xml:space="preserve">Official</x:t>
        </x:is>
      </x:c>
      <x:c r="D30" s="83" t="inlineStr">
        <x:is>
          <x:t xml:space="preserve">00:30</x:t>
        </x:is>
      </x:c>
      <x:c r="E30" s="156" t="n">
        <x:f>'SLOT_RULES'!$D$4+IF($A30&lt;='SLOT_RULES'!$D$4,0,INT(($A30-'SLOT_RULES'!$D$4-1)/'SLOT_RULES'!$E$4)+1)*'SLOT_RULES'!$E$4</x:f>
        <x:v>46297</x:v>
      </x:c>
      <x:c r="F30" s="157" t="n"/>
      <x:c r="G30" s="157" t="n"/>
      <x:c r="H30" s="156" t="n">
        <x:f>'SLOT_RULES'!$D$7+IF($A30&lt;='SLOT_RULES'!$D$7,0,INT(($A30-'SLOT_RULES'!$D$7-1)/'SLOT_RULES'!$E$7)+1)*'SLOT_RULES'!$E$7</x:f>
        <x:v>46318</x:v>
      </x:c>
      <x:c r="I30" s="156" t="n">
        <x:f>'SLOT_RULES'!$D$8+IF($A30&lt;='SLOT_RULES'!$D$8,0,INT(($A30-'SLOT_RULES'!$D$8-1)/'SLOT_RULES'!$E$8)+1)*'SLOT_RULES'!$E$8</x:f>
        <x:v>46300</x:v>
      </x:c>
      <x:c r="J30" s="156" t="n">
        <x:f>'SLOT_RULES'!$D$9+IF($A30&lt;='SLOT_RULES'!$D$9,0,INT(($A30-'SLOT_RULES'!$D$9-1)/'SLOT_RULES'!$E$9)+1)*'SLOT_RULES'!$E$9</x:f>
        <x:v>46314</x:v>
      </x:c>
      <x:c r="K30" s="156" t="n">
        <x:f>'SLOT_RULES'!$D$10+IF($A30&lt;='SLOT_RULES'!$D$10,0,INT(($A30-'SLOT_RULES'!$D$10-1)/'SLOT_RULES'!$E$10)+1)*'SLOT_RULES'!$E$10</x:f>
        <x:v>46301</x:v>
      </x:c>
      <x:c r="L30" s="156" t="n">
        <x:f>'SLOT_RULES'!$D$11+IF($A30&lt;='SLOT_RULES'!$D$11,0,INT(($A30-'SLOT_RULES'!$D$11-1)/'SLOT_RULES'!$E$11)+1)*'SLOT_RULES'!$E$11</x:f>
        <x:v>46308</x:v>
      </x:c>
      <x:c r="M30" s="156" t="n">
        <x:f>'SLOT_RULES'!$D$12+IF($A30&lt;='SLOT_RULES'!$D$12,0,INT(($A30-'SLOT_RULES'!$D$12-1)/'SLOT_RULES'!$E$12)+1)*'SLOT_RULES'!$E$12</x:f>
        <x:v>46313</x:v>
      </x:c>
      <x:c r="N30" s="156" t="n">
        <x:f>'SLOT_RULES'!$D$13+IF($A30&lt;='SLOT_RULES'!$D$13,0,INT(($A30-'SLOT_RULES'!$D$13-1)/'SLOT_RULES'!$E$13)+1)*'SLOT_RULES'!$E$13</x:f>
        <x:v>46321</x:v>
      </x:c>
      <x:c r="O30" s="156" t="n">
        <x:f>'SLOT_RULES'!$D$14+IF($A30&lt;='SLOT_RULES'!$D$14,0,INT(($A30-'SLOT_RULES'!$D$14-1)/'SLOT_RULES'!$E$14)+1)*'SLOT_RULES'!$E$14</x:f>
        <x:v>46350</x:v>
      </x:c>
      <x:c r="P30" s="156" t="n">
        <x:f>'SLOT_RULES'!$D$15+IF($A30&lt;='SLOT_RULES'!$D$15,0,INT(($A30-'SLOT_RULES'!$D$15-1)/'SLOT_RULES'!$E$15)+1)*'SLOT_RULES'!$E$15</x:f>
        <x:v>46422</x:v>
      </x:c>
      <x:c r="Q30" s="158" t="n">
        <x:f>MIN(E30:P30)-A30</x:f>
        <x:v>4</x:v>
      </x:c>
      <x:c r="R30" s="158" t="n">
        <x:f>MAX(E30:P30)-A30</x:f>
        <x:v>129</x:v>
      </x:c>
      <x:c r="S30" s="86" t="str">
        <x:f>IF(AND(COUNT(E30:P30)=10,MIN(E30:P30)&gt;=A30),"PASS","FAIL")</x:f>
        <x:v>PASS</x:v>
      </x:c>
      <x:c r="T30" s="86" t="str">
        <x: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x:f>
        <x:v>PASS</x:v>
      </x:c>
      <x:c r="U30" s="86" t="str">
        <x: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x:f>
        <x:v>PASS</x:v>
      </x:c>
      <x:c r="V30" s="86" t="str">
        <x: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x:f>
        <x:v>PASS</x:v>
      </x:c>
      <x:c r="W30" s="87" t="str">
        <x:f>'CRAWL_LOG'!B30</x:f>
        <x:v>Chưa chạy</x:v>
      </x:c>
      <x:c r="X30" s="95" t="inlineStr">
        <x:is>
          <x:t xml:space="preserve">10-slot panel: 7 near + 3 far; AN2/AN3 inactive from 03/09</x:t>
        </x:is>
      </x:c>
    </x:row>
    <x:row r="31">
      <x:c r="A31" s="155" t="n">
        <x:v>46294</x:v>
      </x:c>
      <x:c r="B31" s="83" t="inlineStr">
        <x:is>
          <x:t xml:space="preserve">Thứ Ba</x:t>
        </x:is>
      </x:c>
      <x:c r="C31" s="83" t="inlineStr">
        <x:is>
          <x:t xml:space="preserve">Official</x:t>
        </x:is>
      </x:c>
      <x:c r="D31" s="83" t="inlineStr">
        <x:is>
          <x:t xml:space="preserve">00:30</x:t>
        </x:is>
      </x:c>
      <x:c r="E31" s="156" t="n">
        <x:f>'SLOT_RULES'!$D$4+IF($A31&lt;='SLOT_RULES'!$D$4,0,INT(($A31-'SLOT_RULES'!$D$4-1)/'SLOT_RULES'!$E$4)+1)*'SLOT_RULES'!$E$4</x:f>
        <x:v>46297</x:v>
      </x:c>
      <x:c r="F31" s="157" t="n"/>
      <x:c r="G31" s="157" t="n"/>
      <x:c r="H31" s="156" t="n">
        <x:f>'SLOT_RULES'!$D$7+IF($A31&lt;='SLOT_RULES'!$D$7,0,INT(($A31-'SLOT_RULES'!$D$7-1)/'SLOT_RULES'!$E$7)+1)*'SLOT_RULES'!$E$7</x:f>
        <x:v>46318</x:v>
      </x:c>
      <x:c r="I31" s="156" t="n">
        <x:f>'SLOT_RULES'!$D$8+IF($A31&lt;='SLOT_RULES'!$D$8,0,INT(($A31-'SLOT_RULES'!$D$8-1)/'SLOT_RULES'!$E$8)+1)*'SLOT_RULES'!$E$8</x:f>
        <x:v>46300</x:v>
      </x:c>
      <x:c r="J31" s="156" t="n">
        <x:f>'SLOT_RULES'!$D$9+IF($A31&lt;='SLOT_RULES'!$D$9,0,INT(($A31-'SLOT_RULES'!$D$9-1)/'SLOT_RULES'!$E$9)+1)*'SLOT_RULES'!$E$9</x:f>
        <x:v>46314</x:v>
      </x:c>
      <x:c r="K31" s="156" t="n">
        <x:f>'SLOT_RULES'!$D$10+IF($A31&lt;='SLOT_RULES'!$D$10,0,INT(($A31-'SLOT_RULES'!$D$10-1)/'SLOT_RULES'!$E$10)+1)*'SLOT_RULES'!$E$10</x:f>
        <x:v>46301</x:v>
      </x:c>
      <x:c r="L31" s="156" t="n">
        <x:f>'SLOT_RULES'!$D$11+IF($A31&lt;='SLOT_RULES'!$D$11,0,INT(($A31-'SLOT_RULES'!$D$11-1)/'SLOT_RULES'!$E$11)+1)*'SLOT_RULES'!$E$11</x:f>
        <x:v>46308</x:v>
      </x:c>
      <x:c r="M31" s="156" t="n">
        <x:f>'SLOT_RULES'!$D$12+IF($A31&lt;='SLOT_RULES'!$D$12,0,INT(($A31-'SLOT_RULES'!$D$12-1)/'SLOT_RULES'!$E$12)+1)*'SLOT_RULES'!$E$12</x:f>
        <x:v>46313</x:v>
      </x:c>
      <x:c r="N31" s="156" t="n">
        <x:f>'SLOT_RULES'!$D$13+IF($A31&lt;='SLOT_RULES'!$D$13,0,INT(($A31-'SLOT_RULES'!$D$13-1)/'SLOT_RULES'!$E$13)+1)*'SLOT_RULES'!$E$13</x:f>
        <x:v>46321</x:v>
      </x:c>
      <x:c r="O31" s="156" t="n">
        <x:f>'SLOT_RULES'!$D$14+IF($A31&lt;='SLOT_RULES'!$D$14,0,INT(($A31-'SLOT_RULES'!$D$14-1)/'SLOT_RULES'!$E$14)+1)*'SLOT_RULES'!$E$14</x:f>
        <x:v>46350</x:v>
      </x:c>
      <x:c r="P31" s="156" t="n">
        <x:f>'SLOT_RULES'!$D$15+IF($A31&lt;='SLOT_RULES'!$D$15,0,INT(($A31-'SLOT_RULES'!$D$15-1)/'SLOT_RULES'!$E$15)+1)*'SLOT_RULES'!$E$15</x:f>
        <x:v>46422</x:v>
      </x:c>
      <x:c r="Q31" s="158" t="n">
        <x:f>MIN(E31:P31)-A31</x:f>
        <x:v>3</x:v>
      </x:c>
      <x:c r="R31" s="158" t="n">
        <x:f>MAX(E31:P31)-A31</x:f>
        <x:v>128</x:v>
      </x:c>
      <x:c r="S31" s="86" t="str">
        <x:f>IF(AND(COUNT(E31:P31)=10,MIN(E31:P31)&gt;=A31),"PASS","FAIL")</x:f>
        <x:v>PASS</x:v>
      </x:c>
      <x:c r="T31" s="86" t="str">
        <x: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x:f>
        <x:v>PASS</x:v>
      </x:c>
      <x:c r="U31" s="86" t="str">
        <x: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x:f>
        <x:v>PASS</x:v>
      </x:c>
      <x:c r="V31" s="86" t="str">
        <x: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x:f>
        <x:v>PASS</x:v>
      </x:c>
      <x:c r="W31" s="87" t="str">
        <x:f>'CRAWL_LOG'!B31</x:f>
        <x:v>Chưa chạy</x:v>
      </x:c>
      <x:c r="X31" s="95" t="inlineStr">
        <x:is>
          <x:t xml:space="preserve">10-slot panel: 7 near + 3 far; AN2/AN3 inactive from 03/09</x:t>
        </x:is>
      </x:c>
    </x:row>
    <x:row r="32">
      <x:c r="A32" s="155" t="n">
        <x:v>46295</x:v>
      </x:c>
      <x:c r="B32" s="83" t="inlineStr">
        <x:is>
          <x:t xml:space="preserve">Thứ Tư</x:t>
        </x:is>
      </x:c>
      <x:c r="C32" s="83" t="inlineStr">
        <x:is>
          <x:t xml:space="preserve">Official</x:t>
        </x:is>
      </x:c>
      <x:c r="D32" s="83" t="inlineStr">
        <x:is>
          <x:t xml:space="preserve">00:30</x:t>
        </x:is>
      </x:c>
      <x:c r="E32" s="156" t="n">
        <x:f>'SLOT_RULES'!$D$4+IF($A32&lt;='SLOT_RULES'!$D$4,0,INT(($A32-'SLOT_RULES'!$D$4-1)/'SLOT_RULES'!$E$4)+1)*'SLOT_RULES'!$E$4</x:f>
        <x:v>46297</x:v>
      </x:c>
      <x:c r="F32" s="157" t="n"/>
      <x:c r="G32" s="157" t="n"/>
      <x:c r="H32" s="156" t="n">
        <x:f>'SLOT_RULES'!$D$7+IF($A32&lt;='SLOT_RULES'!$D$7,0,INT(($A32-'SLOT_RULES'!$D$7-1)/'SLOT_RULES'!$E$7)+1)*'SLOT_RULES'!$E$7</x:f>
        <x:v>46318</x:v>
      </x:c>
      <x:c r="I32" s="156" t="n">
        <x:f>'SLOT_RULES'!$D$8+IF($A32&lt;='SLOT_RULES'!$D$8,0,INT(($A32-'SLOT_RULES'!$D$8-1)/'SLOT_RULES'!$E$8)+1)*'SLOT_RULES'!$E$8</x:f>
        <x:v>46300</x:v>
      </x:c>
      <x:c r="J32" s="156" t="n">
        <x:f>'SLOT_RULES'!$D$9+IF($A32&lt;='SLOT_RULES'!$D$9,0,INT(($A32-'SLOT_RULES'!$D$9-1)/'SLOT_RULES'!$E$9)+1)*'SLOT_RULES'!$E$9</x:f>
        <x:v>46314</x:v>
      </x:c>
      <x:c r="K32" s="156" t="n">
        <x:f>'SLOT_RULES'!$D$10+IF($A32&lt;='SLOT_RULES'!$D$10,0,INT(($A32-'SLOT_RULES'!$D$10-1)/'SLOT_RULES'!$E$10)+1)*'SLOT_RULES'!$E$10</x:f>
        <x:v>46301</x:v>
      </x:c>
      <x:c r="L32" s="156" t="n">
        <x:f>'SLOT_RULES'!$D$11+IF($A32&lt;='SLOT_RULES'!$D$11,0,INT(($A32-'SLOT_RULES'!$D$11-1)/'SLOT_RULES'!$E$11)+1)*'SLOT_RULES'!$E$11</x:f>
        <x:v>46308</x:v>
      </x:c>
      <x:c r="M32" s="156" t="n">
        <x:f>'SLOT_RULES'!$D$12+IF($A32&lt;='SLOT_RULES'!$D$12,0,INT(($A32-'SLOT_RULES'!$D$12-1)/'SLOT_RULES'!$E$12)+1)*'SLOT_RULES'!$E$12</x:f>
        <x:v>46313</x:v>
      </x:c>
      <x:c r="N32" s="156" t="n">
        <x:f>'SLOT_RULES'!$D$13+IF($A32&lt;='SLOT_RULES'!$D$13,0,INT(($A32-'SLOT_RULES'!$D$13-1)/'SLOT_RULES'!$E$13)+1)*'SLOT_RULES'!$E$13</x:f>
        <x:v>46321</x:v>
      </x:c>
      <x:c r="O32" s="156" t="n">
        <x:f>'SLOT_RULES'!$D$14+IF($A32&lt;='SLOT_RULES'!$D$14,0,INT(($A32-'SLOT_RULES'!$D$14-1)/'SLOT_RULES'!$E$14)+1)*'SLOT_RULES'!$E$14</x:f>
        <x:v>46350</x:v>
      </x:c>
      <x:c r="P32" s="156" t="n">
        <x:f>'SLOT_RULES'!$D$15+IF($A32&lt;='SLOT_RULES'!$D$15,0,INT(($A32-'SLOT_RULES'!$D$15-1)/'SLOT_RULES'!$E$15)+1)*'SLOT_RULES'!$E$15</x:f>
        <x:v>46422</x:v>
      </x:c>
      <x:c r="Q32" s="158" t="n">
        <x:f>MIN(E32:P32)-A32</x:f>
        <x:v>2</x:v>
      </x:c>
      <x:c r="R32" s="158" t="n">
        <x:f>MAX(E32:P32)-A32</x:f>
        <x:v>127</x:v>
      </x:c>
      <x:c r="S32" s="86" t="str">
        <x:f>IF(AND(COUNT(E32:P32)=10,MIN(E32:P32)&gt;=A32),"PASS","FAIL")</x:f>
        <x:v>PASS</x:v>
      </x:c>
      <x:c r="T32" s="86" t="str">
        <x: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x:f>
        <x:v>PASS</x:v>
      </x:c>
      <x:c r="U32" s="86" t="str">
        <x: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x:f>
        <x:v>PASS</x:v>
      </x:c>
      <x:c r="V32" s="86" t="str">
        <x: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x:f>
        <x:v>PASS</x:v>
      </x:c>
      <x:c r="W32" s="87" t="str">
        <x:f>'CRAWL_LOG'!B32</x:f>
        <x:v>Chưa chạy</x:v>
      </x:c>
      <x:c r="X32" s="95" t="inlineStr">
        <x:is>
          <x:t xml:space="preserve">10-slot panel: 7 near + 3 far; AN2/AN3 inactive from 03/09</x:t>
        </x:is>
      </x:c>
    </x:row>
    <x:row r="33">
      <x:c r="A33" s="155" t="n">
        <x:v>46296</x:v>
      </x:c>
      <x:c r="B33" s="83" t="inlineStr">
        <x:is>
          <x:t xml:space="preserve">Thứ Năm</x:t>
        </x:is>
      </x:c>
      <x:c r="C33" s="83" t="inlineStr">
        <x:is>
          <x:t xml:space="preserve">Official</x:t>
        </x:is>
      </x:c>
      <x:c r="D33" s="83" t="inlineStr">
        <x:is>
          <x:t xml:space="preserve">00:30</x:t>
        </x:is>
      </x:c>
      <x:c r="E33" s="156" t="n">
        <x:f>'SLOT_RULES'!$D$4+IF($A33&lt;='SLOT_RULES'!$D$4,0,INT(($A33-'SLOT_RULES'!$D$4-1)/'SLOT_RULES'!$E$4)+1)*'SLOT_RULES'!$E$4</x:f>
        <x:v>46297</x:v>
      </x:c>
      <x:c r="F33" s="157" t="n"/>
      <x:c r="G33" s="157" t="n"/>
      <x:c r="H33" s="156" t="n">
        <x:f>'SLOT_RULES'!$D$7+IF($A33&lt;='SLOT_RULES'!$D$7,0,INT(($A33-'SLOT_RULES'!$D$7-1)/'SLOT_RULES'!$E$7)+1)*'SLOT_RULES'!$E$7</x:f>
        <x:v>46318</x:v>
      </x:c>
      <x:c r="I33" s="156" t="n">
        <x:f>'SLOT_RULES'!$D$8+IF($A33&lt;='SLOT_RULES'!$D$8,0,INT(($A33-'SLOT_RULES'!$D$8-1)/'SLOT_RULES'!$E$8)+1)*'SLOT_RULES'!$E$8</x:f>
        <x:v>46300</x:v>
      </x:c>
      <x:c r="J33" s="156" t="n">
        <x:f>'SLOT_RULES'!$D$9+IF($A33&lt;='SLOT_RULES'!$D$9,0,INT(($A33-'SLOT_RULES'!$D$9-1)/'SLOT_RULES'!$E$9)+1)*'SLOT_RULES'!$E$9</x:f>
        <x:v>46314</x:v>
      </x:c>
      <x:c r="K33" s="156" t="n">
        <x:f>'SLOT_RULES'!$D$10+IF($A33&lt;='SLOT_RULES'!$D$10,0,INT(($A33-'SLOT_RULES'!$D$10-1)/'SLOT_RULES'!$E$10)+1)*'SLOT_RULES'!$E$10</x:f>
        <x:v>46301</x:v>
      </x:c>
      <x:c r="L33" s="156" t="n">
        <x:f>'SLOT_RULES'!$D$11+IF($A33&lt;='SLOT_RULES'!$D$11,0,INT(($A33-'SLOT_RULES'!$D$11-1)/'SLOT_RULES'!$E$11)+1)*'SLOT_RULES'!$E$11</x:f>
        <x:v>46308</x:v>
      </x:c>
      <x:c r="M33" s="156" t="n">
        <x:f>'SLOT_RULES'!$D$12+IF($A33&lt;='SLOT_RULES'!$D$12,0,INT(($A33-'SLOT_RULES'!$D$12-1)/'SLOT_RULES'!$E$12)+1)*'SLOT_RULES'!$E$12</x:f>
        <x:v>46313</x:v>
      </x:c>
      <x:c r="N33" s="156" t="n">
        <x:f>'SLOT_RULES'!$D$13+IF($A33&lt;='SLOT_RULES'!$D$13,0,INT(($A33-'SLOT_RULES'!$D$13-1)/'SLOT_RULES'!$E$13)+1)*'SLOT_RULES'!$E$13</x:f>
        <x:v>46321</x:v>
      </x:c>
      <x:c r="O33" s="156" t="n">
        <x:f>'SLOT_RULES'!$D$14+IF($A33&lt;='SLOT_RULES'!$D$14,0,INT(($A33-'SLOT_RULES'!$D$14-1)/'SLOT_RULES'!$E$14)+1)*'SLOT_RULES'!$E$14</x:f>
        <x:v>46350</x:v>
      </x:c>
      <x:c r="P33" s="156" t="n">
        <x:f>'SLOT_RULES'!$D$15+IF($A33&lt;='SLOT_RULES'!$D$15,0,INT(($A33-'SLOT_RULES'!$D$15-1)/'SLOT_RULES'!$E$15)+1)*'SLOT_RULES'!$E$15</x:f>
        <x:v>46422</x:v>
      </x:c>
      <x:c r="Q33" s="158" t="n">
        <x:f>MIN(E33:P33)-A33</x:f>
        <x:v>1</x:v>
      </x:c>
      <x:c r="R33" s="158" t="n">
        <x:f>MAX(E33:P33)-A33</x:f>
        <x:v>126</x:v>
      </x:c>
      <x:c r="S33" s="86" t="str">
        <x:f>IF(AND(COUNT(E33:P33)=10,MIN(E33:P33)&gt;=A33),"PASS","FAIL")</x:f>
        <x:v>PASS</x:v>
      </x:c>
      <x:c r="T33" s="86" t="str">
        <x: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x:f>
        <x:v>PASS</x:v>
      </x:c>
      <x:c r="U33" s="86" t="str">
        <x: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x:f>
        <x:v>PASS</x:v>
      </x:c>
      <x:c r="V33" s="86" t="str">
        <x: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x:f>
        <x:v>PASS</x:v>
      </x:c>
      <x:c r="W33" s="87" t="str">
        <x:f>'CRAWL_LOG'!B33</x:f>
        <x:v>Chưa chạy</x:v>
      </x:c>
      <x:c r="X33" s="95" t="inlineStr">
        <x:is>
          <x:t xml:space="preserve">10-slot panel: 7 near + 3 far; AN2/AN3 inactive from 03/09</x:t>
        </x:is>
      </x:c>
    </x:row>
    <x:row r="34">
      <x:c r="A34" s="155" t="n">
        <x:v>46297</x:v>
      </x:c>
      <x:c r="B34" s="83" t="inlineStr">
        <x:is>
          <x:t xml:space="preserve">Thứ Sáu</x:t>
        </x:is>
      </x:c>
      <x:c r="C34" s="83" t="inlineStr">
        <x:is>
          <x:t xml:space="preserve">Official</x:t>
        </x:is>
      </x:c>
      <x:c r="D34" s="83" t="inlineStr">
        <x:is>
          <x:t xml:space="preserve">00:30</x:t>
        </x:is>
      </x:c>
      <x:c r="E34" s="156" t="n">
        <x:f>'SLOT_RULES'!$D$4+IF($A34&lt;='SLOT_RULES'!$D$4,0,INT(($A34-'SLOT_RULES'!$D$4-1)/'SLOT_RULES'!$E$4)+1)*'SLOT_RULES'!$E$4</x:f>
        <x:v>46297</x:v>
      </x:c>
      <x:c r="F34" s="157" t="n"/>
      <x:c r="G34" s="157" t="n"/>
      <x:c r="H34" s="156" t="n">
        <x:f>'SLOT_RULES'!$D$7+IF($A34&lt;='SLOT_RULES'!$D$7,0,INT(($A34-'SLOT_RULES'!$D$7-1)/'SLOT_RULES'!$E$7)+1)*'SLOT_RULES'!$E$7</x:f>
        <x:v>46318</x:v>
      </x:c>
      <x:c r="I34" s="156" t="n">
        <x:f>'SLOT_RULES'!$D$8+IF($A34&lt;='SLOT_RULES'!$D$8,0,INT(($A34-'SLOT_RULES'!$D$8-1)/'SLOT_RULES'!$E$8)+1)*'SLOT_RULES'!$E$8</x:f>
        <x:v>46300</x:v>
      </x:c>
      <x:c r="J34" s="156" t="n">
        <x:f>'SLOT_RULES'!$D$9+IF($A34&lt;='SLOT_RULES'!$D$9,0,INT(($A34-'SLOT_RULES'!$D$9-1)/'SLOT_RULES'!$E$9)+1)*'SLOT_RULES'!$E$9</x:f>
        <x:v>46314</x:v>
      </x:c>
      <x:c r="K34" s="156" t="n">
        <x:f>'SLOT_RULES'!$D$10+IF($A34&lt;='SLOT_RULES'!$D$10,0,INT(($A34-'SLOT_RULES'!$D$10-1)/'SLOT_RULES'!$E$10)+1)*'SLOT_RULES'!$E$10</x:f>
        <x:v>46301</x:v>
      </x:c>
      <x:c r="L34" s="156" t="n">
        <x:f>'SLOT_RULES'!$D$11+IF($A34&lt;='SLOT_RULES'!$D$11,0,INT(($A34-'SLOT_RULES'!$D$11-1)/'SLOT_RULES'!$E$11)+1)*'SLOT_RULES'!$E$11</x:f>
        <x:v>46308</x:v>
      </x:c>
      <x:c r="M34" s="156" t="n">
        <x:f>'SLOT_RULES'!$D$12+IF($A34&lt;='SLOT_RULES'!$D$12,0,INT(($A34-'SLOT_RULES'!$D$12-1)/'SLOT_RULES'!$E$12)+1)*'SLOT_RULES'!$E$12</x:f>
        <x:v>46313</x:v>
      </x:c>
      <x:c r="N34" s="156" t="n">
        <x:f>'SLOT_RULES'!$D$13+IF($A34&lt;='SLOT_RULES'!$D$13,0,INT(($A34-'SLOT_RULES'!$D$13-1)/'SLOT_RULES'!$E$13)+1)*'SLOT_RULES'!$E$13</x:f>
        <x:v>46321</x:v>
      </x:c>
      <x:c r="O34" s="156" t="n">
        <x:f>'SLOT_RULES'!$D$14+IF($A34&lt;='SLOT_RULES'!$D$14,0,INT(($A34-'SLOT_RULES'!$D$14-1)/'SLOT_RULES'!$E$14)+1)*'SLOT_RULES'!$E$14</x:f>
        <x:v>46350</x:v>
      </x:c>
      <x:c r="P34" s="156" t="n">
        <x:f>'SLOT_RULES'!$D$15+IF($A34&lt;='SLOT_RULES'!$D$15,0,INT(($A34-'SLOT_RULES'!$D$15-1)/'SLOT_RULES'!$E$15)+1)*'SLOT_RULES'!$E$15</x:f>
        <x:v>46422</x:v>
      </x:c>
      <x:c r="Q34" s="158" t="n">
        <x:f>MIN(E34:P34)-A34</x:f>
        <x:v>0</x:v>
      </x:c>
      <x:c r="R34" s="158" t="n">
        <x:f>MAX(E34:P34)-A34</x:f>
        <x:v>125</x:v>
      </x:c>
      <x:c r="S34" s="86" t="str">
        <x:f>IF(AND(COUNT(E34:P34)=10,MIN(E34:P34)&gt;=A34),"PASS","FAIL")</x:f>
        <x:v>PASS</x:v>
      </x:c>
      <x:c r="T34" s="86" t="str">
        <x: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x:f>
        <x:v>PASS</x:v>
      </x:c>
      <x:c r="U34" s="86" t="str">
        <x: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x:f>
        <x:v>PASS</x:v>
      </x:c>
      <x:c r="V34" s="86" t="str">
        <x: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x:f>
        <x:v>PASS</x:v>
      </x:c>
      <x:c r="W34" s="87" t="str">
        <x:f>'CRAWL_LOG'!B34</x:f>
        <x:v>Chưa chạy</x:v>
      </x:c>
      <x:c r="X34" s="95" t="inlineStr">
        <x:is>
          <x:t xml:space="preserve">10-slot panel: 7 near + 3 far; AN2/AN3 inactive from 03/09</x:t>
        </x:is>
      </x:c>
    </x:row>
    <x:row r="35">
      <x:c r="A35" s="155" t="n">
        <x:v>46298</x:v>
      </x:c>
      <x:c r="B35" s="83" t="inlineStr">
        <x:is>
          <x:t xml:space="preserve">Thứ Bảy</x:t>
        </x:is>
      </x:c>
      <x:c r="C35" s="83" t="inlineStr">
        <x:is>
          <x:t xml:space="preserve">Official</x:t>
        </x:is>
      </x:c>
      <x:c r="D35" s="83" t="inlineStr">
        <x:is>
          <x:t xml:space="preserve">00:30</x:t>
        </x:is>
      </x:c>
      <x:c r="E35" s="156" t="n">
        <x:f>'SLOT_RULES'!$D$4+IF($A35&lt;='SLOT_RULES'!$D$4,0,INT(($A35-'SLOT_RULES'!$D$4-1)/'SLOT_RULES'!$E$4)+1)*'SLOT_RULES'!$E$4</x:f>
        <x:v>46325</x:v>
      </x:c>
      <x:c r="F35" s="157" t="n"/>
      <x:c r="G35" s="157" t="n"/>
      <x:c r="H35" s="156" t="n">
        <x:f>'SLOT_RULES'!$D$7+IF($A35&lt;='SLOT_RULES'!$D$7,0,INT(($A35-'SLOT_RULES'!$D$7-1)/'SLOT_RULES'!$E$7)+1)*'SLOT_RULES'!$E$7</x:f>
        <x:v>46318</x:v>
      </x:c>
      <x:c r="I35" s="156" t="n">
        <x:f>'SLOT_RULES'!$D$8+IF($A35&lt;='SLOT_RULES'!$D$8,0,INT(($A35-'SLOT_RULES'!$D$8-1)/'SLOT_RULES'!$E$8)+1)*'SLOT_RULES'!$E$8</x:f>
        <x:v>46300</x:v>
      </x:c>
      <x:c r="J35" s="156" t="n">
        <x:f>'SLOT_RULES'!$D$9+IF($A35&lt;='SLOT_RULES'!$D$9,0,INT(($A35-'SLOT_RULES'!$D$9-1)/'SLOT_RULES'!$E$9)+1)*'SLOT_RULES'!$E$9</x:f>
        <x:v>46314</x:v>
      </x:c>
      <x:c r="K35" s="156" t="n">
        <x:f>'SLOT_RULES'!$D$10+IF($A35&lt;='SLOT_RULES'!$D$10,0,INT(($A35-'SLOT_RULES'!$D$10-1)/'SLOT_RULES'!$E$10)+1)*'SLOT_RULES'!$E$10</x:f>
        <x:v>46301</x:v>
      </x:c>
      <x:c r="L35" s="156" t="n">
        <x:f>'SLOT_RULES'!$D$11+IF($A35&lt;='SLOT_RULES'!$D$11,0,INT(($A35-'SLOT_RULES'!$D$11-1)/'SLOT_RULES'!$E$11)+1)*'SLOT_RULES'!$E$11</x:f>
        <x:v>46308</x:v>
      </x:c>
      <x:c r="M35" s="156" t="n">
        <x:f>'SLOT_RULES'!$D$12+IF($A35&lt;='SLOT_RULES'!$D$12,0,INT(($A35-'SLOT_RULES'!$D$12-1)/'SLOT_RULES'!$E$12)+1)*'SLOT_RULES'!$E$12</x:f>
        <x:v>46313</x:v>
      </x:c>
      <x:c r="N35" s="156" t="n">
        <x:f>'SLOT_RULES'!$D$13+IF($A35&lt;='SLOT_RULES'!$D$13,0,INT(($A35-'SLOT_RULES'!$D$13-1)/'SLOT_RULES'!$E$13)+1)*'SLOT_RULES'!$E$13</x:f>
        <x:v>46321</x:v>
      </x:c>
      <x:c r="O35" s="156" t="n">
        <x:f>'SLOT_RULES'!$D$14+IF($A35&lt;='SLOT_RULES'!$D$14,0,INT(($A35-'SLOT_RULES'!$D$14-1)/'SLOT_RULES'!$E$14)+1)*'SLOT_RULES'!$E$14</x:f>
        <x:v>46350</x:v>
      </x:c>
      <x:c r="P35" s="156" t="n">
        <x:f>'SLOT_RULES'!$D$15+IF($A35&lt;='SLOT_RULES'!$D$15,0,INT(($A35-'SLOT_RULES'!$D$15-1)/'SLOT_RULES'!$E$15)+1)*'SLOT_RULES'!$E$15</x:f>
        <x:v>46422</x:v>
      </x:c>
      <x:c r="Q35" s="158" t="n">
        <x:f>MIN(E35:P35)-A35</x:f>
        <x:v>2</x:v>
      </x:c>
      <x:c r="R35" s="158" t="n">
        <x:f>MAX(E35:P35)-A35</x:f>
        <x:v>124</x:v>
      </x:c>
      <x:c r="S35" s="86" t="str">
        <x:f>IF(AND(COUNT(E35:P35)=10,MIN(E35:P35)&gt;=A35),"PASS","FAIL")</x:f>
        <x:v>PASS</x:v>
      </x:c>
      <x:c r="T35" s="86" t="str">
        <x: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x:f>
        <x:v>PASS</x:v>
      </x:c>
      <x:c r="U35" s="86" t="str">
        <x: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x:f>
        <x:v>PASS</x:v>
      </x:c>
      <x:c r="V35" s="86" t="str">
        <x: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x:f>
        <x:v>PASS</x:v>
      </x:c>
      <x:c r="W35" s="87" t="str">
        <x:f>'CRAWL_LOG'!B35</x:f>
        <x:v>Chưa chạy</x:v>
      </x:c>
      <x:c r="X35" s="95" t="inlineStr">
        <x:is>
          <x:t xml:space="preserve">10-slot panel: 7 near + 3 far; AN2/AN3 inactive from 03/09</x:t>
        </x:is>
      </x:c>
    </x:row>
    <x:row r="36">
      <x:c r="A36" s="155" t="n">
        <x:v>46299</x:v>
      </x:c>
      <x:c r="B36" s="83" t="inlineStr">
        <x:is>
          <x:t xml:space="preserve">Chủ Nhật</x:t>
        </x:is>
      </x:c>
      <x:c r="C36" s="83" t="inlineStr">
        <x:is>
          <x:t xml:space="preserve">Official</x:t>
        </x:is>
      </x:c>
      <x:c r="D36" s="83" t="inlineStr">
        <x:is>
          <x:t xml:space="preserve">00:30</x:t>
        </x:is>
      </x:c>
      <x:c r="E36" s="156" t="n">
        <x:f>'SLOT_RULES'!$D$4+IF($A36&lt;='SLOT_RULES'!$D$4,0,INT(($A36-'SLOT_RULES'!$D$4-1)/'SLOT_RULES'!$E$4)+1)*'SLOT_RULES'!$E$4</x:f>
        <x:v>46325</x:v>
      </x:c>
      <x:c r="F36" s="157" t="n"/>
      <x:c r="G36" s="157" t="n"/>
      <x:c r="H36" s="156" t="n">
        <x:f>'SLOT_RULES'!$D$7+IF($A36&lt;='SLOT_RULES'!$D$7,0,INT(($A36-'SLOT_RULES'!$D$7-1)/'SLOT_RULES'!$E$7)+1)*'SLOT_RULES'!$E$7</x:f>
        <x:v>46318</x:v>
      </x:c>
      <x:c r="I36" s="156" t="n">
        <x:f>'SLOT_RULES'!$D$8+IF($A36&lt;='SLOT_RULES'!$D$8,0,INT(($A36-'SLOT_RULES'!$D$8-1)/'SLOT_RULES'!$E$8)+1)*'SLOT_RULES'!$E$8</x:f>
        <x:v>46300</x:v>
      </x:c>
      <x:c r="J36" s="156" t="n">
        <x:f>'SLOT_RULES'!$D$9+IF($A36&lt;='SLOT_RULES'!$D$9,0,INT(($A36-'SLOT_RULES'!$D$9-1)/'SLOT_RULES'!$E$9)+1)*'SLOT_RULES'!$E$9</x:f>
        <x:v>46314</x:v>
      </x:c>
      <x:c r="K36" s="156" t="n">
        <x:f>'SLOT_RULES'!$D$10+IF($A36&lt;='SLOT_RULES'!$D$10,0,INT(($A36-'SLOT_RULES'!$D$10-1)/'SLOT_RULES'!$E$10)+1)*'SLOT_RULES'!$E$10</x:f>
        <x:v>46301</x:v>
      </x:c>
      <x:c r="L36" s="156" t="n">
        <x:f>'SLOT_RULES'!$D$11+IF($A36&lt;='SLOT_RULES'!$D$11,0,INT(($A36-'SLOT_RULES'!$D$11-1)/'SLOT_RULES'!$E$11)+1)*'SLOT_RULES'!$E$11</x:f>
        <x:v>46308</x:v>
      </x:c>
      <x:c r="M36" s="156" t="n">
        <x:f>'SLOT_RULES'!$D$12+IF($A36&lt;='SLOT_RULES'!$D$12,0,INT(($A36-'SLOT_RULES'!$D$12-1)/'SLOT_RULES'!$E$12)+1)*'SLOT_RULES'!$E$12</x:f>
        <x:v>46313</x:v>
      </x:c>
      <x:c r="N36" s="156" t="n">
        <x:f>'SLOT_RULES'!$D$13+IF($A36&lt;='SLOT_RULES'!$D$13,0,INT(($A36-'SLOT_RULES'!$D$13-1)/'SLOT_RULES'!$E$13)+1)*'SLOT_RULES'!$E$13</x:f>
        <x:v>46321</x:v>
      </x:c>
      <x:c r="O36" s="156" t="n">
        <x:f>'SLOT_RULES'!$D$14+IF($A36&lt;='SLOT_RULES'!$D$14,0,INT(($A36-'SLOT_RULES'!$D$14-1)/'SLOT_RULES'!$E$14)+1)*'SLOT_RULES'!$E$14</x:f>
        <x:v>46350</x:v>
      </x:c>
      <x:c r="P36" s="156" t="n">
        <x:f>'SLOT_RULES'!$D$15+IF($A36&lt;='SLOT_RULES'!$D$15,0,INT(($A36-'SLOT_RULES'!$D$15-1)/'SLOT_RULES'!$E$15)+1)*'SLOT_RULES'!$E$15</x:f>
        <x:v>46422</x:v>
      </x:c>
      <x:c r="Q36" s="158" t="n">
        <x:f>MIN(E36:P36)-A36</x:f>
        <x:v>1</x:v>
      </x:c>
      <x:c r="R36" s="158" t="n">
        <x:f>MAX(E36:P36)-A36</x:f>
        <x:v>123</x:v>
      </x:c>
      <x:c r="S36" s="86" t="str">
        <x:f>IF(AND(COUNT(E36:P36)=10,MIN(E36:P36)&gt;=A36),"PASS","FAIL")</x:f>
        <x:v>PASS</x:v>
      </x:c>
      <x:c r="T36" s="86" t="str">
        <x: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x:f>
        <x:v>PASS</x:v>
      </x:c>
      <x:c r="U36" s="86" t="str">
        <x: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x:f>
        <x:v>PASS</x:v>
      </x:c>
      <x:c r="V36" s="86" t="str">
        <x: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x:f>
        <x:v>PASS</x:v>
      </x:c>
      <x:c r="W36" s="87" t="str">
        <x:f>'CRAWL_LOG'!B36</x:f>
        <x:v>Chưa chạy</x:v>
      </x:c>
      <x:c r="X36" s="95" t="inlineStr">
        <x:is>
          <x:t xml:space="preserve">10-slot panel: 7 near + 3 far; AN2/AN3 inactive from 03/09</x:t>
        </x:is>
      </x:c>
    </x:row>
    <x:row r="37">
      <x:c r="A37" s="155" t="n">
        <x:v>46300</x:v>
      </x:c>
      <x:c r="B37" s="83" t="inlineStr">
        <x:is>
          <x:t xml:space="preserve">Thứ Hai</x:t>
        </x:is>
      </x:c>
      <x:c r="C37" s="83" t="inlineStr">
        <x:is>
          <x:t xml:space="preserve">Official</x:t>
        </x:is>
      </x:c>
      <x:c r="D37" s="83" t="inlineStr">
        <x:is>
          <x:t xml:space="preserve">00:30</x:t>
        </x:is>
      </x:c>
      <x:c r="E37" s="156" t="n">
        <x:f>'SLOT_RULES'!$D$4+IF($A37&lt;='SLOT_RULES'!$D$4,0,INT(($A37-'SLOT_RULES'!$D$4-1)/'SLOT_RULES'!$E$4)+1)*'SLOT_RULES'!$E$4</x:f>
        <x:v>46325</x:v>
      </x:c>
      <x:c r="F37" s="157" t="n"/>
      <x:c r="G37" s="157" t="n"/>
      <x:c r="H37" s="156" t="n">
        <x:f>'SLOT_RULES'!$D$7+IF($A37&lt;='SLOT_RULES'!$D$7,0,INT(($A37-'SLOT_RULES'!$D$7-1)/'SLOT_RULES'!$E$7)+1)*'SLOT_RULES'!$E$7</x:f>
        <x:v>46318</x:v>
      </x:c>
      <x:c r="I37" s="156" t="n">
        <x:f>'SLOT_RULES'!$D$8+IF($A37&lt;='SLOT_RULES'!$D$8,0,INT(($A37-'SLOT_RULES'!$D$8-1)/'SLOT_RULES'!$E$8)+1)*'SLOT_RULES'!$E$8</x:f>
        <x:v>46300</x:v>
      </x:c>
      <x:c r="J37" s="156" t="n">
        <x:f>'SLOT_RULES'!$D$9+IF($A37&lt;='SLOT_RULES'!$D$9,0,INT(($A37-'SLOT_RULES'!$D$9-1)/'SLOT_RULES'!$E$9)+1)*'SLOT_RULES'!$E$9</x:f>
        <x:v>46314</x:v>
      </x:c>
      <x:c r="K37" s="156" t="n">
        <x:f>'SLOT_RULES'!$D$10+IF($A37&lt;='SLOT_RULES'!$D$10,0,INT(($A37-'SLOT_RULES'!$D$10-1)/'SLOT_RULES'!$E$10)+1)*'SLOT_RULES'!$E$10</x:f>
        <x:v>46301</x:v>
      </x:c>
      <x:c r="L37" s="156" t="n">
        <x:f>'SLOT_RULES'!$D$11+IF($A37&lt;='SLOT_RULES'!$D$11,0,INT(($A37-'SLOT_RULES'!$D$11-1)/'SLOT_RULES'!$E$11)+1)*'SLOT_RULES'!$E$11</x:f>
        <x:v>46308</x:v>
      </x:c>
      <x:c r="M37" s="156" t="n">
        <x:f>'SLOT_RULES'!$D$12+IF($A37&lt;='SLOT_RULES'!$D$12,0,INT(($A37-'SLOT_RULES'!$D$12-1)/'SLOT_RULES'!$E$12)+1)*'SLOT_RULES'!$E$12</x:f>
        <x:v>46313</x:v>
      </x:c>
      <x:c r="N37" s="156" t="n">
        <x:f>'SLOT_RULES'!$D$13+IF($A37&lt;='SLOT_RULES'!$D$13,0,INT(($A37-'SLOT_RULES'!$D$13-1)/'SLOT_RULES'!$E$13)+1)*'SLOT_RULES'!$E$13</x:f>
        <x:v>46321</x:v>
      </x:c>
      <x:c r="O37" s="156" t="n">
        <x:f>'SLOT_RULES'!$D$14+IF($A37&lt;='SLOT_RULES'!$D$14,0,INT(($A37-'SLOT_RULES'!$D$14-1)/'SLOT_RULES'!$E$14)+1)*'SLOT_RULES'!$E$14</x:f>
        <x:v>46350</x:v>
      </x:c>
      <x:c r="P37" s="156" t="n">
        <x:f>'SLOT_RULES'!$D$15+IF($A37&lt;='SLOT_RULES'!$D$15,0,INT(($A37-'SLOT_RULES'!$D$15-1)/'SLOT_RULES'!$E$15)+1)*'SLOT_RULES'!$E$15</x:f>
        <x:v>46422</x:v>
      </x:c>
      <x:c r="Q37" s="158" t="n">
        <x:f>MIN(E37:P37)-A37</x:f>
        <x:v>0</x:v>
      </x:c>
      <x:c r="R37" s="158" t="n">
        <x:f>MAX(E37:P37)-A37</x:f>
        <x:v>122</x:v>
      </x:c>
      <x:c r="S37" s="86" t="str">
        <x:f>IF(AND(COUNT(E37:P37)=10,MIN(E37:P37)&gt;=A37),"PASS","FAIL")</x:f>
        <x:v>PASS</x:v>
      </x:c>
      <x:c r="T37" s="86" t="str">
        <x: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x:f>
        <x:v>PASS</x:v>
      </x:c>
      <x:c r="U37" s="86" t="str">
        <x: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x:f>
        <x:v>PASS</x:v>
      </x:c>
      <x:c r="V37" s="86" t="str">
        <x: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x:f>
        <x:v>PASS</x:v>
      </x:c>
      <x:c r="W37" s="87" t="str">
        <x:f>'CRAWL_LOG'!B37</x:f>
        <x:v>Chưa chạy</x:v>
      </x:c>
      <x:c r="X37" s="95" t="inlineStr">
        <x:is>
          <x:t xml:space="preserve">10-slot panel: 7 near + 3 far; AN2/AN3 inactive from 03/09</x:t>
        </x:is>
      </x:c>
    </x:row>
    <x:row r="38">
      <x:c r="A38" s="155" t="n">
        <x:v>46301</x:v>
      </x:c>
      <x:c r="B38" s="83" t="inlineStr">
        <x:is>
          <x:t xml:space="preserve">Thứ Ba</x:t>
        </x:is>
      </x:c>
      <x:c r="C38" s="83" t="inlineStr">
        <x:is>
          <x:t xml:space="preserve">Official</x:t>
        </x:is>
      </x:c>
      <x:c r="D38" s="83" t="inlineStr">
        <x:is>
          <x:t xml:space="preserve">00:30</x:t>
        </x:is>
      </x:c>
      <x:c r="E38" s="156" t="n">
        <x:f>'SLOT_RULES'!$D$4+IF($A38&lt;='SLOT_RULES'!$D$4,0,INT(($A38-'SLOT_RULES'!$D$4-1)/'SLOT_RULES'!$E$4)+1)*'SLOT_RULES'!$E$4</x:f>
        <x:v>46325</x:v>
      </x:c>
      <x:c r="F38" s="157" t="n"/>
      <x:c r="G38" s="157" t="n"/>
      <x:c r="H38" s="156" t="n">
        <x:f>'SLOT_RULES'!$D$7+IF($A38&lt;='SLOT_RULES'!$D$7,0,INT(($A38-'SLOT_RULES'!$D$7-1)/'SLOT_RULES'!$E$7)+1)*'SLOT_RULES'!$E$7</x:f>
        <x:v>46318</x:v>
      </x:c>
      <x:c r="I38" s="156" t="n">
        <x:f>'SLOT_RULES'!$D$8+IF($A38&lt;='SLOT_RULES'!$D$8,0,INT(($A38-'SLOT_RULES'!$D$8-1)/'SLOT_RULES'!$E$8)+1)*'SLOT_RULES'!$E$8</x:f>
        <x:v>46328</x:v>
      </x:c>
      <x:c r="J38" s="156" t="n">
        <x:f>'SLOT_RULES'!$D$9+IF($A38&lt;='SLOT_RULES'!$D$9,0,INT(($A38-'SLOT_RULES'!$D$9-1)/'SLOT_RULES'!$E$9)+1)*'SLOT_RULES'!$E$9</x:f>
        <x:v>46314</x:v>
      </x:c>
      <x:c r="K38" s="156" t="n">
        <x:f>'SLOT_RULES'!$D$10+IF($A38&lt;='SLOT_RULES'!$D$10,0,INT(($A38-'SLOT_RULES'!$D$10-1)/'SLOT_RULES'!$E$10)+1)*'SLOT_RULES'!$E$10</x:f>
        <x:v>46301</x:v>
      </x:c>
      <x:c r="L38" s="156" t="n">
        <x:f>'SLOT_RULES'!$D$11+IF($A38&lt;='SLOT_RULES'!$D$11,0,INT(($A38-'SLOT_RULES'!$D$11-1)/'SLOT_RULES'!$E$11)+1)*'SLOT_RULES'!$E$11</x:f>
        <x:v>46308</x:v>
      </x:c>
      <x:c r="M38" s="156" t="n">
        <x:f>'SLOT_RULES'!$D$12+IF($A38&lt;='SLOT_RULES'!$D$12,0,INT(($A38-'SLOT_RULES'!$D$12-1)/'SLOT_RULES'!$E$12)+1)*'SLOT_RULES'!$E$12</x:f>
        <x:v>46313</x:v>
      </x:c>
      <x:c r="N38" s="156" t="n">
        <x:f>'SLOT_RULES'!$D$13+IF($A38&lt;='SLOT_RULES'!$D$13,0,INT(($A38-'SLOT_RULES'!$D$13-1)/'SLOT_RULES'!$E$13)+1)*'SLOT_RULES'!$E$13</x:f>
        <x:v>46321</x:v>
      </x:c>
      <x:c r="O38" s="156" t="n">
        <x:f>'SLOT_RULES'!$D$14+IF($A38&lt;='SLOT_RULES'!$D$14,0,INT(($A38-'SLOT_RULES'!$D$14-1)/'SLOT_RULES'!$E$14)+1)*'SLOT_RULES'!$E$14</x:f>
        <x:v>46350</x:v>
      </x:c>
      <x:c r="P38" s="156" t="n">
        <x:f>'SLOT_RULES'!$D$15+IF($A38&lt;='SLOT_RULES'!$D$15,0,INT(($A38-'SLOT_RULES'!$D$15-1)/'SLOT_RULES'!$E$15)+1)*'SLOT_RULES'!$E$15</x:f>
        <x:v>46422</x:v>
      </x:c>
      <x:c r="Q38" s="158" t="n">
        <x:f>MIN(E38:P38)-A38</x:f>
        <x:v>0</x:v>
      </x:c>
      <x:c r="R38" s="158" t="n">
        <x:f>MAX(E38:P38)-A38</x:f>
        <x:v>121</x:v>
      </x:c>
      <x:c r="S38" s="86" t="str">
        <x:f>IF(AND(COUNT(E38:P38)=10,MIN(E38:P38)&gt;=A38),"PASS","FAIL")</x:f>
        <x:v>PASS</x:v>
      </x:c>
      <x:c r="T38" s="86" t="str">
        <x: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x:f>
        <x:v>PASS</x:v>
      </x:c>
      <x:c r="U38" s="86" t="str">
        <x: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x:f>
        <x:v>PASS</x:v>
      </x:c>
      <x:c r="V38" s="86" t="str">
        <x: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x:f>
        <x:v>PASS</x:v>
      </x:c>
      <x:c r="W38" s="87" t="str">
        <x:f>'CRAWL_LOG'!B38</x:f>
        <x:v>Chưa chạy</x:v>
      </x:c>
      <x:c r="X38" s="95" t="inlineStr">
        <x:is>
          <x:t xml:space="preserve">10-slot panel: 7 near + 3 far; AN2/AN3 inactive from 03/09</x:t>
        </x:is>
      </x:c>
    </x:row>
    <x:row r="39">
      <x:c r="A39" s="155" t="n">
        <x:v>46302</x:v>
      </x:c>
      <x:c r="B39" s="83" t="inlineStr">
        <x:is>
          <x:t xml:space="preserve">Thứ Tư</x:t>
        </x:is>
      </x:c>
      <x:c r="C39" s="83" t="inlineStr">
        <x:is>
          <x:t xml:space="preserve">Official</x:t>
        </x:is>
      </x:c>
      <x:c r="D39" s="83" t="inlineStr">
        <x:is>
          <x:t xml:space="preserve">00:30</x:t>
        </x:is>
      </x:c>
      <x:c r="E39" s="156" t="n">
        <x:f>'SLOT_RULES'!$D$4+IF($A39&lt;='SLOT_RULES'!$D$4,0,INT(($A39-'SLOT_RULES'!$D$4-1)/'SLOT_RULES'!$E$4)+1)*'SLOT_RULES'!$E$4</x:f>
        <x:v>46325</x:v>
      </x:c>
      <x:c r="F39" s="157" t="n"/>
      <x:c r="G39" s="157" t="n"/>
      <x:c r="H39" s="156" t="n">
        <x:f>'SLOT_RULES'!$D$7+IF($A39&lt;='SLOT_RULES'!$D$7,0,INT(($A39-'SLOT_RULES'!$D$7-1)/'SLOT_RULES'!$E$7)+1)*'SLOT_RULES'!$E$7</x:f>
        <x:v>46318</x:v>
      </x:c>
      <x:c r="I39" s="156" t="n">
        <x:f>'SLOT_RULES'!$D$8+IF($A39&lt;='SLOT_RULES'!$D$8,0,INT(($A39-'SLOT_RULES'!$D$8-1)/'SLOT_RULES'!$E$8)+1)*'SLOT_RULES'!$E$8</x:f>
        <x:v>46328</x:v>
      </x:c>
      <x:c r="J39" s="156" t="n">
        <x:f>'SLOT_RULES'!$D$9+IF($A39&lt;='SLOT_RULES'!$D$9,0,INT(($A39-'SLOT_RULES'!$D$9-1)/'SLOT_RULES'!$E$9)+1)*'SLOT_RULES'!$E$9</x:f>
        <x:v>46314</x:v>
      </x:c>
      <x:c r="K39" s="156" t="n">
        <x:f>'SLOT_RULES'!$D$10+IF($A39&lt;='SLOT_RULES'!$D$10,0,INT(($A39-'SLOT_RULES'!$D$10-1)/'SLOT_RULES'!$E$10)+1)*'SLOT_RULES'!$E$10</x:f>
        <x:v>46329</x:v>
      </x:c>
      <x:c r="L39" s="156" t="n">
        <x:f>'SLOT_RULES'!$D$11+IF($A39&lt;='SLOT_RULES'!$D$11,0,INT(($A39-'SLOT_RULES'!$D$11-1)/'SLOT_RULES'!$E$11)+1)*'SLOT_RULES'!$E$11</x:f>
        <x:v>46308</x:v>
      </x:c>
      <x:c r="M39" s="156" t="n">
        <x:f>'SLOT_RULES'!$D$12+IF($A39&lt;='SLOT_RULES'!$D$12,0,INT(($A39-'SLOT_RULES'!$D$12-1)/'SLOT_RULES'!$E$12)+1)*'SLOT_RULES'!$E$12</x:f>
        <x:v>46313</x:v>
      </x:c>
      <x:c r="N39" s="156" t="n">
        <x:f>'SLOT_RULES'!$D$13+IF($A39&lt;='SLOT_RULES'!$D$13,0,INT(($A39-'SLOT_RULES'!$D$13-1)/'SLOT_RULES'!$E$13)+1)*'SLOT_RULES'!$E$13</x:f>
        <x:v>46321</x:v>
      </x:c>
      <x:c r="O39" s="156" t="n">
        <x:f>'SLOT_RULES'!$D$14+IF($A39&lt;='SLOT_RULES'!$D$14,0,INT(($A39-'SLOT_RULES'!$D$14-1)/'SLOT_RULES'!$E$14)+1)*'SLOT_RULES'!$E$14</x:f>
        <x:v>46350</x:v>
      </x:c>
      <x:c r="P39" s="156" t="n">
        <x:f>'SLOT_RULES'!$D$15+IF($A39&lt;='SLOT_RULES'!$D$15,0,INT(($A39-'SLOT_RULES'!$D$15-1)/'SLOT_RULES'!$E$15)+1)*'SLOT_RULES'!$E$15</x:f>
        <x:v>46422</x:v>
      </x:c>
      <x:c r="Q39" s="158" t="n">
        <x:f>MIN(E39:P39)-A39</x:f>
        <x:v>6</x:v>
      </x:c>
      <x:c r="R39" s="158" t="n">
        <x:f>MAX(E39:P39)-A39</x:f>
        <x:v>120</x:v>
      </x:c>
      <x:c r="S39" s="86" t="str">
        <x:f>IF(AND(COUNT(E39:P39)=10,MIN(E39:P39)&gt;=A39),"PASS","FAIL")</x:f>
        <x:v>PASS</x:v>
      </x:c>
      <x:c r="T39" s="86" t="str">
        <x: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x:f>
        <x:v>PASS</x:v>
      </x:c>
      <x:c r="U39" s="86" t="str">
        <x: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x:f>
        <x:v>PASS</x:v>
      </x:c>
      <x:c r="V39" s="86" t="str">
        <x: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x:f>
        <x:v>PASS</x:v>
      </x:c>
      <x:c r="W39" s="87" t="str">
        <x:f>'CRAWL_LOG'!B39</x:f>
        <x:v>Chưa chạy</x:v>
      </x:c>
      <x:c r="X39" s="95" t="inlineStr">
        <x:is>
          <x:t xml:space="preserve">10-slot panel: 7 near + 3 far; AN2/AN3 inactive from 03/09</x:t>
        </x:is>
      </x:c>
    </x:row>
    <x:row r="40">
      <x:c r="A40" s="155" t="n">
        <x:v>46303</x:v>
      </x:c>
      <x:c r="B40" s="83" t="inlineStr">
        <x:is>
          <x:t xml:space="preserve">Thứ Năm</x:t>
        </x:is>
      </x:c>
      <x:c r="C40" s="83" t="inlineStr">
        <x:is>
          <x:t xml:space="preserve">Official</x:t>
        </x:is>
      </x:c>
      <x:c r="D40" s="83" t="inlineStr">
        <x:is>
          <x:t xml:space="preserve">00:30</x:t>
        </x:is>
      </x:c>
      <x:c r="E40" s="156" t="n">
        <x:f>'SLOT_RULES'!$D$4+IF($A40&lt;='SLOT_RULES'!$D$4,0,INT(($A40-'SLOT_RULES'!$D$4-1)/'SLOT_RULES'!$E$4)+1)*'SLOT_RULES'!$E$4</x:f>
        <x:v>46325</x:v>
      </x:c>
      <x:c r="F40" s="157" t="n"/>
      <x:c r="G40" s="157" t="n"/>
      <x:c r="H40" s="156" t="n">
        <x:f>'SLOT_RULES'!$D$7+IF($A40&lt;='SLOT_RULES'!$D$7,0,INT(($A40-'SLOT_RULES'!$D$7-1)/'SLOT_RULES'!$E$7)+1)*'SLOT_RULES'!$E$7</x:f>
        <x:v>46318</x:v>
      </x:c>
      <x:c r="I40" s="156" t="n">
        <x:f>'SLOT_RULES'!$D$8+IF($A40&lt;='SLOT_RULES'!$D$8,0,INT(($A40-'SLOT_RULES'!$D$8-1)/'SLOT_RULES'!$E$8)+1)*'SLOT_RULES'!$E$8</x:f>
        <x:v>46328</x:v>
      </x:c>
      <x:c r="J40" s="156" t="n">
        <x:f>'SLOT_RULES'!$D$9+IF($A40&lt;='SLOT_RULES'!$D$9,0,INT(($A40-'SLOT_RULES'!$D$9-1)/'SLOT_RULES'!$E$9)+1)*'SLOT_RULES'!$E$9</x:f>
        <x:v>46314</x:v>
      </x:c>
      <x:c r="K40" s="156" t="n">
        <x:f>'SLOT_RULES'!$D$10+IF($A40&lt;='SLOT_RULES'!$D$10,0,INT(($A40-'SLOT_RULES'!$D$10-1)/'SLOT_RULES'!$E$10)+1)*'SLOT_RULES'!$E$10</x:f>
        <x:v>46329</x:v>
      </x:c>
      <x:c r="L40" s="156" t="n">
        <x:f>'SLOT_RULES'!$D$11+IF($A40&lt;='SLOT_RULES'!$D$11,0,INT(($A40-'SLOT_RULES'!$D$11-1)/'SLOT_RULES'!$E$11)+1)*'SLOT_RULES'!$E$11</x:f>
        <x:v>46308</x:v>
      </x:c>
      <x:c r="M40" s="156" t="n">
        <x:f>'SLOT_RULES'!$D$12+IF($A40&lt;='SLOT_RULES'!$D$12,0,INT(($A40-'SLOT_RULES'!$D$12-1)/'SLOT_RULES'!$E$12)+1)*'SLOT_RULES'!$E$12</x:f>
        <x:v>46313</x:v>
      </x:c>
      <x:c r="N40" s="156" t="n">
        <x:f>'SLOT_RULES'!$D$13+IF($A40&lt;='SLOT_RULES'!$D$13,0,INT(($A40-'SLOT_RULES'!$D$13-1)/'SLOT_RULES'!$E$13)+1)*'SLOT_RULES'!$E$13</x:f>
        <x:v>46321</x:v>
      </x:c>
      <x:c r="O40" s="156" t="n">
        <x:f>'SLOT_RULES'!$D$14+IF($A40&lt;='SLOT_RULES'!$D$14,0,INT(($A40-'SLOT_RULES'!$D$14-1)/'SLOT_RULES'!$E$14)+1)*'SLOT_RULES'!$E$14</x:f>
        <x:v>46350</x:v>
      </x:c>
      <x:c r="P40" s="156" t="n">
        <x:f>'SLOT_RULES'!$D$15+IF($A40&lt;='SLOT_RULES'!$D$15,0,INT(($A40-'SLOT_RULES'!$D$15-1)/'SLOT_RULES'!$E$15)+1)*'SLOT_RULES'!$E$15</x:f>
        <x:v>46422</x:v>
      </x:c>
      <x:c r="Q40" s="158" t="n">
        <x:f>MIN(E40:P40)-A40</x:f>
        <x:v>5</x:v>
      </x:c>
      <x:c r="R40" s="158" t="n">
        <x:f>MAX(E40:P40)-A40</x:f>
        <x:v>119</x:v>
      </x:c>
      <x:c r="S40" s="86" t="str">
        <x:f>IF(AND(COUNT(E40:P40)=10,MIN(E40:P40)&gt;=A40),"PASS","FAIL")</x:f>
        <x:v>PASS</x:v>
      </x:c>
      <x:c r="T40" s="86" t="str">
        <x: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x:f>
        <x:v>PASS</x:v>
      </x:c>
      <x:c r="U40" s="86" t="str">
        <x: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x:f>
        <x:v>PASS</x:v>
      </x:c>
      <x:c r="V40" s="86" t="str">
        <x: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x:f>
        <x:v>PASS</x:v>
      </x:c>
      <x:c r="W40" s="87" t="str">
        <x:f>'CRAWL_LOG'!B40</x:f>
        <x:v>Chưa chạy</x:v>
      </x:c>
      <x:c r="X40" s="95" t="inlineStr">
        <x:is>
          <x:t xml:space="preserve">10-slot panel: 7 near + 3 far; AN2/AN3 inactive from 03/09</x:t>
        </x:is>
      </x:c>
    </x:row>
    <x:row r="41">
      <x:c r="A41" s="155" t="n">
        <x:v>46304</x:v>
      </x:c>
      <x:c r="B41" s="83" t="inlineStr">
        <x:is>
          <x:t xml:space="preserve">Thứ Sáu</x:t>
        </x:is>
      </x:c>
      <x:c r="C41" s="83" t="inlineStr">
        <x:is>
          <x:t xml:space="preserve">Official</x:t>
        </x:is>
      </x:c>
      <x:c r="D41" s="83" t="inlineStr">
        <x:is>
          <x:t xml:space="preserve">00:30</x:t>
        </x:is>
      </x:c>
      <x:c r="E41" s="156" t="n">
        <x:f>'SLOT_RULES'!$D$4+IF($A41&lt;='SLOT_RULES'!$D$4,0,INT(($A41-'SLOT_RULES'!$D$4-1)/'SLOT_RULES'!$E$4)+1)*'SLOT_RULES'!$E$4</x:f>
        <x:v>46325</x:v>
      </x:c>
      <x:c r="F41" s="157" t="n"/>
      <x:c r="G41" s="157" t="n"/>
      <x:c r="H41" s="156" t="n">
        <x:f>'SLOT_RULES'!$D$7+IF($A41&lt;='SLOT_RULES'!$D$7,0,INT(($A41-'SLOT_RULES'!$D$7-1)/'SLOT_RULES'!$E$7)+1)*'SLOT_RULES'!$E$7</x:f>
        <x:v>46318</x:v>
      </x:c>
      <x:c r="I41" s="156" t="n">
        <x:f>'SLOT_RULES'!$D$8+IF($A41&lt;='SLOT_RULES'!$D$8,0,INT(($A41-'SLOT_RULES'!$D$8-1)/'SLOT_RULES'!$E$8)+1)*'SLOT_RULES'!$E$8</x:f>
        <x:v>46328</x:v>
      </x:c>
      <x:c r="J41" s="156" t="n">
        <x:f>'SLOT_RULES'!$D$9+IF($A41&lt;='SLOT_RULES'!$D$9,0,INT(($A41-'SLOT_RULES'!$D$9-1)/'SLOT_RULES'!$E$9)+1)*'SLOT_RULES'!$E$9</x:f>
        <x:v>46314</x:v>
      </x:c>
      <x:c r="K41" s="156" t="n">
        <x:f>'SLOT_RULES'!$D$10+IF($A41&lt;='SLOT_RULES'!$D$10,0,INT(($A41-'SLOT_RULES'!$D$10-1)/'SLOT_RULES'!$E$10)+1)*'SLOT_RULES'!$E$10</x:f>
        <x:v>46329</x:v>
      </x:c>
      <x:c r="L41" s="156" t="n">
        <x:f>'SLOT_RULES'!$D$11+IF($A41&lt;='SLOT_RULES'!$D$11,0,INT(($A41-'SLOT_RULES'!$D$11-1)/'SLOT_RULES'!$E$11)+1)*'SLOT_RULES'!$E$11</x:f>
        <x:v>46308</x:v>
      </x:c>
      <x:c r="M41" s="156" t="n">
        <x:f>'SLOT_RULES'!$D$12+IF($A41&lt;='SLOT_RULES'!$D$12,0,INT(($A41-'SLOT_RULES'!$D$12-1)/'SLOT_RULES'!$E$12)+1)*'SLOT_RULES'!$E$12</x:f>
        <x:v>46313</x:v>
      </x:c>
      <x:c r="N41" s="156" t="n">
        <x:f>'SLOT_RULES'!$D$13+IF($A41&lt;='SLOT_RULES'!$D$13,0,INT(($A41-'SLOT_RULES'!$D$13-1)/'SLOT_RULES'!$E$13)+1)*'SLOT_RULES'!$E$13</x:f>
        <x:v>46321</x:v>
      </x:c>
      <x:c r="O41" s="156" t="n">
        <x:f>'SLOT_RULES'!$D$14+IF($A41&lt;='SLOT_RULES'!$D$14,0,INT(($A41-'SLOT_RULES'!$D$14-1)/'SLOT_RULES'!$E$14)+1)*'SLOT_RULES'!$E$14</x:f>
        <x:v>46350</x:v>
      </x:c>
      <x:c r="P41" s="156" t="n">
        <x:f>'SLOT_RULES'!$D$15+IF($A41&lt;='SLOT_RULES'!$D$15,0,INT(($A41-'SLOT_RULES'!$D$15-1)/'SLOT_RULES'!$E$15)+1)*'SLOT_RULES'!$E$15</x:f>
        <x:v>46422</x:v>
      </x:c>
      <x:c r="Q41" s="158" t="n">
        <x:f>MIN(E41:P41)-A41</x:f>
        <x:v>4</x:v>
      </x:c>
      <x:c r="R41" s="158" t="n">
        <x:f>MAX(E41:P41)-A41</x:f>
        <x:v>118</x:v>
      </x:c>
      <x:c r="S41" s="86" t="str">
        <x:f>IF(AND(COUNT(E41:P41)=10,MIN(E41:P41)&gt;=A41),"PASS","FAIL")</x:f>
        <x:v>PASS</x:v>
      </x:c>
      <x:c r="T41" s="86" t="str">
        <x: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x:f>
        <x:v>PASS</x:v>
      </x:c>
      <x:c r="U41" s="86" t="str">
        <x: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x:f>
        <x:v>PASS</x:v>
      </x:c>
      <x:c r="V41" s="86" t="str">
        <x: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x:f>
        <x:v>PASS</x:v>
      </x:c>
      <x:c r="W41" s="87" t="str">
        <x:f>'CRAWL_LOG'!B41</x:f>
        <x:v>Chưa chạy</x:v>
      </x:c>
      <x:c r="X41" s="95" t="inlineStr">
        <x:is>
          <x:t xml:space="preserve">10-slot panel: 7 near + 3 far; AN2/AN3 inactive from 03/09</x:t>
        </x:is>
      </x:c>
    </x:row>
    <x:row r="42">
      <x:c r="A42" s="155" t="n">
        <x:v>46305</x:v>
      </x:c>
      <x:c r="B42" s="83" t="inlineStr">
        <x:is>
          <x:t xml:space="preserve">Thứ Bảy</x:t>
        </x:is>
      </x:c>
      <x:c r="C42" s="83" t="inlineStr">
        <x:is>
          <x:t xml:space="preserve">Official</x:t>
        </x:is>
      </x:c>
      <x:c r="D42" s="83" t="inlineStr">
        <x:is>
          <x:t xml:space="preserve">00:30</x:t>
        </x:is>
      </x:c>
      <x:c r="E42" s="156" t="n">
        <x:f>'SLOT_RULES'!$D$4+IF($A42&lt;='SLOT_RULES'!$D$4,0,INT(($A42-'SLOT_RULES'!$D$4-1)/'SLOT_RULES'!$E$4)+1)*'SLOT_RULES'!$E$4</x:f>
        <x:v>46325</x:v>
      </x:c>
      <x:c r="F42" s="157" t="n"/>
      <x:c r="G42" s="157" t="n"/>
      <x:c r="H42" s="156" t="n">
        <x:f>'SLOT_RULES'!$D$7+IF($A42&lt;='SLOT_RULES'!$D$7,0,INT(($A42-'SLOT_RULES'!$D$7-1)/'SLOT_RULES'!$E$7)+1)*'SLOT_RULES'!$E$7</x:f>
        <x:v>46318</x:v>
      </x:c>
      <x:c r="I42" s="156" t="n">
        <x:f>'SLOT_RULES'!$D$8+IF($A42&lt;='SLOT_RULES'!$D$8,0,INT(($A42-'SLOT_RULES'!$D$8-1)/'SLOT_RULES'!$E$8)+1)*'SLOT_RULES'!$E$8</x:f>
        <x:v>46328</x:v>
      </x:c>
      <x:c r="J42" s="156" t="n">
        <x:f>'SLOT_RULES'!$D$9+IF($A42&lt;='SLOT_RULES'!$D$9,0,INT(($A42-'SLOT_RULES'!$D$9-1)/'SLOT_RULES'!$E$9)+1)*'SLOT_RULES'!$E$9</x:f>
        <x:v>46314</x:v>
      </x:c>
      <x:c r="K42" s="156" t="n">
        <x:f>'SLOT_RULES'!$D$10+IF($A42&lt;='SLOT_RULES'!$D$10,0,INT(($A42-'SLOT_RULES'!$D$10-1)/'SLOT_RULES'!$E$10)+1)*'SLOT_RULES'!$E$10</x:f>
        <x:v>46329</x:v>
      </x:c>
      <x:c r="L42" s="156" t="n">
        <x:f>'SLOT_RULES'!$D$11+IF($A42&lt;='SLOT_RULES'!$D$11,0,INT(($A42-'SLOT_RULES'!$D$11-1)/'SLOT_RULES'!$E$11)+1)*'SLOT_RULES'!$E$11</x:f>
        <x:v>46308</x:v>
      </x:c>
      <x:c r="M42" s="156" t="n">
        <x:f>'SLOT_RULES'!$D$12+IF($A42&lt;='SLOT_RULES'!$D$12,0,INT(($A42-'SLOT_RULES'!$D$12-1)/'SLOT_RULES'!$E$12)+1)*'SLOT_RULES'!$E$12</x:f>
        <x:v>46313</x:v>
      </x:c>
      <x:c r="N42" s="156" t="n">
        <x:f>'SLOT_RULES'!$D$13+IF($A42&lt;='SLOT_RULES'!$D$13,0,INT(($A42-'SLOT_RULES'!$D$13-1)/'SLOT_RULES'!$E$13)+1)*'SLOT_RULES'!$E$13</x:f>
        <x:v>46321</x:v>
      </x:c>
      <x:c r="O42" s="156" t="n">
        <x:f>'SLOT_RULES'!$D$14+IF($A42&lt;='SLOT_RULES'!$D$14,0,INT(($A42-'SLOT_RULES'!$D$14-1)/'SLOT_RULES'!$E$14)+1)*'SLOT_RULES'!$E$14</x:f>
        <x:v>46350</x:v>
      </x:c>
      <x:c r="P42" s="156" t="n">
        <x:f>'SLOT_RULES'!$D$15+IF($A42&lt;='SLOT_RULES'!$D$15,0,INT(($A42-'SLOT_RULES'!$D$15-1)/'SLOT_RULES'!$E$15)+1)*'SLOT_RULES'!$E$15</x:f>
        <x:v>46422</x:v>
      </x:c>
      <x:c r="Q42" s="158" t="n">
        <x:f>MIN(E42:P42)-A42</x:f>
        <x:v>3</x:v>
      </x:c>
      <x:c r="R42" s="158" t="n">
        <x:f>MAX(E42:P42)-A42</x:f>
        <x:v>117</x:v>
      </x:c>
      <x:c r="S42" s="86" t="str">
        <x:f>IF(AND(COUNT(E42:P42)=10,MIN(E42:P42)&gt;=A42),"PASS","FAIL")</x:f>
        <x:v>PASS</x:v>
      </x:c>
      <x:c r="T42" s="86" t="str">
        <x: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x:f>
        <x:v>PASS</x:v>
      </x:c>
      <x:c r="U42" s="86" t="str">
        <x: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x:f>
        <x:v>PASS</x:v>
      </x:c>
      <x:c r="V42" s="86" t="str">
        <x: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x:f>
        <x:v>PASS</x:v>
      </x:c>
      <x:c r="W42" s="87" t="str">
        <x:f>'CRAWL_LOG'!B42</x:f>
        <x:v>Chưa chạy</x:v>
      </x:c>
      <x:c r="X42" s="95" t="inlineStr">
        <x:is>
          <x:t xml:space="preserve">10-slot panel: 7 near + 3 far; AN2/AN3 inactive from 03/09</x:t>
        </x:is>
      </x:c>
    </x:row>
    <x:row r="43">
      <x:c r="A43" s="155" t="n">
        <x:v>46306</x:v>
      </x:c>
      <x:c r="B43" s="83" t="inlineStr">
        <x:is>
          <x:t xml:space="preserve">Chủ Nhật</x:t>
        </x:is>
      </x:c>
      <x:c r="C43" s="83" t="inlineStr">
        <x:is>
          <x:t xml:space="preserve">Official</x:t>
        </x:is>
      </x:c>
      <x:c r="D43" s="83" t="inlineStr">
        <x:is>
          <x:t xml:space="preserve">00:30</x:t>
        </x:is>
      </x:c>
      <x:c r="E43" s="156" t="n">
        <x:f>'SLOT_RULES'!$D$4+IF($A43&lt;='SLOT_RULES'!$D$4,0,INT(($A43-'SLOT_RULES'!$D$4-1)/'SLOT_RULES'!$E$4)+1)*'SLOT_RULES'!$E$4</x:f>
        <x:v>46325</x:v>
      </x:c>
      <x:c r="F43" s="157" t="n"/>
      <x:c r="G43" s="157" t="n"/>
      <x:c r="H43" s="156" t="n">
        <x:f>'SLOT_RULES'!$D$7+IF($A43&lt;='SLOT_RULES'!$D$7,0,INT(($A43-'SLOT_RULES'!$D$7-1)/'SLOT_RULES'!$E$7)+1)*'SLOT_RULES'!$E$7</x:f>
        <x:v>46318</x:v>
      </x:c>
      <x:c r="I43" s="156" t="n">
        <x:f>'SLOT_RULES'!$D$8+IF($A43&lt;='SLOT_RULES'!$D$8,0,INT(($A43-'SLOT_RULES'!$D$8-1)/'SLOT_RULES'!$E$8)+1)*'SLOT_RULES'!$E$8</x:f>
        <x:v>46328</x:v>
      </x:c>
      <x:c r="J43" s="156" t="n">
        <x:f>'SLOT_RULES'!$D$9+IF($A43&lt;='SLOT_RULES'!$D$9,0,INT(($A43-'SLOT_RULES'!$D$9-1)/'SLOT_RULES'!$E$9)+1)*'SLOT_RULES'!$E$9</x:f>
        <x:v>46314</x:v>
      </x:c>
      <x:c r="K43" s="156" t="n">
        <x:f>'SLOT_RULES'!$D$10+IF($A43&lt;='SLOT_RULES'!$D$10,0,INT(($A43-'SLOT_RULES'!$D$10-1)/'SLOT_RULES'!$E$10)+1)*'SLOT_RULES'!$E$10</x:f>
        <x:v>46329</x:v>
      </x:c>
      <x:c r="L43" s="156" t="n">
        <x:f>'SLOT_RULES'!$D$11+IF($A43&lt;='SLOT_RULES'!$D$11,0,INT(($A43-'SLOT_RULES'!$D$11-1)/'SLOT_RULES'!$E$11)+1)*'SLOT_RULES'!$E$11</x:f>
        <x:v>46308</x:v>
      </x:c>
      <x:c r="M43" s="156" t="n">
        <x:f>'SLOT_RULES'!$D$12+IF($A43&lt;='SLOT_RULES'!$D$12,0,INT(($A43-'SLOT_RULES'!$D$12-1)/'SLOT_RULES'!$E$12)+1)*'SLOT_RULES'!$E$12</x:f>
        <x:v>46313</x:v>
      </x:c>
      <x:c r="N43" s="156" t="n">
        <x:f>'SLOT_RULES'!$D$13+IF($A43&lt;='SLOT_RULES'!$D$13,0,INT(($A43-'SLOT_RULES'!$D$13-1)/'SLOT_RULES'!$E$13)+1)*'SLOT_RULES'!$E$13</x:f>
        <x:v>46321</x:v>
      </x:c>
      <x:c r="O43" s="156" t="n">
        <x:f>'SLOT_RULES'!$D$14+IF($A43&lt;='SLOT_RULES'!$D$14,0,INT(($A43-'SLOT_RULES'!$D$14-1)/'SLOT_RULES'!$E$14)+1)*'SLOT_RULES'!$E$14</x:f>
        <x:v>46350</x:v>
      </x:c>
      <x:c r="P43" s="156" t="n">
        <x:f>'SLOT_RULES'!$D$15+IF($A43&lt;='SLOT_RULES'!$D$15,0,INT(($A43-'SLOT_RULES'!$D$15-1)/'SLOT_RULES'!$E$15)+1)*'SLOT_RULES'!$E$15</x:f>
        <x:v>46422</x:v>
      </x:c>
      <x:c r="Q43" s="158" t="n">
        <x:f>MIN(E43:P43)-A43</x:f>
        <x:v>2</x:v>
      </x:c>
      <x:c r="R43" s="158" t="n">
        <x:f>MAX(E43:P43)-A43</x:f>
        <x:v>116</x:v>
      </x:c>
      <x:c r="S43" s="86" t="str">
        <x:f>IF(AND(COUNT(E43:P43)=10,MIN(E43:P43)&gt;=A43),"PASS","FAIL")</x:f>
        <x:v>PASS</x:v>
      </x:c>
      <x:c r="T43" s="86" t="str">
        <x: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x:f>
        <x:v>PASS</x:v>
      </x:c>
      <x:c r="U43" s="86" t="str">
        <x: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x:f>
        <x:v>PASS</x:v>
      </x:c>
      <x:c r="V43" s="86" t="str">
        <x: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x:f>
        <x:v>PASS</x:v>
      </x:c>
      <x:c r="W43" s="87" t="str">
        <x:f>'CRAWL_LOG'!B43</x:f>
        <x:v>Chưa chạy</x:v>
      </x:c>
      <x:c r="X43" s="95" t="inlineStr">
        <x:is>
          <x:t xml:space="preserve">10-slot panel: 7 near + 3 far; AN2/AN3 inactive from 03/09</x:t>
        </x:is>
      </x:c>
    </x:row>
    <x:row r="44">
      <x:c r="A44" s="155" t="n">
        <x:v>46307</x:v>
      </x:c>
      <x:c r="B44" s="83" t="inlineStr">
        <x:is>
          <x:t xml:space="preserve">Thứ Hai</x:t>
        </x:is>
      </x:c>
      <x:c r="C44" s="83" t="inlineStr">
        <x:is>
          <x:t xml:space="preserve">Official</x:t>
        </x:is>
      </x:c>
      <x:c r="D44" s="83" t="inlineStr">
        <x:is>
          <x:t xml:space="preserve">00:30</x:t>
        </x:is>
      </x:c>
      <x:c r="E44" s="156" t="n">
        <x:f>'SLOT_RULES'!$D$4+IF($A44&lt;='SLOT_RULES'!$D$4,0,INT(($A44-'SLOT_RULES'!$D$4-1)/'SLOT_RULES'!$E$4)+1)*'SLOT_RULES'!$E$4</x:f>
        <x:v>46325</x:v>
      </x:c>
      <x:c r="F44" s="157" t="n"/>
      <x:c r="G44" s="157" t="n"/>
      <x:c r="H44" s="156" t="n">
        <x:f>'SLOT_RULES'!$D$7+IF($A44&lt;='SLOT_RULES'!$D$7,0,INT(($A44-'SLOT_RULES'!$D$7-1)/'SLOT_RULES'!$E$7)+1)*'SLOT_RULES'!$E$7</x:f>
        <x:v>46318</x:v>
      </x:c>
      <x:c r="I44" s="156" t="n">
        <x:f>'SLOT_RULES'!$D$8+IF($A44&lt;='SLOT_RULES'!$D$8,0,INT(($A44-'SLOT_RULES'!$D$8-1)/'SLOT_RULES'!$E$8)+1)*'SLOT_RULES'!$E$8</x:f>
        <x:v>46328</x:v>
      </x:c>
      <x:c r="J44" s="156" t="n">
        <x:f>'SLOT_RULES'!$D$9+IF($A44&lt;='SLOT_RULES'!$D$9,0,INT(($A44-'SLOT_RULES'!$D$9-1)/'SLOT_RULES'!$E$9)+1)*'SLOT_RULES'!$E$9</x:f>
        <x:v>46314</x:v>
      </x:c>
      <x:c r="K44" s="156" t="n">
        <x:f>'SLOT_RULES'!$D$10+IF($A44&lt;='SLOT_RULES'!$D$10,0,INT(($A44-'SLOT_RULES'!$D$10-1)/'SLOT_RULES'!$E$10)+1)*'SLOT_RULES'!$E$10</x:f>
        <x:v>46329</x:v>
      </x:c>
      <x:c r="L44" s="156" t="n">
        <x:f>'SLOT_RULES'!$D$11+IF($A44&lt;='SLOT_RULES'!$D$11,0,INT(($A44-'SLOT_RULES'!$D$11-1)/'SLOT_RULES'!$E$11)+1)*'SLOT_RULES'!$E$11</x:f>
        <x:v>46308</x:v>
      </x:c>
      <x:c r="M44" s="156" t="n">
        <x:f>'SLOT_RULES'!$D$12+IF($A44&lt;='SLOT_RULES'!$D$12,0,INT(($A44-'SLOT_RULES'!$D$12-1)/'SLOT_RULES'!$E$12)+1)*'SLOT_RULES'!$E$12</x:f>
        <x:v>46313</x:v>
      </x:c>
      <x:c r="N44" s="156" t="n">
        <x:f>'SLOT_RULES'!$D$13+IF($A44&lt;='SLOT_RULES'!$D$13,0,INT(($A44-'SLOT_RULES'!$D$13-1)/'SLOT_RULES'!$E$13)+1)*'SLOT_RULES'!$E$13</x:f>
        <x:v>46321</x:v>
      </x:c>
      <x:c r="O44" s="156" t="n">
        <x:f>'SLOT_RULES'!$D$14+IF($A44&lt;='SLOT_RULES'!$D$14,0,INT(($A44-'SLOT_RULES'!$D$14-1)/'SLOT_RULES'!$E$14)+1)*'SLOT_RULES'!$E$14</x:f>
        <x:v>46350</x:v>
      </x:c>
      <x:c r="P44" s="156" t="n">
        <x:f>'SLOT_RULES'!$D$15+IF($A44&lt;='SLOT_RULES'!$D$15,0,INT(($A44-'SLOT_RULES'!$D$15-1)/'SLOT_RULES'!$E$15)+1)*'SLOT_RULES'!$E$15</x:f>
        <x:v>46422</x:v>
      </x:c>
      <x:c r="Q44" s="158" t="n">
        <x:f>MIN(E44:P44)-A44</x:f>
        <x:v>1</x:v>
      </x:c>
      <x:c r="R44" s="158" t="n">
        <x:f>MAX(E44:P44)-A44</x:f>
        <x:v>115</x:v>
      </x:c>
      <x:c r="S44" s="86" t="str">
        <x:f>IF(AND(COUNT(E44:P44)=10,MIN(E44:P44)&gt;=A44),"PASS","FAIL")</x:f>
        <x:v>PASS</x:v>
      </x:c>
      <x:c r="T44" s="86" t="str">
        <x: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x:f>
        <x:v>PASS</x:v>
      </x:c>
      <x:c r="U44" s="86" t="str">
        <x: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x:f>
        <x:v>PASS</x:v>
      </x:c>
      <x:c r="V44" s="86" t="str">
        <x: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x:f>
        <x:v>PASS</x:v>
      </x:c>
      <x:c r="W44" s="87" t="str">
        <x:f>'CRAWL_LOG'!B44</x:f>
        <x:v>Chưa chạy</x:v>
      </x:c>
      <x:c r="X44" s="95" t="inlineStr">
        <x:is>
          <x:t xml:space="preserve">10-slot panel: 7 near + 3 far; AN2/AN3 inactive from 03/09</x:t>
        </x:is>
      </x:c>
    </x:row>
    <x:row r="45">
      <x:c r="A45" s="155" t="n">
        <x:v>46308</x:v>
      </x:c>
      <x:c r="B45" s="83" t="inlineStr">
        <x:is>
          <x:t xml:space="preserve">Thứ Ba</x:t>
        </x:is>
      </x:c>
      <x:c r="C45" s="83" t="inlineStr">
        <x:is>
          <x:t xml:space="preserve">Official</x:t>
        </x:is>
      </x:c>
      <x:c r="D45" s="83" t="inlineStr">
        <x:is>
          <x:t xml:space="preserve">00:30</x:t>
        </x:is>
      </x:c>
      <x:c r="E45" s="156" t="n">
        <x:f>'SLOT_RULES'!$D$4+IF($A45&lt;='SLOT_RULES'!$D$4,0,INT(($A45-'SLOT_RULES'!$D$4-1)/'SLOT_RULES'!$E$4)+1)*'SLOT_RULES'!$E$4</x:f>
        <x:v>46325</x:v>
      </x:c>
      <x:c r="F45" s="157" t="n"/>
      <x:c r="G45" s="157" t="n"/>
      <x:c r="H45" s="156" t="n">
        <x:f>'SLOT_RULES'!$D$7+IF($A45&lt;='SLOT_RULES'!$D$7,0,INT(($A45-'SLOT_RULES'!$D$7-1)/'SLOT_RULES'!$E$7)+1)*'SLOT_RULES'!$E$7</x:f>
        <x:v>46318</x:v>
      </x:c>
      <x:c r="I45" s="156" t="n">
        <x:f>'SLOT_RULES'!$D$8+IF($A45&lt;='SLOT_RULES'!$D$8,0,INT(($A45-'SLOT_RULES'!$D$8-1)/'SLOT_RULES'!$E$8)+1)*'SLOT_RULES'!$E$8</x:f>
        <x:v>46328</x:v>
      </x:c>
      <x:c r="J45" s="156" t="n">
        <x:f>'SLOT_RULES'!$D$9+IF($A45&lt;='SLOT_RULES'!$D$9,0,INT(($A45-'SLOT_RULES'!$D$9-1)/'SLOT_RULES'!$E$9)+1)*'SLOT_RULES'!$E$9</x:f>
        <x:v>46314</x:v>
      </x:c>
      <x:c r="K45" s="156" t="n">
        <x:f>'SLOT_RULES'!$D$10+IF($A45&lt;='SLOT_RULES'!$D$10,0,INT(($A45-'SLOT_RULES'!$D$10-1)/'SLOT_RULES'!$E$10)+1)*'SLOT_RULES'!$E$10</x:f>
        <x:v>46329</x:v>
      </x:c>
      <x:c r="L45" s="156" t="n">
        <x:f>'SLOT_RULES'!$D$11+IF($A45&lt;='SLOT_RULES'!$D$11,0,INT(($A45-'SLOT_RULES'!$D$11-1)/'SLOT_RULES'!$E$11)+1)*'SLOT_RULES'!$E$11</x:f>
        <x:v>46308</x:v>
      </x:c>
      <x:c r="M45" s="156" t="n">
        <x:f>'SLOT_RULES'!$D$12+IF($A45&lt;='SLOT_RULES'!$D$12,0,INT(($A45-'SLOT_RULES'!$D$12-1)/'SLOT_RULES'!$E$12)+1)*'SLOT_RULES'!$E$12</x:f>
        <x:v>46313</x:v>
      </x:c>
      <x:c r="N45" s="156" t="n">
        <x:f>'SLOT_RULES'!$D$13+IF($A45&lt;='SLOT_RULES'!$D$13,0,INT(($A45-'SLOT_RULES'!$D$13-1)/'SLOT_RULES'!$E$13)+1)*'SLOT_RULES'!$E$13</x:f>
        <x:v>46321</x:v>
      </x:c>
      <x:c r="O45" s="156" t="n">
        <x:f>'SLOT_RULES'!$D$14+IF($A45&lt;='SLOT_RULES'!$D$14,0,INT(($A45-'SLOT_RULES'!$D$14-1)/'SLOT_RULES'!$E$14)+1)*'SLOT_RULES'!$E$14</x:f>
        <x:v>46350</x:v>
      </x:c>
      <x:c r="P45" s="156" t="n">
        <x:f>'SLOT_RULES'!$D$15+IF($A45&lt;='SLOT_RULES'!$D$15,0,INT(($A45-'SLOT_RULES'!$D$15-1)/'SLOT_RULES'!$E$15)+1)*'SLOT_RULES'!$E$15</x:f>
        <x:v>46422</x:v>
      </x:c>
      <x:c r="Q45" s="158" t="n">
        <x:f>MIN(E45:P45)-A45</x:f>
        <x:v>0</x:v>
      </x:c>
      <x:c r="R45" s="158" t="n">
        <x:f>MAX(E45:P45)-A45</x:f>
        <x:v>114</x:v>
      </x:c>
      <x:c r="S45" s="86" t="str">
        <x:f>IF(AND(COUNT(E45:P45)=10,MIN(E45:P45)&gt;=A45),"PASS","FAIL")</x:f>
        <x:v>PASS</x:v>
      </x:c>
      <x:c r="T45" s="86" t="str">
        <x: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x:f>
        <x:v>PASS</x:v>
      </x:c>
      <x:c r="U45" s="86" t="str">
        <x: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x:f>
        <x:v>PASS</x:v>
      </x:c>
      <x:c r="V45" s="86" t="str">
        <x: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x:f>
        <x:v>PASS</x:v>
      </x:c>
      <x:c r="W45" s="87" t="str">
        <x:f>'CRAWL_LOG'!B45</x:f>
        <x:v>Chưa chạy</x:v>
      </x:c>
      <x:c r="X45" s="95" t="inlineStr">
        <x:is>
          <x:t xml:space="preserve">10-slot panel: 7 near + 3 far; AN2/AN3 inactive from 03/09</x:t>
        </x:is>
      </x:c>
    </x:row>
    <x:row r="46">
      <x:c r="A46" s="155" t="n">
        <x:v>46309</x:v>
      </x:c>
      <x:c r="B46" s="83" t="inlineStr">
        <x:is>
          <x:t xml:space="preserve">Thứ Tư</x:t>
        </x:is>
      </x:c>
      <x:c r="C46" s="83" t="inlineStr">
        <x:is>
          <x:t xml:space="preserve">Official</x:t>
        </x:is>
      </x:c>
      <x:c r="D46" s="83" t="inlineStr">
        <x:is>
          <x:t xml:space="preserve">00:30</x:t>
        </x:is>
      </x:c>
      <x:c r="E46" s="156" t="n">
        <x:f>'SLOT_RULES'!$D$4+IF($A46&lt;='SLOT_RULES'!$D$4,0,INT(($A46-'SLOT_RULES'!$D$4-1)/'SLOT_RULES'!$E$4)+1)*'SLOT_RULES'!$E$4</x:f>
        <x:v>46325</x:v>
      </x:c>
      <x:c r="F46" s="157" t="n"/>
      <x:c r="G46" s="157" t="n"/>
      <x:c r="H46" s="156" t="n">
        <x:f>'SLOT_RULES'!$D$7+IF($A46&lt;='SLOT_RULES'!$D$7,0,INT(($A46-'SLOT_RULES'!$D$7-1)/'SLOT_RULES'!$E$7)+1)*'SLOT_RULES'!$E$7</x:f>
        <x:v>46318</x:v>
      </x:c>
      <x:c r="I46" s="156" t="n">
        <x:f>'SLOT_RULES'!$D$8+IF($A46&lt;='SLOT_RULES'!$D$8,0,INT(($A46-'SLOT_RULES'!$D$8-1)/'SLOT_RULES'!$E$8)+1)*'SLOT_RULES'!$E$8</x:f>
        <x:v>46328</x:v>
      </x:c>
      <x:c r="J46" s="156" t="n">
        <x:f>'SLOT_RULES'!$D$9+IF($A46&lt;='SLOT_RULES'!$D$9,0,INT(($A46-'SLOT_RULES'!$D$9-1)/'SLOT_RULES'!$E$9)+1)*'SLOT_RULES'!$E$9</x:f>
        <x:v>46314</x:v>
      </x:c>
      <x:c r="K46" s="156" t="n">
        <x:f>'SLOT_RULES'!$D$10+IF($A46&lt;='SLOT_RULES'!$D$10,0,INT(($A46-'SLOT_RULES'!$D$10-1)/'SLOT_RULES'!$E$10)+1)*'SLOT_RULES'!$E$10</x:f>
        <x:v>46329</x:v>
      </x:c>
      <x:c r="L46" s="156" t="n">
        <x:f>'SLOT_RULES'!$D$11+IF($A46&lt;='SLOT_RULES'!$D$11,0,INT(($A46-'SLOT_RULES'!$D$11-1)/'SLOT_RULES'!$E$11)+1)*'SLOT_RULES'!$E$11</x:f>
        <x:v>46336</x:v>
      </x:c>
      <x:c r="M46" s="156" t="n">
        <x:f>'SLOT_RULES'!$D$12+IF($A46&lt;='SLOT_RULES'!$D$12,0,INT(($A46-'SLOT_RULES'!$D$12-1)/'SLOT_RULES'!$E$12)+1)*'SLOT_RULES'!$E$12</x:f>
        <x:v>46313</x:v>
      </x:c>
      <x:c r="N46" s="156" t="n">
        <x:f>'SLOT_RULES'!$D$13+IF($A46&lt;='SLOT_RULES'!$D$13,0,INT(($A46-'SLOT_RULES'!$D$13-1)/'SLOT_RULES'!$E$13)+1)*'SLOT_RULES'!$E$13</x:f>
        <x:v>46321</x:v>
      </x:c>
      <x:c r="O46" s="156" t="n">
        <x:f>'SLOT_RULES'!$D$14+IF($A46&lt;='SLOT_RULES'!$D$14,0,INT(($A46-'SLOT_RULES'!$D$14-1)/'SLOT_RULES'!$E$14)+1)*'SLOT_RULES'!$E$14</x:f>
        <x:v>46350</x:v>
      </x:c>
      <x:c r="P46" s="156" t="n">
        <x:f>'SLOT_RULES'!$D$15+IF($A46&lt;='SLOT_RULES'!$D$15,0,INT(($A46-'SLOT_RULES'!$D$15-1)/'SLOT_RULES'!$E$15)+1)*'SLOT_RULES'!$E$15</x:f>
        <x:v>46422</x:v>
      </x:c>
      <x:c r="Q46" s="158" t="n">
        <x:f>MIN(E46:P46)-A46</x:f>
        <x:v>4</x:v>
      </x:c>
      <x:c r="R46" s="158" t="n">
        <x:f>MAX(E46:P46)-A46</x:f>
        <x:v>113</x:v>
      </x:c>
      <x:c r="S46" s="86" t="str">
        <x:f>IF(AND(COUNT(E46:P46)=10,MIN(E46:P46)&gt;=A46),"PASS","FAIL")</x:f>
        <x:v>PASS</x:v>
      </x:c>
      <x:c r="T46" s="86" t="str">
        <x: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x:f>
        <x:v>PASS</x:v>
      </x:c>
      <x:c r="U46" s="86" t="str">
        <x: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x:f>
        <x:v>PASS</x:v>
      </x:c>
      <x:c r="V46" s="86" t="str">
        <x: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x:f>
        <x:v>PASS</x:v>
      </x:c>
      <x:c r="W46" s="87" t="str">
        <x:f>'CRAWL_LOG'!B46</x:f>
        <x:v>Chưa chạy</x:v>
      </x:c>
      <x:c r="X46" s="95" t="inlineStr">
        <x:is>
          <x:t xml:space="preserve">10-slot panel: 7 near + 3 far; AN2/AN3 inactive from 03/09</x:t>
        </x:is>
      </x:c>
    </x:row>
    <x:row r="47">
      <x:c r="A47" s="155" t="n">
        <x:v>46310</x:v>
      </x:c>
      <x:c r="B47" s="83" t="inlineStr">
        <x:is>
          <x:t xml:space="preserve">Thứ Năm</x:t>
        </x:is>
      </x:c>
      <x:c r="C47" s="83" t="inlineStr">
        <x:is>
          <x:t xml:space="preserve">Official</x:t>
        </x:is>
      </x:c>
      <x:c r="D47" s="83" t="inlineStr">
        <x:is>
          <x:t xml:space="preserve">00:30</x:t>
        </x:is>
      </x:c>
      <x:c r="E47" s="156" t="n">
        <x:f>'SLOT_RULES'!$D$4+IF($A47&lt;='SLOT_RULES'!$D$4,0,INT(($A47-'SLOT_RULES'!$D$4-1)/'SLOT_RULES'!$E$4)+1)*'SLOT_RULES'!$E$4</x:f>
        <x:v>46325</x:v>
      </x:c>
      <x:c r="F47" s="157" t="n"/>
      <x:c r="G47" s="157" t="n"/>
      <x:c r="H47" s="156" t="n">
        <x:f>'SLOT_RULES'!$D$7+IF($A47&lt;='SLOT_RULES'!$D$7,0,INT(($A47-'SLOT_RULES'!$D$7-1)/'SLOT_RULES'!$E$7)+1)*'SLOT_RULES'!$E$7</x:f>
        <x:v>46318</x:v>
      </x:c>
      <x:c r="I47" s="156" t="n">
        <x:f>'SLOT_RULES'!$D$8+IF($A47&lt;='SLOT_RULES'!$D$8,0,INT(($A47-'SLOT_RULES'!$D$8-1)/'SLOT_RULES'!$E$8)+1)*'SLOT_RULES'!$E$8</x:f>
        <x:v>46328</x:v>
      </x:c>
      <x:c r="J47" s="156" t="n">
        <x:f>'SLOT_RULES'!$D$9+IF($A47&lt;='SLOT_RULES'!$D$9,0,INT(($A47-'SLOT_RULES'!$D$9-1)/'SLOT_RULES'!$E$9)+1)*'SLOT_RULES'!$E$9</x:f>
        <x:v>46314</x:v>
      </x:c>
      <x:c r="K47" s="156" t="n">
        <x:f>'SLOT_RULES'!$D$10+IF($A47&lt;='SLOT_RULES'!$D$10,0,INT(($A47-'SLOT_RULES'!$D$10-1)/'SLOT_RULES'!$E$10)+1)*'SLOT_RULES'!$E$10</x:f>
        <x:v>46329</x:v>
      </x:c>
      <x:c r="L47" s="156" t="n">
        <x:f>'SLOT_RULES'!$D$11+IF($A47&lt;='SLOT_RULES'!$D$11,0,INT(($A47-'SLOT_RULES'!$D$11-1)/'SLOT_RULES'!$E$11)+1)*'SLOT_RULES'!$E$11</x:f>
        <x:v>46336</x:v>
      </x:c>
      <x:c r="M47" s="156" t="n">
        <x:f>'SLOT_RULES'!$D$12+IF($A47&lt;='SLOT_RULES'!$D$12,0,INT(($A47-'SLOT_RULES'!$D$12-1)/'SLOT_RULES'!$E$12)+1)*'SLOT_RULES'!$E$12</x:f>
        <x:v>46313</x:v>
      </x:c>
      <x:c r="N47" s="156" t="n">
        <x:f>'SLOT_RULES'!$D$13+IF($A47&lt;='SLOT_RULES'!$D$13,0,INT(($A47-'SLOT_RULES'!$D$13-1)/'SLOT_RULES'!$E$13)+1)*'SLOT_RULES'!$E$13</x:f>
        <x:v>46321</x:v>
      </x:c>
      <x:c r="O47" s="156" t="n">
        <x:f>'SLOT_RULES'!$D$14+IF($A47&lt;='SLOT_RULES'!$D$14,0,INT(($A47-'SLOT_RULES'!$D$14-1)/'SLOT_RULES'!$E$14)+1)*'SLOT_RULES'!$E$14</x:f>
        <x:v>46350</x:v>
      </x:c>
      <x:c r="P47" s="156" t="n">
        <x:f>'SLOT_RULES'!$D$15+IF($A47&lt;='SLOT_RULES'!$D$15,0,INT(($A47-'SLOT_RULES'!$D$15-1)/'SLOT_RULES'!$E$15)+1)*'SLOT_RULES'!$E$15</x:f>
        <x:v>46422</x:v>
      </x:c>
      <x:c r="Q47" s="158" t="n">
        <x:f>MIN(E47:P47)-A47</x:f>
        <x:v>3</x:v>
      </x:c>
      <x:c r="R47" s="158" t="n">
        <x:f>MAX(E47:P47)-A47</x:f>
        <x:v>112</x:v>
      </x:c>
      <x:c r="S47" s="86" t="str">
        <x:f>IF(AND(COUNT(E47:P47)=10,MIN(E47:P47)&gt;=A47),"PASS","FAIL")</x:f>
        <x:v>PASS</x:v>
      </x:c>
      <x:c r="T47" s="86" t="str">
        <x: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x:f>
        <x:v>PASS</x:v>
      </x:c>
      <x:c r="U47" s="86" t="str">
        <x: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x:f>
        <x:v>PASS</x:v>
      </x:c>
      <x:c r="V47" s="86" t="str">
        <x: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x:f>
        <x:v>PASS</x:v>
      </x:c>
      <x:c r="W47" s="87" t="str">
        <x:f>'CRAWL_LOG'!B47</x:f>
        <x:v>Chưa chạy</x:v>
      </x:c>
      <x:c r="X47" s="95" t="inlineStr">
        <x:is>
          <x:t xml:space="preserve">10-slot panel: 7 near + 3 far; AN2/AN3 inactive from 03/09</x:t>
        </x:is>
      </x:c>
    </x:row>
    <x:row r="48">
      <x:c r="A48" s="155" t="n">
        <x:v>46311</x:v>
      </x:c>
      <x:c r="B48" s="83" t="inlineStr">
        <x:is>
          <x:t xml:space="preserve">Thứ Sáu</x:t>
        </x:is>
      </x:c>
      <x:c r="C48" s="83" t="inlineStr">
        <x:is>
          <x:t xml:space="preserve">Official</x:t>
        </x:is>
      </x:c>
      <x:c r="D48" s="83" t="inlineStr">
        <x:is>
          <x:t xml:space="preserve">00:30</x:t>
        </x:is>
      </x:c>
      <x:c r="E48" s="156" t="n">
        <x:f>'SLOT_RULES'!$D$4+IF($A48&lt;='SLOT_RULES'!$D$4,0,INT(($A48-'SLOT_RULES'!$D$4-1)/'SLOT_RULES'!$E$4)+1)*'SLOT_RULES'!$E$4</x:f>
        <x:v>46325</x:v>
      </x:c>
      <x:c r="F48" s="157" t="n"/>
      <x:c r="G48" s="157" t="n"/>
      <x:c r="H48" s="156" t="n">
        <x:f>'SLOT_RULES'!$D$7+IF($A48&lt;='SLOT_RULES'!$D$7,0,INT(($A48-'SLOT_RULES'!$D$7-1)/'SLOT_RULES'!$E$7)+1)*'SLOT_RULES'!$E$7</x:f>
        <x:v>46318</x:v>
      </x:c>
      <x:c r="I48" s="156" t="n">
        <x:f>'SLOT_RULES'!$D$8+IF($A48&lt;='SLOT_RULES'!$D$8,0,INT(($A48-'SLOT_RULES'!$D$8-1)/'SLOT_RULES'!$E$8)+1)*'SLOT_RULES'!$E$8</x:f>
        <x:v>46328</x:v>
      </x:c>
      <x:c r="J48" s="156" t="n">
        <x:f>'SLOT_RULES'!$D$9+IF($A48&lt;='SLOT_RULES'!$D$9,0,INT(($A48-'SLOT_RULES'!$D$9-1)/'SLOT_RULES'!$E$9)+1)*'SLOT_RULES'!$E$9</x:f>
        <x:v>46314</x:v>
      </x:c>
      <x:c r="K48" s="156" t="n">
        <x:f>'SLOT_RULES'!$D$10+IF($A48&lt;='SLOT_RULES'!$D$10,0,INT(($A48-'SLOT_RULES'!$D$10-1)/'SLOT_RULES'!$E$10)+1)*'SLOT_RULES'!$E$10</x:f>
        <x:v>46329</x:v>
      </x:c>
      <x:c r="L48" s="156" t="n">
        <x:f>'SLOT_RULES'!$D$11+IF($A48&lt;='SLOT_RULES'!$D$11,0,INT(($A48-'SLOT_RULES'!$D$11-1)/'SLOT_RULES'!$E$11)+1)*'SLOT_RULES'!$E$11</x:f>
        <x:v>46336</x:v>
      </x:c>
      <x:c r="M48" s="156" t="n">
        <x:f>'SLOT_RULES'!$D$12+IF($A48&lt;='SLOT_RULES'!$D$12,0,INT(($A48-'SLOT_RULES'!$D$12-1)/'SLOT_RULES'!$E$12)+1)*'SLOT_RULES'!$E$12</x:f>
        <x:v>46313</x:v>
      </x:c>
      <x:c r="N48" s="156" t="n">
        <x:f>'SLOT_RULES'!$D$13+IF($A48&lt;='SLOT_RULES'!$D$13,0,INT(($A48-'SLOT_RULES'!$D$13-1)/'SLOT_RULES'!$E$13)+1)*'SLOT_RULES'!$E$13</x:f>
        <x:v>46321</x:v>
      </x:c>
      <x:c r="O48" s="156" t="n">
        <x:f>'SLOT_RULES'!$D$14+IF($A48&lt;='SLOT_RULES'!$D$14,0,INT(($A48-'SLOT_RULES'!$D$14-1)/'SLOT_RULES'!$E$14)+1)*'SLOT_RULES'!$E$14</x:f>
        <x:v>46350</x:v>
      </x:c>
      <x:c r="P48" s="156" t="n">
        <x:f>'SLOT_RULES'!$D$15+IF($A48&lt;='SLOT_RULES'!$D$15,0,INT(($A48-'SLOT_RULES'!$D$15-1)/'SLOT_RULES'!$E$15)+1)*'SLOT_RULES'!$E$15</x:f>
        <x:v>46422</x:v>
      </x:c>
      <x:c r="Q48" s="158" t="n">
        <x:f>MIN(E48:P48)-A48</x:f>
        <x:v>2</x:v>
      </x:c>
      <x:c r="R48" s="158" t="n">
        <x:f>MAX(E48:P48)-A48</x:f>
        <x:v>111</x:v>
      </x:c>
      <x:c r="S48" s="86" t="str">
        <x:f>IF(AND(COUNT(E48:P48)=10,MIN(E48:P48)&gt;=A48),"PASS","FAIL")</x:f>
        <x:v>PASS</x:v>
      </x:c>
      <x:c r="T48" s="86" t="str">
        <x: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x:f>
        <x:v>PASS</x:v>
      </x:c>
      <x:c r="U48" s="86" t="str">
        <x: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x:f>
        <x:v>PASS</x:v>
      </x:c>
      <x:c r="V48" s="86" t="str">
        <x: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x:f>
        <x:v>PASS</x:v>
      </x:c>
      <x:c r="W48" s="87" t="str">
        <x:f>'CRAWL_LOG'!B48</x:f>
        <x:v>Chưa chạy</x:v>
      </x:c>
      <x:c r="X48" s="95" t="inlineStr">
        <x:is>
          <x:t xml:space="preserve">10-slot panel: 7 near + 3 far; AN2/AN3 inactive from 03/09</x:t>
        </x:is>
      </x:c>
    </x:row>
    <x:row r="49">
      <x:c r="A49" s="155" t="n">
        <x:v>46312</x:v>
      </x:c>
      <x:c r="B49" s="83" t="inlineStr">
        <x:is>
          <x:t xml:space="preserve">Thứ Bảy</x:t>
        </x:is>
      </x:c>
      <x:c r="C49" s="83" t="inlineStr">
        <x:is>
          <x:t xml:space="preserve">Official</x:t>
        </x:is>
      </x:c>
      <x:c r="D49" s="83" t="inlineStr">
        <x:is>
          <x:t xml:space="preserve">00:30</x:t>
        </x:is>
      </x:c>
      <x:c r="E49" s="156" t="n">
        <x:f>'SLOT_RULES'!$D$4+IF($A49&lt;='SLOT_RULES'!$D$4,0,INT(($A49-'SLOT_RULES'!$D$4-1)/'SLOT_RULES'!$E$4)+1)*'SLOT_RULES'!$E$4</x:f>
        <x:v>46325</x:v>
      </x:c>
      <x:c r="F49" s="157" t="n"/>
      <x:c r="G49" s="157" t="n"/>
      <x:c r="H49" s="156" t="n">
        <x:f>'SLOT_RULES'!$D$7+IF($A49&lt;='SLOT_RULES'!$D$7,0,INT(($A49-'SLOT_RULES'!$D$7-1)/'SLOT_RULES'!$E$7)+1)*'SLOT_RULES'!$E$7</x:f>
        <x:v>46318</x:v>
      </x:c>
      <x:c r="I49" s="156" t="n">
        <x:f>'SLOT_RULES'!$D$8+IF($A49&lt;='SLOT_RULES'!$D$8,0,INT(($A49-'SLOT_RULES'!$D$8-1)/'SLOT_RULES'!$E$8)+1)*'SLOT_RULES'!$E$8</x:f>
        <x:v>46328</x:v>
      </x:c>
      <x:c r="J49" s="156" t="n">
        <x:f>'SLOT_RULES'!$D$9+IF($A49&lt;='SLOT_RULES'!$D$9,0,INT(($A49-'SLOT_RULES'!$D$9-1)/'SLOT_RULES'!$E$9)+1)*'SLOT_RULES'!$E$9</x:f>
        <x:v>46314</x:v>
      </x:c>
      <x:c r="K49" s="156" t="n">
        <x:f>'SLOT_RULES'!$D$10+IF($A49&lt;='SLOT_RULES'!$D$10,0,INT(($A49-'SLOT_RULES'!$D$10-1)/'SLOT_RULES'!$E$10)+1)*'SLOT_RULES'!$E$10</x:f>
        <x:v>46329</x:v>
      </x:c>
      <x:c r="L49" s="156" t="n">
        <x:f>'SLOT_RULES'!$D$11+IF($A49&lt;='SLOT_RULES'!$D$11,0,INT(($A49-'SLOT_RULES'!$D$11-1)/'SLOT_RULES'!$E$11)+1)*'SLOT_RULES'!$E$11</x:f>
        <x:v>46336</x:v>
      </x:c>
      <x:c r="M49" s="156" t="n">
        <x:f>'SLOT_RULES'!$D$12+IF($A49&lt;='SLOT_RULES'!$D$12,0,INT(($A49-'SLOT_RULES'!$D$12-1)/'SLOT_RULES'!$E$12)+1)*'SLOT_RULES'!$E$12</x:f>
        <x:v>46313</x:v>
      </x:c>
      <x:c r="N49" s="156" t="n">
        <x:f>'SLOT_RULES'!$D$13+IF($A49&lt;='SLOT_RULES'!$D$13,0,INT(($A49-'SLOT_RULES'!$D$13-1)/'SLOT_RULES'!$E$13)+1)*'SLOT_RULES'!$E$13</x:f>
        <x:v>46321</x:v>
      </x:c>
      <x:c r="O49" s="156" t="n">
        <x:f>'SLOT_RULES'!$D$14+IF($A49&lt;='SLOT_RULES'!$D$14,0,INT(($A49-'SLOT_RULES'!$D$14-1)/'SLOT_RULES'!$E$14)+1)*'SLOT_RULES'!$E$14</x:f>
        <x:v>46350</x:v>
      </x:c>
      <x:c r="P49" s="156" t="n">
        <x:f>'SLOT_RULES'!$D$15+IF($A49&lt;='SLOT_RULES'!$D$15,0,INT(($A49-'SLOT_RULES'!$D$15-1)/'SLOT_RULES'!$E$15)+1)*'SLOT_RULES'!$E$15</x:f>
        <x:v>46422</x:v>
      </x:c>
      <x:c r="Q49" s="158" t="n">
        <x:f>MIN(E49:P49)-A49</x:f>
        <x:v>1</x:v>
      </x:c>
      <x:c r="R49" s="158" t="n">
        <x:f>MAX(E49:P49)-A49</x:f>
        <x:v>110</x:v>
      </x:c>
      <x:c r="S49" s="86" t="str">
        <x:f>IF(AND(COUNT(E49:P49)=10,MIN(E49:P49)&gt;=A49),"PASS","FAIL")</x:f>
        <x:v>PASS</x:v>
      </x:c>
      <x:c r="T49" s="86" t="str">
        <x: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x:f>
        <x:v>PASS</x:v>
      </x:c>
      <x:c r="U49" s="86" t="str">
        <x: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x:f>
        <x:v>PASS</x:v>
      </x:c>
      <x:c r="V49" s="86" t="str">
        <x: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x:f>
        <x:v>PASS</x:v>
      </x:c>
      <x:c r="W49" s="87" t="str">
        <x:f>'CRAWL_LOG'!B49</x:f>
        <x:v>Chưa chạy</x:v>
      </x:c>
      <x:c r="X49" s="95" t="inlineStr">
        <x:is>
          <x:t xml:space="preserve">10-slot panel: 7 near + 3 far; AN2/AN3 inactive from 03/09</x:t>
        </x:is>
      </x:c>
    </x:row>
    <x:row r="50">
      <x:c r="A50" s="155" t="n">
        <x:v>46313</x:v>
      </x:c>
      <x:c r="B50" s="83" t="inlineStr">
        <x:is>
          <x:t xml:space="preserve">Chủ Nhật</x:t>
        </x:is>
      </x:c>
      <x:c r="C50" s="83" t="inlineStr">
        <x:is>
          <x:t xml:space="preserve">Official</x:t>
        </x:is>
      </x:c>
      <x:c r="D50" s="83" t="inlineStr">
        <x:is>
          <x:t xml:space="preserve">00:30</x:t>
        </x:is>
      </x:c>
      <x:c r="E50" s="156" t="n">
        <x:f>'SLOT_RULES'!$D$4+IF($A50&lt;='SLOT_RULES'!$D$4,0,INT(($A50-'SLOT_RULES'!$D$4-1)/'SLOT_RULES'!$E$4)+1)*'SLOT_RULES'!$E$4</x:f>
        <x:v>46325</x:v>
      </x:c>
      <x:c r="F50" s="157" t="n"/>
      <x:c r="G50" s="157" t="n"/>
      <x:c r="H50" s="156" t="n">
        <x:f>'SLOT_RULES'!$D$7+IF($A50&lt;='SLOT_RULES'!$D$7,0,INT(($A50-'SLOT_RULES'!$D$7-1)/'SLOT_RULES'!$E$7)+1)*'SLOT_RULES'!$E$7</x:f>
        <x:v>46318</x:v>
      </x:c>
      <x:c r="I50" s="156" t="n">
        <x:f>'SLOT_RULES'!$D$8+IF($A50&lt;='SLOT_RULES'!$D$8,0,INT(($A50-'SLOT_RULES'!$D$8-1)/'SLOT_RULES'!$E$8)+1)*'SLOT_RULES'!$E$8</x:f>
        <x:v>46328</x:v>
      </x:c>
      <x:c r="J50" s="156" t="n">
        <x:f>'SLOT_RULES'!$D$9+IF($A50&lt;='SLOT_RULES'!$D$9,0,INT(($A50-'SLOT_RULES'!$D$9-1)/'SLOT_RULES'!$E$9)+1)*'SLOT_RULES'!$E$9</x:f>
        <x:v>46314</x:v>
      </x:c>
      <x:c r="K50" s="156" t="n">
        <x:f>'SLOT_RULES'!$D$10+IF($A50&lt;='SLOT_RULES'!$D$10,0,INT(($A50-'SLOT_RULES'!$D$10-1)/'SLOT_RULES'!$E$10)+1)*'SLOT_RULES'!$E$10</x:f>
        <x:v>46329</x:v>
      </x:c>
      <x:c r="L50" s="156" t="n">
        <x:f>'SLOT_RULES'!$D$11+IF($A50&lt;='SLOT_RULES'!$D$11,0,INT(($A50-'SLOT_RULES'!$D$11-1)/'SLOT_RULES'!$E$11)+1)*'SLOT_RULES'!$E$11</x:f>
        <x:v>46336</x:v>
      </x:c>
      <x:c r="M50" s="156" t="n">
        <x:f>'SLOT_RULES'!$D$12+IF($A50&lt;='SLOT_RULES'!$D$12,0,INT(($A50-'SLOT_RULES'!$D$12-1)/'SLOT_RULES'!$E$12)+1)*'SLOT_RULES'!$E$12</x:f>
        <x:v>46313</x:v>
      </x:c>
      <x:c r="N50" s="156" t="n">
        <x:f>'SLOT_RULES'!$D$13+IF($A50&lt;='SLOT_RULES'!$D$13,0,INT(($A50-'SLOT_RULES'!$D$13-1)/'SLOT_RULES'!$E$13)+1)*'SLOT_RULES'!$E$13</x:f>
        <x:v>46321</x:v>
      </x:c>
      <x:c r="O50" s="156" t="n">
        <x:f>'SLOT_RULES'!$D$14+IF($A50&lt;='SLOT_RULES'!$D$14,0,INT(($A50-'SLOT_RULES'!$D$14-1)/'SLOT_RULES'!$E$14)+1)*'SLOT_RULES'!$E$14</x:f>
        <x:v>46350</x:v>
      </x:c>
      <x:c r="P50" s="156" t="n">
        <x:f>'SLOT_RULES'!$D$15+IF($A50&lt;='SLOT_RULES'!$D$15,0,INT(($A50-'SLOT_RULES'!$D$15-1)/'SLOT_RULES'!$E$15)+1)*'SLOT_RULES'!$E$15</x:f>
        <x:v>46422</x:v>
      </x:c>
      <x:c r="Q50" s="158" t="n">
        <x:f>MIN(E50:P50)-A50</x:f>
        <x:v>0</x:v>
      </x:c>
      <x:c r="R50" s="158" t="n">
        <x:f>MAX(E50:P50)-A50</x:f>
        <x:v>109</x:v>
      </x:c>
      <x:c r="S50" s="86" t="str">
        <x:f>IF(AND(COUNT(E50:P50)=10,MIN(E50:P50)&gt;=A50),"PASS","FAIL")</x:f>
        <x:v>PASS</x:v>
      </x:c>
      <x:c r="T50" s="86" t="str">
        <x: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x:f>
        <x:v>PASS</x:v>
      </x:c>
      <x:c r="U50" s="86" t="str">
        <x: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x:f>
        <x:v>PASS</x:v>
      </x:c>
      <x:c r="V50" s="86" t="str">
        <x: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x:f>
        <x:v>PASS</x:v>
      </x:c>
      <x:c r="W50" s="87" t="str">
        <x:f>'CRAWL_LOG'!B50</x:f>
        <x:v>Chưa chạy</x:v>
      </x:c>
      <x:c r="X50" s="95" t="inlineStr">
        <x:is>
          <x:t xml:space="preserve">10-slot panel: 7 near + 3 far; AN2/AN3 inactive from 03/09</x:t>
        </x:is>
      </x:c>
    </x:row>
    <x:row r="51">
      <x:c r="A51" s="155" t="n">
        <x:v>46314</x:v>
      </x:c>
      <x:c r="B51" s="83" t="inlineStr">
        <x:is>
          <x:t xml:space="preserve">Thứ Hai</x:t>
        </x:is>
      </x:c>
      <x:c r="C51" s="83" t="inlineStr">
        <x:is>
          <x:t xml:space="preserve">Official</x:t>
        </x:is>
      </x:c>
      <x:c r="D51" s="83" t="inlineStr">
        <x:is>
          <x:t xml:space="preserve">00:30</x:t>
        </x:is>
      </x:c>
      <x:c r="E51" s="156" t="n">
        <x:f>'SLOT_RULES'!$D$4+IF($A51&lt;='SLOT_RULES'!$D$4,0,INT(($A51-'SLOT_RULES'!$D$4-1)/'SLOT_RULES'!$E$4)+1)*'SLOT_RULES'!$E$4</x:f>
        <x:v>46325</x:v>
      </x:c>
      <x:c r="F51" s="157" t="n"/>
      <x:c r="G51" s="157" t="n"/>
      <x:c r="H51" s="156" t="n">
        <x:f>'SLOT_RULES'!$D$7+IF($A51&lt;='SLOT_RULES'!$D$7,0,INT(($A51-'SLOT_RULES'!$D$7-1)/'SLOT_RULES'!$E$7)+1)*'SLOT_RULES'!$E$7</x:f>
        <x:v>46318</x:v>
      </x:c>
      <x:c r="I51" s="156" t="n">
        <x:f>'SLOT_RULES'!$D$8+IF($A51&lt;='SLOT_RULES'!$D$8,0,INT(($A51-'SLOT_RULES'!$D$8-1)/'SLOT_RULES'!$E$8)+1)*'SLOT_RULES'!$E$8</x:f>
        <x:v>46328</x:v>
      </x:c>
      <x:c r="J51" s="156" t="n">
        <x:f>'SLOT_RULES'!$D$9+IF($A51&lt;='SLOT_RULES'!$D$9,0,INT(($A51-'SLOT_RULES'!$D$9-1)/'SLOT_RULES'!$E$9)+1)*'SLOT_RULES'!$E$9</x:f>
        <x:v>46314</x:v>
      </x:c>
      <x:c r="K51" s="156" t="n">
        <x:f>'SLOT_RULES'!$D$10+IF($A51&lt;='SLOT_RULES'!$D$10,0,INT(($A51-'SLOT_RULES'!$D$10-1)/'SLOT_RULES'!$E$10)+1)*'SLOT_RULES'!$E$10</x:f>
        <x:v>46329</x:v>
      </x:c>
      <x:c r="L51" s="156" t="n">
        <x:f>'SLOT_RULES'!$D$11+IF($A51&lt;='SLOT_RULES'!$D$11,0,INT(($A51-'SLOT_RULES'!$D$11-1)/'SLOT_RULES'!$E$11)+1)*'SLOT_RULES'!$E$11</x:f>
        <x:v>46336</x:v>
      </x:c>
      <x:c r="M51" s="156" t="n">
        <x:f>'SLOT_RULES'!$D$12+IF($A51&lt;='SLOT_RULES'!$D$12,0,INT(($A51-'SLOT_RULES'!$D$12-1)/'SLOT_RULES'!$E$12)+1)*'SLOT_RULES'!$E$12</x:f>
        <x:v>46341</x:v>
      </x:c>
      <x:c r="N51" s="156" t="n">
        <x:f>'SLOT_RULES'!$D$13+IF($A51&lt;='SLOT_RULES'!$D$13,0,INT(($A51-'SLOT_RULES'!$D$13-1)/'SLOT_RULES'!$E$13)+1)*'SLOT_RULES'!$E$13</x:f>
        <x:v>46321</x:v>
      </x:c>
      <x:c r="O51" s="156" t="n">
        <x:f>'SLOT_RULES'!$D$14+IF($A51&lt;='SLOT_RULES'!$D$14,0,INT(($A51-'SLOT_RULES'!$D$14-1)/'SLOT_RULES'!$E$14)+1)*'SLOT_RULES'!$E$14</x:f>
        <x:v>46350</x:v>
      </x:c>
      <x:c r="P51" s="156" t="n">
        <x:f>'SLOT_RULES'!$D$15+IF($A51&lt;='SLOT_RULES'!$D$15,0,INT(($A51-'SLOT_RULES'!$D$15-1)/'SLOT_RULES'!$E$15)+1)*'SLOT_RULES'!$E$15</x:f>
        <x:v>46422</x:v>
      </x:c>
      <x:c r="Q51" s="158" t="n">
        <x:f>MIN(E51:P51)-A51</x:f>
        <x:v>0</x:v>
      </x:c>
      <x:c r="R51" s="158" t="n">
        <x:f>MAX(E51:P51)-A51</x:f>
        <x:v>108</x:v>
      </x:c>
      <x:c r="S51" s="86" t="str">
        <x:f>IF(AND(COUNT(E51:P51)=10,MIN(E51:P51)&gt;=A51),"PASS","FAIL")</x:f>
        <x:v>PASS</x:v>
      </x:c>
      <x:c r="T51" s="86" t="str">
        <x: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x:f>
        <x:v>PASS</x:v>
      </x:c>
      <x:c r="U51" s="86" t="str">
        <x: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x:f>
        <x:v>PASS</x:v>
      </x:c>
      <x:c r="V51" s="86" t="str">
        <x: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x:f>
        <x:v>PASS</x:v>
      </x:c>
      <x:c r="W51" s="87" t="str">
        <x:f>'CRAWL_LOG'!B51</x:f>
        <x:v>Chưa chạy</x:v>
      </x:c>
      <x:c r="X51" s="95" t="inlineStr">
        <x:is>
          <x:t xml:space="preserve">10-slot panel: 7 near + 3 far; AN2/AN3 inactive from 03/09</x:t>
        </x:is>
      </x:c>
    </x:row>
    <x:row r="52">
      <x:c r="A52" s="155" t="n">
        <x:v>46315</x:v>
      </x:c>
      <x:c r="B52" s="83" t="inlineStr">
        <x:is>
          <x:t xml:space="preserve">Thứ Ba</x:t>
        </x:is>
      </x:c>
      <x:c r="C52" s="83" t="inlineStr">
        <x:is>
          <x:t xml:space="preserve">Official</x:t>
        </x:is>
      </x:c>
      <x:c r="D52" s="83" t="inlineStr">
        <x:is>
          <x:t xml:space="preserve">00:30</x:t>
        </x:is>
      </x:c>
      <x:c r="E52" s="156" t="n">
        <x:f>'SLOT_RULES'!$D$4+IF($A52&lt;='SLOT_RULES'!$D$4,0,INT(($A52-'SLOT_RULES'!$D$4-1)/'SLOT_RULES'!$E$4)+1)*'SLOT_RULES'!$E$4</x:f>
        <x:v>46325</x:v>
      </x:c>
      <x:c r="F52" s="157" t="n"/>
      <x:c r="G52" s="157" t="n"/>
      <x:c r="H52" s="156" t="n">
        <x:f>'SLOT_RULES'!$D$7+IF($A52&lt;='SLOT_RULES'!$D$7,0,INT(($A52-'SLOT_RULES'!$D$7-1)/'SLOT_RULES'!$E$7)+1)*'SLOT_RULES'!$E$7</x:f>
        <x:v>46318</x:v>
      </x:c>
      <x:c r="I52" s="156" t="n">
        <x:f>'SLOT_RULES'!$D$8+IF($A52&lt;='SLOT_RULES'!$D$8,0,INT(($A52-'SLOT_RULES'!$D$8-1)/'SLOT_RULES'!$E$8)+1)*'SLOT_RULES'!$E$8</x:f>
        <x:v>46328</x:v>
      </x:c>
      <x:c r="J52" s="156" t="n">
        <x:f>'SLOT_RULES'!$D$9+IF($A52&lt;='SLOT_RULES'!$D$9,0,INT(($A52-'SLOT_RULES'!$D$9-1)/'SLOT_RULES'!$E$9)+1)*'SLOT_RULES'!$E$9</x:f>
        <x:v>46342</x:v>
      </x:c>
      <x:c r="K52" s="156" t="n">
        <x:f>'SLOT_RULES'!$D$10+IF($A52&lt;='SLOT_RULES'!$D$10,0,INT(($A52-'SLOT_RULES'!$D$10-1)/'SLOT_RULES'!$E$10)+1)*'SLOT_RULES'!$E$10</x:f>
        <x:v>46329</x:v>
      </x:c>
      <x:c r="L52" s="156" t="n">
        <x:f>'SLOT_RULES'!$D$11+IF($A52&lt;='SLOT_RULES'!$D$11,0,INT(($A52-'SLOT_RULES'!$D$11-1)/'SLOT_RULES'!$E$11)+1)*'SLOT_RULES'!$E$11</x:f>
        <x:v>46336</x:v>
      </x:c>
      <x:c r="M52" s="156" t="n">
        <x:f>'SLOT_RULES'!$D$12+IF($A52&lt;='SLOT_RULES'!$D$12,0,INT(($A52-'SLOT_RULES'!$D$12-1)/'SLOT_RULES'!$E$12)+1)*'SLOT_RULES'!$E$12</x:f>
        <x:v>46341</x:v>
      </x:c>
      <x:c r="N52" s="156" t="n">
        <x:f>'SLOT_RULES'!$D$13+IF($A52&lt;='SLOT_RULES'!$D$13,0,INT(($A52-'SLOT_RULES'!$D$13-1)/'SLOT_RULES'!$E$13)+1)*'SLOT_RULES'!$E$13</x:f>
        <x:v>46321</x:v>
      </x:c>
      <x:c r="O52" s="156" t="n">
        <x:f>'SLOT_RULES'!$D$14+IF($A52&lt;='SLOT_RULES'!$D$14,0,INT(($A52-'SLOT_RULES'!$D$14-1)/'SLOT_RULES'!$E$14)+1)*'SLOT_RULES'!$E$14</x:f>
        <x:v>46350</x:v>
      </x:c>
      <x:c r="P52" s="156" t="n">
        <x:f>'SLOT_RULES'!$D$15+IF($A52&lt;='SLOT_RULES'!$D$15,0,INT(($A52-'SLOT_RULES'!$D$15-1)/'SLOT_RULES'!$E$15)+1)*'SLOT_RULES'!$E$15</x:f>
        <x:v>46422</x:v>
      </x:c>
      <x:c r="Q52" s="158" t="n">
        <x:f>MIN(E52:P52)-A52</x:f>
        <x:v>3</x:v>
      </x:c>
      <x:c r="R52" s="158" t="n">
        <x:f>MAX(E52:P52)-A52</x:f>
        <x:v>107</x:v>
      </x:c>
      <x:c r="S52" s="86" t="str">
        <x:f>IF(AND(COUNT(E52:P52)=10,MIN(E52:P52)&gt;=A52),"PASS","FAIL")</x:f>
        <x:v>PASS</x:v>
      </x:c>
      <x:c r="T52" s="86" t="str">
        <x: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x:f>
        <x:v>PASS</x:v>
      </x:c>
      <x:c r="U52" s="86" t="str">
        <x: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x:f>
        <x:v>PASS</x:v>
      </x:c>
      <x:c r="V52" s="86" t="str">
        <x: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x:f>
        <x:v>PASS</x:v>
      </x:c>
      <x:c r="W52" s="87" t="str">
        <x:f>'CRAWL_LOG'!B52</x:f>
        <x:v>Chưa chạy</x:v>
      </x:c>
      <x:c r="X52" s="95" t="inlineStr">
        <x:is>
          <x:t xml:space="preserve">10-slot panel: 7 near + 3 far; AN2/AN3 inactive from 03/09</x:t>
        </x:is>
      </x:c>
    </x:row>
    <x:row r="53">
      <x:c r="A53" s="155" t="n">
        <x:v>46316</x:v>
      </x:c>
      <x:c r="B53" s="83" t="inlineStr">
        <x:is>
          <x:t xml:space="preserve">Thứ Tư</x:t>
        </x:is>
      </x:c>
      <x:c r="C53" s="83" t="inlineStr">
        <x:is>
          <x:t xml:space="preserve">Official</x:t>
        </x:is>
      </x:c>
      <x:c r="D53" s="83" t="inlineStr">
        <x:is>
          <x:t xml:space="preserve">00:30</x:t>
        </x:is>
      </x:c>
      <x:c r="E53" s="156" t="n">
        <x:f>'SLOT_RULES'!$D$4+IF($A53&lt;='SLOT_RULES'!$D$4,0,INT(($A53-'SLOT_RULES'!$D$4-1)/'SLOT_RULES'!$E$4)+1)*'SLOT_RULES'!$E$4</x:f>
        <x:v>46325</x:v>
      </x:c>
      <x:c r="F53" s="157" t="n"/>
      <x:c r="G53" s="157" t="n"/>
      <x:c r="H53" s="156" t="n">
        <x:f>'SLOT_RULES'!$D$7+IF($A53&lt;='SLOT_RULES'!$D$7,0,INT(($A53-'SLOT_RULES'!$D$7-1)/'SLOT_RULES'!$E$7)+1)*'SLOT_RULES'!$E$7</x:f>
        <x:v>46318</x:v>
      </x:c>
      <x:c r="I53" s="156" t="n">
        <x:f>'SLOT_RULES'!$D$8+IF($A53&lt;='SLOT_RULES'!$D$8,0,INT(($A53-'SLOT_RULES'!$D$8-1)/'SLOT_RULES'!$E$8)+1)*'SLOT_RULES'!$E$8</x:f>
        <x:v>46328</x:v>
      </x:c>
      <x:c r="J53" s="156" t="n">
        <x:f>'SLOT_RULES'!$D$9+IF($A53&lt;='SLOT_RULES'!$D$9,0,INT(($A53-'SLOT_RULES'!$D$9-1)/'SLOT_RULES'!$E$9)+1)*'SLOT_RULES'!$E$9</x:f>
        <x:v>46342</x:v>
      </x:c>
      <x:c r="K53" s="156" t="n">
        <x:f>'SLOT_RULES'!$D$10+IF($A53&lt;='SLOT_RULES'!$D$10,0,INT(($A53-'SLOT_RULES'!$D$10-1)/'SLOT_RULES'!$E$10)+1)*'SLOT_RULES'!$E$10</x:f>
        <x:v>46329</x:v>
      </x:c>
      <x:c r="L53" s="156" t="n">
        <x:f>'SLOT_RULES'!$D$11+IF($A53&lt;='SLOT_RULES'!$D$11,0,INT(($A53-'SLOT_RULES'!$D$11-1)/'SLOT_RULES'!$E$11)+1)*'SLOT_RULES'!$E$11</x:f>
        <x:v>46336</x:v>
      </x:c>
      <x:c r="M53" s="156" t="n">
        <x:f>'SLOT_RULES'!$D$12+IF($A53&lt;='SLOT_RULES'!$D$12,0,INT(($A53-'SLOT_RULES'!$D$12-1)/'SLOT_RULES'!$E$12)+1)*'SLOT_RULES'!$E$12</x:f>
        <x:v>46341</x:v>
      </x:c>
      <x:c r="N53" s="156" t="n">
        <x:f>'SLOT_RULES'!$D$13+IF($A53&lt;='SLOT_RULES'!$D$13,0,INT(($A53-'SLOT_RULES'!$D$13-1)/'SLOT_RULES'!$E$13)+1)*'SLOT_RULES'!$E$13</x:f>
        <x:v>46321</x:v>
      </x:c>
      <x:c r="O53" s="156" t="n">
        <x:f>'SLOT_RULES'!$D$14+IF($A53&lt;='SLOT_RULES'!$D$14,0,INT(($A53-'SLOT_RULES'!$D$14-1)/'SLOT_RULES'!$E$14)+1)*'SLOT_RULES'!$E$14</x:f>
        <x:v>46350</x:v>
      </x:c>
      <x:c r="P53" s="156" t="n">
        <x:f>'SLOT_RULES'!$D$15+IF($A53&lt;='SLOT_RULES'!$D$15,0,INT(($A53-'SLOT_RULES'!$D$15-1)/'SLOT_RULES'!$E$15)+1)*'SLOT_RULES'!$E$15</x:f>
        <x:v>46422</x:v>
      </x:c>
      <x:c r="Q53" s="158" t="n">
        <x:f>MIN(E53:P53)-A53</x:f>
        <x:v>2</x:v>
      </x:c>
      <x:c r="R53" s="158" t="n">
        <x:f>MAX(E53:P53)-A53</x:f>
        <x:v>106</x:v>
      </x:c>
      <x:c r="S53" s="86" t="str">
        <x:f>IF(AND(COUNT(E53:P53)=10,MIN(E53:P53)&gt;=A53),"PASS","FAIL")</x:f>
        <x:v>PASS</x:v>
      </x:c>
      <x:c r="T53" s="86" t="str">
        <x: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x:f>
        <x:v>PASS</x:v>
      </x:c>
      <x:c r="U53" s="86" t="str">
        <x: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x:f>
        <x:v>PASS</x:v>
      </x:c>
      <x:c r="V53" s="86" t="str">
        <x: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x:f>
        <x:v>PASS</x:v>
      </x:c>
      <x:c r="W53" s="87" t="str">
        <x:f>'CRAWL_LOG'!B53</x:f>
        <x:v>Chưa chạy</x:v>
      </x:c>
      <x:c r="X53" s="95" t="inlineStr">
        <x:is>
          <x:t xml:space="preserve">10-slot panel: 7 near + 3 far; AN2/AN3 inactive from 03/09</x:t>
        </x:is>
      </x:c>
    </x:row>
    <x:row r="54">
      <x:c r="A54" s="155" t="n">
        <x:v>46317</x:v>
      </x:c>
      <x:c r="B54" s="83" t="inlineStr">
        <x:is>
          <x:t xml:space="preserve">Thứ Năm</x:t>
        </x:is>
      </x:c>
      <x:c r="C54" s="83" t="inlineStr">
        <x:is>
          <x:t xml:space="preserve">Official</x:t>
        </x:is>
      </x:c>
      <x:c r="D54" s="83" t="inlineStr">
        <x:is>
          <x:t xml:space="preserve">00:30</x:t>
        </x:is>
      </x:c>
      <x:c r="E54" s="156" t="n">
        <x:f>'SLOT_RULES'!$D$4+IF($A54&lt;='SLOT_RULES'!$D$4,0,INT(($A54-'SLOT_RULES'!$D$4-1)/'SLOT_RULES'!$E$4)+1)*'SLOT_RULES'!$E$4</x:f>
        <x:v>46325</x:v>
      </x:c>
      <x:c r="F54" s="157" t="n"/>
      <x:c r="G54" s="157" t="n"/>
      <x:c r="H54" s="156" t="n">
        <x:f>'SLOT_RULES'!$D$7+IF($A54&lt;='SLOT_RULES'!$D$7,0,INT(($A54-'SLOT_RULES'!$D$7-1)/'SLOT_RULES'!$E$7)+1)*'SLOT_RULES'!$E$7</x:f>
        <x:v>46318</x:v>
      </x:c>
      <x:c r="I54" s="156" t="n">
        <x:f>'SLOT_RULES'!$D$8+IF($A54&lt;='SLOT_RULES'!$D$8,0,INT(($A54-'SLOT_RULES'!$D$8-1)/'SLOT_RULES'!$E$8)+1)*'SLOT_RULES'!$E$8</x:f>
        <x:v>46328</x:v>
      </x:c>
      <x:c r="J54" s="156" t="n">
        <x:f>'SLOT_RULES'!$D$9+IF($A54&lt;='SLOT_RULES'!$D$9,0,INT(($A54-'SLOT_RULES'!$D$9-1)/'SLOT_RULES'!$E$9)+1)*'SLOT_RULES'!$E$9</x:f>
        <x:v>46342</x:v>
      </x:c>
      <x:c r="K54" s="156" t="n">
        <x:f>'SLOT_RULES'!$D$10+IF($A54&lt;='SLOT_RULES'!$D$10,0,INT(($A54-'SLOT_RULES'!$D$10-1)/'SLOT_RULES'!$E$10)+1)*'SLOT_RULES'!$E$10</x:f>
        <x:v>46329</x:v>
      </x:c>
      <x:c r="L54" s="156" t="n">
        <x:f>'SLOT_RULES'!$D$11+IF($A54&lt;='SLOT_RULES'!$D$11,0,INT(($A54-'SLOT_RULES'!$D$11-1)/'SLOT_RULES'!$E$11)+1)*'SLOT_RULES'!$E$11</x:f>
        <x:v>46336</x:v>
      </x:c>
      <x:c r="M54" s="156" t="n">
        <x:f>'SLOT_RULES'!$D$12+IF($A54&lt;='SLOT_RULES'!$D$12,0,INT(($A54-'SLOT_RULES'!$D$12-1)/'SLOT_RULES'!$E$12)+1)*'SLOT_RULES'!$E$12</x:f>
        <x:v>46341</x:v>
      </x:c>
      <x:c r="N54" s="156" t="n">
        <x:f>'SLOT_RULES'!$D$13+IF($A54&lt;='SLOT_RULES'!$D$13,0,INT(($A54-'SLOT_RULES'!$D$13-1)/'SLOT_RULES'!$E$13)+1)*'SLOT_RULES'!$E$13</x:f>
        <x:v>46321</x:v>
      </x:c>
      <x:c r="O54" s="156" t="n">
        <x:f>'SLOT_RULES'!$D$14+IF($A54&lt;='SLOT_RULES'!$D$14,0,INT(($A54-'SLOT_RULES'!$D$14-1)/'SLOT_RULES'!$E$14)+1)*'SLOT_RULES'!$E$14</x:f>
        <x:v>46350</x:v>
      </x:c>
      <x:c r="P54" s="156" t="n">
        <x:f>'SLOT_RULES'!$D$15+IF($A54&lt;='SLOT_RULES'!$D$15,0,INT(($A54-'SLOT_RULES'!$D$15-1)/'SLOT_RULES'!$E$15)+1)*'SLOT_RULES'!$E$15</x:f>
        <x:v>46422</x:v>
      </x:c>
      <x:c r="Q54" s="158" t="n">
        <x:f>MIN(E54:P54)-A54</x:f>
        <x:v>1</x:v>
      </x:c>
      <x:c r="R54" s="158" t="n">
        <x:f>MAX(E54:P54)-A54</x:f>
        <x:v>105</x:v>
      </x:c>
      <x:c r="S54" s="86" t="str">
        <x:f>IF(AND(COUNT(E54:P54)=10,MIN(E54:P54)&gt;=A54),"PASS","FAIL")</x:f>
        <x:v>PASS</x:v>
      </x:c>
      <x:c r="T54" s="86" t="str">
        <x: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x:f>
        <x:v>PASS</x:v>
      </x:c>
      <x:c r="U54" s="86" t="str">
        <x: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x:f>
        <x:v>PASS</x:v>
      </x:c>
      <x:c r="V54" s="86" t="str">
        <x: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x:f>
        <x:v>PASS</x:v>
      </x:c>
      <x:c r="W54" s="87" t="str">
        <x:f>'CRAWL_LOG'!B54</x:f>
        <x:v>Chưa chạy</x:v>
      </x:c>
      <x:c r="X54" s="95" t="inlineStr">
        <x:is>
          <x:t xml:space="preserve">10-slot panel: 7 near + 3 far; AN2/AN3 inactive from 03/09</x:t>
        </x:is>
      </x:c>
    </x:row>
    <x:row r="55">
      <x:c r="A55" s="155" t="n">
        <x:v>46318</x:v>
      </x:c>
      <x:c r="B55" s="83" t="inlineStr">
        <x:is>
          <x:t xml:space="preserve">Thứ Sáu</x:t>
        </x:is>
      </x:c>
      <x:c r="C55" s="83" t="inlineStr">
        <x:is>
          <x:t xml:space="preserve">Official</x:t>
        </x:is>
      </x:c>
      <x:c r="D55" s="83" t="inlineStr">
        <x:is>
          <x:t xml:space="preserve">00:30</x:t>
        </x:is>
      </x:c>
      <x:c r="E55" s="156" t="n">
        <x:f>'SLOT_RULES'!$D$4+IF($A55&lt;='SLOT_RULES'!$D$4,0,INT(($A55-'SLOT_RULES'!$D$4-1)/'SLOT_RULES'!$E$4)+1)*'SLOT_RULES'!$E$4</x:f>
        <x:v>46325</x:v>
      </x:c>
      <x:c r="F55" s="157" t="n"/>
      <x:c r="G55" s="157" t="n"/>
      <x:c r="H55" s="156" t="n">
        <x:f>'SLOT_RULES'!$D$7+IF($A55&lt;='SLOT_RULES'!$D$7,0,INT(($A55-'SLOT_RULES'!$D$7-1)/'SLOT_RULES'!$E$7)+1)*'SLOT_RULES'!$E$7</x:f>
        <x:v>46318</x:v>
      </x:c>
      <x:c r="I55" s="156" t="n">
        <x:f>'SLOT_RULES'!$D$8+IF($A55&lt;='SLOT_RULES'!$D$8,0,INT(($A55-'SLOT_RULES'!$D$8-1)/'SLOT_RULES'!$E$8)+1)*'SLOT_RULES'!$E$8</x:f>
        <x:v>46328</x:v>
      </x:c>
      <x:c r="J55" s="156" t="n">
        <x:f>'SLOT_RULES'!$D$9+IF($A55&lt;='SLOT_RULES'!$D$9,0,INT(($A55-'SLOT_RULES'!$D$9-1)/'SLOT_RULES'!$E$9)+1)*'SLOT_RULES'!$E$9</x:f>
        <x:v>46342</x:v>
      </x:c>
      <x:c r="K55" s="156" t="n">
        <x:f>'SLOT_RULES'!$D$10+IF($A55&lt;='SLOT_RULES'!$D$10,0,INT(($A55-'SLOT_RULES'!$D$10-1)/'SLOT_RULES'!$E$10)+1)*'SLOT_RULES'!$E$10</x:f>
        <x:v>46329</x:v>
      </x:c>
      <x:c r="L55" s="156" t="n">
        <x:f>'SLOT_RULES'!$D$11+IF($A55&lt;='SLOT_RULES'!$D$11,0,INT(($A55-'SLOT_RULES'!$D$11-1)/'SLOT_RULES'!$E$11)+1)*'SLOT_RULES'!$E$11</x:f>
        <x:v>46336</x:v>
      </x:c>
      <x:c r="M55" s="156" t="n">
        <x:f>'SLOT_RULES'!$D$12+IF($A55&lt;='SLOT_RULES'!$D$12,0,INT(($A55-'SLOT_RULES'!$D$12-1)/'SLOT_RULES'!$E$12)+1)*'SLOT_RULES'!$E$12</x:f>
        <x:v>46341</x:v>
      </x:c>
      <x:c r="N55" s="156" t="n">
        <x:f>'SLOT_RULES'!$D$13+IF($A55&lt;='SLOT_RULES'!$D$13,0,INT(($A55-'SLOT_RULES'!$D$13-1)/'SLOT_RULES'!$E$13)+1)*'SLOT_RULES'!$E$13</x:f>
        <x:v>46321</x:v>
      </x:c>
      <x:c r="O55" s="156" t="n">
        <x:f>'SLOT_RULES'!$D$14+IF($A55&lt;='SLOT_RULES'!$D$14,0,INT(($A55-'SLOT_RULES'!$D$14-1)/'SLOT_RULES'!$E$14)+1)*'SLOT_RULES'!$E$14</x:f>
        <x:v>46350</x:v>
      </x:c>
      <x:c r="P55" s="156" t="n">
        <x:f>'SLOT_RULES'!$D$15+IF($A55&lt;='SLOT_RULES'!$D$15,0,INT(($A55-'SLOT_RULES'!$D$15-1)/'SLOT_RULES'!$E$15)+1)*'SLOT_RULES'!$E$15</x:f>
        <x:v>46422</x:v>
      </x:c>
      <x:c r="Q55" s="158" t="n">
        <x:f>MIN(E55:P55)-A55</x:f>
        <x:v>0</x:v>
      </x:c>
      <x:c r="R55" s="158" t="n">
        <x:f>MAX(E55:P55)-A55</x:f>
        <x:v>104</x:v>
      </x:c>
      <x:c r="S55" s="86" t="str">
        <x:f>IF(AND(COUNT(E55:P55)=10,MIN(E55:P55)&gt;=A55),"PASS","FAIL")</x:f>
        <x:v>PASS</x:v>
      </x:c>
      <x:c r="T55" s="86" t="str">
        <x: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x:f>
        <x:v>PASS</x:v>
      </x:c>
      <x:c r="U55" s="86" t="str">
        <x: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x:f>
        <x:v>PASS</x:v>
      </x:c>
      <x:c r="V55" s="86" t="str">
        <x: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x:f>
        <x:v>PASS</x:v>
      </x:c>
      <x:c r="W55" s="87" t="str">
        <x:f>'CRAWL_LOG'!B55</x:f>
        <x:v>Chưa chạy</x:v>
      </x:c>
      <x:c r="X55" s="95" t="inlineStr">
        <x:is>
          <x:t xml:space="preserve">10-slot panel: 7 near + 3 far; AN2/AN3 inactive from 03/09</x:t>
        </x:is>
      </x:c>
    </x:row>
    <x:row r="56">
      <x:c r="A56" s="155" t="n">
        <x:v>46319</x:v>
      </x:c>
      <x:c r="B56" s="83" t="inlineStr">
        <x:is>
          <x:t xml:space="preserve">Thứ Bảy</x:t>
        </x:is>
      </x:c>
      <x:c r="C56" s="83" t="inlineStr">
        <x:is>
          <x:t xml:space="preserve">Official</x:t>
        </x:is>
      </x:c>
      <x:c r="D56" s="83" t="inlineStr">
        <x:is>
          <x:t xml:space="preserve">00:30</x:t>
        </x:is>
      </x:c>
      <x:c r="E56" s="156" t="n">
        <x:f>'SLOT_RULES'!$D$4+IF($A56&lt;='SLOT_RULES'!$D$4,0,INT(($A56-'SLOT_RULES'!$D$4-1)/'SLOT_RULES'!$E$4)+1)*'SLOT_RULES'!$E$4</x:f>
        <x:v>46325</x:v>
      </x:c>
      <x:c r="F56" s="157" t="n"/>
      <x:c r="G56" s="157" t="n"/>
      <x:c r="H56" s="156" t="n">
        <x:f>'SLOT_RULES'!$D$7+IF($A56&lt;='SLOT_RULES'!$D$7,0,INT(($A56-'SLOT_RULES'!$D$7-1)/'SLOT_RULES'!$E$7)+1)*'SLOT_RULES'!$E$7</x:f>
        <x:v>46346</x:v>
      </x:c>
      <x:c r="I56" s="156" t="n">
        <x:f>'SLOT_RULES'!$D$8+IF($A56&lt;='SLOT_RULES'!$D$8,0,INT(($A56-'SLOT_RULES'!$D$8-1)/'SLOT_RULES'!$E$8)+1)*'SLOT_RULES'!$E$8</x:f>
        <x:v>46328</x:v>
      </x:c>
      <x:c r="J56" s="156" t="n">
        <x:f>'SLOT_RULES'!$D$9+IF($A56&lt;='SLOT_RULES'!$D$9,0,INT(($A56-'SLOT_RULES'!$D$9-1)/'SLOT_RULES'!$E$9)+1)*'SLOT_RULES'!$E$9</x:f>
        <x:v>46342</x:v>
      </x:c>
      <x:c r="K56" s="156" t="n">
        <x:f>'SLOT_RULES'!$D$10+IF($A56&lt;='SLOT_RULES'!$D$10,0,INT(($A56-'SLOT_RULES'!$D$10-1)/'SLOT_RULES'!$E$10)+1)*'SLOT_RULES'!$E$10</x:f>
        <x:v>46329</x:v>
      </x:c>
      <x:c r="L56" s="156" t="n">
        <x:f>'SLOT_RULES'!$D$11+IF($A56&lt;='SLOT_RULES'!$D$11,0,INT(($A56-'SLOT_RULES'!$D$11-1)/'SLOT_RULES'!$E$11)+1)*'SLOT_RULES'!$E$11</x:f>
        <x:v>46336</x:v>
      </x:c>
      <x:c r="M56" s="156" t="n">
        <x:f>'SLOT_RULES'!$D$12+IF($A56&lt;='SLOT_RULES'!$D$12,0,INT(($A56-'SLOT_RULES'!$D$12-1)/'SLOT_RULES'!$E$12)+1)*'SLOT_RULES'!$E$12</x:f>
        <x:v>46341</x:v>
      </x:c>
      <x:c r="N56" s="156" t="n">
        <x:f>'SLOT_RULES'!$D$13+IF($A56&lt;='SLOT_RULES'!$D$13,0,INT(($A56-'SLOT_RULES'!$D$13-1)/'SLOT_RULES'!$E$13)+1)*'SLOT_RULES'!$E$13</x:f>
        <x:v>46321</x:v>
      </x:c>
      <x:c r="O56" s="156" t="n">
        <x:f>'SLOT_RULES'!$D$14+IF($A56&lt;='SLOT_RULES'!$D$14,0,INT(($A56-'SLOT_RULES'!$D$14-1)/'SLOT_RULES'!$E$14)+1)*'SLOT_RULES'!$E$14</x:f>
        <x:v>46350</x:v>
      </x:c>
      <x:c r="P56" s="156" t="n">
        <x:f>'SLOT_RULES'!$D$15+IF($A56&lt;='SLOT_RULES'!$D$15,0,INT(($A56-'SLOT_RULES'!$D$15-1)/'SLOT_RULES'!$E$15)+1)*'SLOT_RULES'!$E$15</x:f>
        <x:v>46422</x:v>
      </x:c>
      <x:c r="Q56" s="158" t="n">
        <x:f>MIN(E56:P56)-A56</x:f>
        <x:v>2</x:v>
      </x:c>
      <x:c r="R56" s="158" t="n">
        <x:f>MAX(E56:P56)-A56</x:f>
        <x:v>103</x:v>
      </x:c>
      <x:c r="S56" s="86" t="str">
        <x:f>IF(AND(COUNT(E56:P56)=10,MIN(E56:P56)&gt;=A56),"PASS","FAIL")</x:f>
        <x:v>PASS</x:v>
      </x:c>
      <x:c r="T56" s="86" t="str">
        <x: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x:f>
        <x:v>PASS</x:v>
      </x:c>
      <x:c r="U56" s="86" t="str">
        <x: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x:f>
        <x:v>PASS</x:v>
      </x:c>
      <x:c r="V56" s="86" t="str">
        <x: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x:f>
        <x:v>PASS</x:v>
      </x:c>
      <x:c r="W56" s="87" t="str">
        <x:f>'CRAWL_LOG'!B56</x:f>
        <x:v>Chưa chạy</x:v>
      </x:c>
      <x:c r="X56" s="95" t="inlineStr">
        <x:is>
          <x:t xml:space="preserve">10-slot panel: 7 near + 3 far; AN2/AN3 inactive from 03/09</x:t>
        </x:is>
      </x:c>
    </x:row>
    <x:row r="57">
      <x:c r="A57" s="155" t="n">
        <x:v>46320</x:v>
      </x:c>
      <x:c r="B57" s="83" t="inlineStr">
        <x:is>
          <x:t xml:space="preserve">Chủ Nhật</x:t>
        </x:is>
      </x:c>
      <x:c r="C57" s="83" t="inlineStr">
        <x:is>
          <x:t xml:space="preserve">Official</x:t>
        </x:is>
      </x:c>
      <x:c r="D57" s="83" t="inlineStr">
        <x:is>
          <x:t xml:space="preserve">00:30</x:t>
        </x:is>
      </x:c>
      <x:c r="E57" s="156" t="n">
        <x:f>'SLOT_RULES'!$D$4+IF($A57&lt;='SLOT_RULES'!$D$4,0,INT(($A57-'SLOT_RULES'!$D$4-1)/'SLOT_RULES'!$E$4)+1)*'SLOT_RULES'!$E$4</x:f>
        <x:v>46325</x:v>
      </x:c>
      <x:c r="F57" s="157" t="n"/>
      <x:c r="G57" s="157" t="n"/>
      <x:c r="H57" s="156" t="n">
        <x:f>'SLOT_RULES'!$D$7+IF($A57&lt;='SLOT_RULES'!$D$7,0,INT(($A57-'SLOT_RULES'!$D$7-1)/'SLOT_RULES'!$E$7)+1)*'SLOT_RULES'!$E$7</x:f>
        <x:v>46346</x:v>
      </x:c>
      <x:c r="I57" s="156" t="n">
        <x:f>'SLOT_RULES'!$D$8+IF($A57&lt;='SLOT_RULES'!$D$8,0,INT(($A57-'SLOT_RULES'!$D$8-1)/'SLOT_RULES'!$E$8)+1)*'SLOT_RULES'!$E$8</x:f>
        <x:v>46328</x:v>
      </x:c>
      <x:c r="J57" s="156" t="n">
        <x:f>'SLOT_RULES'!$D$9+IF($A57&lt;='SLOT_RULES'!$D$9,0,INT(($A57-'SLOT_RULES'!$D$9-1)/'SLOT_RULES'!$E$9)+1)*'SLOT_RULES'!$E$9</x:f>
        <x:v>46342</x:v>
      </x:c>
      <x:c r="K57" s="156" t="n">
        <x:f>'SLOT_RULES'!$D$10+IF($A57&lt;='SLOT_RULES'!$D$10,0,INT(($A57-'SLOT_RULES'!$D$10-1)/'SLOT_RULES'!$E$10)+1)*'SLOT_RULES'!$E$10</x:f>
        <x:v>46329</x:v>
      </x:c>
      <x:c r="L57" s="156" t="n">
        <x:f>'SLOT_RULES'!$D$11+IF($A57&lt;='SLOT_RULES'!$D$11,0,INT(($A57-'SLOT_RULES'!$D$11-1)/'SLOT_RULES'!$E$11)+1)*'SLOT_RULES'!$E$11</x:f>
        <x:v>46336</x:v>
      </x:c>
      <x:c r="M57" s="156" t="n">
        <x:f>'SLOT_RULES'!$D$12+IF($A57&lt;='SLOT_RULES'!$D$12,0,INT(($A57-'SLOT_RULES'!$D$12-1)/'SLOT_RULES'!$E$12)+1)*'SLOT_RULES'!$E$12</x:f>
        <x:v>46341</x:v>
      </x:c>
      <x:c r="N57" s="156" t="n">
        <x:f>'SLOT_RULES'!$D$13+IF($A57&lt;='SLOT_RULES'!$D$13,0,INT(($A57-'SLOT_RULES'!$D$13-1)/'SLOT_RULES'!$E$13)+1)*'SLOT_RULES'!$E$13</x:f>
        <x:v>46321</x:v>
      </x:c>
      <x:c r="O57" s="156" t="n">
        <x:f>'SLOT_RULES'!$D$14+IF($A57&lt;='SLOT_RULES'!$D$14,0,INT(($A57-'SLOT_RULES'!$D$14-1)/'SLOT_RULES'!$E$14)+1)*'SLOT_RULES'!$E$14</x:f>
        <x:v>46350</x:v>
      </x:c>
      <x:c r="P57" s="156" t="n">
        <x:f>'SLOT_RULES'!$D$15+IF($A57&lt;='SLOT_RULES'!$D$15,0,INT(($A57-'SLOT_RULES'!$D$15-1)/'SLOT_RULES'!$E$15)+1)*'SLOT_RULES'!$E$15</x:f>
        <x:v>46422</x:v>
      </x:c>
      <x:c r="Q57" s="158" t="n">
        <x:f>MIN(E57:P57)-A57</x:f>
        <x:v>1</x:v>
      </x:c>
      <x:c r="R57" s="158" t="n">
        <x:f>MAX(E57:P57)-A57</x:f>
        <x:v>102</x:v>
      </x:c>
      <x:c r="S57" s="86" t="str">
        <x:f>IF(AND(COUNT(E57:P57)=10,MIN(E57:P57)&gt;=A57),"PASS","FAIL")</x:f>
        <x:v>PASS</x:v>
      </x:c>
      <x:c r="T57" s="86" t="str">
        <x: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x:f>
        <x:v>PASS</x:v>
      </x:c>
      <x:c r="U57" s="86" t="str">
        <x: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x:f>
        <x:v>PASS</x:v>
      </x:c>
      <x:c r="V57" s="86" t="str">
        <x: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x:f>
        <x:v>PASS</x:v>
      </x:c>
      <x:c r="W57" s="87" t="str">
        <x:f>'CRAWL_LOG'!B57</x:f>
        <x:v>Chưa chạy</x:v>
      </x:c>
      <x:c r="X57" s="95" t="inlineStr">
        <x:is>
          <x:t xml:space="preserve">10-slot panel: 7 near + 3 far; AN2/AN3 inactive from 03/09</x:t>
        </x:is>
      </x:c>
    </x:row>
    <x:row r="58">
      <x:c r="A58" s="155" t="n">
        <x:v>46321</x:v>
      </x:c>
      <x:c r="B58" s="83" t="inlineStr">
        <x:is>
          <x:t xml:space="preserve">Thứ Hai</x:t>
        </x:is>
      </x:c>
      <x:c r="C58" s="83" t="inlineStr">
        <x:is>
          <x:t xml:space="preserve">Official</x:t>
        </x:is>
      </x:c>
      <x:c r="D58" s="83" t="inlineStr">
        <x:is>
          <x:t xml:space="preserve">00:30</x:t>
        </x:is>
      </x:c>
      <x:c r="E58" s="156" t="n">
        <x:f>'SLOT_RULES'!$D$4+IF($A58&lt;='SLOT_RULES'!$D$4,0,INT(($A58-'SLOT_RULES'!$D$4-1)/'SLOT_RULES'!$E$4)+1)*'SLOT_RULES'!$E$4</x:f>
        <x:v>46325</x:v>
      </x:c>
      <x:c r="F58" s="157" t="n"/>
      <x:c r="G58" s="157" t="n"/>
      <x:c r="H58" s="156" t="n">
        <x:f>'SLOT_RULES'!$D$7+IF($A58&lt;='SLOT_RULES'!$D$7,0,INT(($A58-'SLOT_RULES'!$D$7-1)/'SLOT_RULES'!$E$7)+1)*'SLOT_RULES'!$E$7</x:f>
        <x:v>46346</x:v>
      </x:c>
      <x:c r="I58" s="156" t="n">
        <x:f>'SLOT_RULES'!$D$8+IF($A58&lt;='SLOT_RULES'!$D$8,0,INT(($A58-'SLOT_RULES'!$D$8-1)/'SLOT_RULES'!$E$8)+1)*'SLOT_RULES'!$E$8</x:f>
        <x:v>46328</x:v>
      </x:c>
      <x:c r="J58" s="156" t="n">
        <x:f>'SLOT_RULES'!$D$9+IF($A58&lt;='SLOT_RULES'!$D$9,0,INT(($A58-'SLOT_RULES'!$D$9-1)/'SLOT_RULES'!$E$9)+1)*'SLOT_RULES'!$E$9</x:f>
        <x:v>46342</x:v>
      </x:c>
      <x:c r="K58" s="156" t="n">
        <x:f>'SLOT_RULES'!$D$10+IF($A58&lt;='SLOT_RULES'!$D$10,0,INT(($A58-'SLOT_RULES'!$D$10-1)/'SLOT_RULES'!$E$10)+1)*'SLOT_RULES'!$E$10</x:f>
        <x:v>46329</x:v>
      </x:c>
      <x:c r="L58" s="156" t="n">
        <x:f>'SLOT_RULES'!$D$11+IF($A58&lt;='SLOT_RULES'!$D$11,0,INT(($A58-'SLOT_RULES'!$D$11-1)/'SLOT_RULES'!$E$11)+1)*'SLOT_RULES'!$E$11</x:f>
        <x:v>46336</x:v>
      </x:c>
      <x:c r="M58" s="156" t="n">
        <x:f>'SLOT_RULES'!$D$12+IF($A58&lt;='SLOT_RULES'!$D$12,0,INT(($A58-'SLOT_RULES'!$D$12-1)/'SLOT_RULES'!$E$12)+1)*'SLOT_RULES'!$E$12</x:f>
        <x:v>46341</x:v>
      </x:c>
      <x:c r="N58" s="156" t="n">
        <x:f>'SLOT_RULES'!$D$13+IF($A58&lt;='SLOT_RULES'!$D$13,0,INT(($A58-'SLOT_RULES'!$D$13-1)/'SLOT_RULES'!$E$13)+1)*'SLOT_RULES'!$E$13</x:f>
        <x:v>46321</x:v>
      </x:c>
      <x:c r="O58" s="156" t="n">
        <x:f>'SLOT_RULES'!$D$14+IF($A58&lt;='SLOT_RULES'!$D$14,0,INT(($A58-'SLOT_RULES'!$D$14-1)/'SLOT_RULES'!$E$14)+1)*'SLOT_RULES'!$E$14</x:f>
        <x:v>46350</x:v>
      </x:c>
      <x:c r="P58" s="156" t="n">
        <x:f>'SLOT_RULES'!$D$15+IF($A58&lt;='SLOT_RULES'!$D$15,0,INT(($A58-'SLOT_RULES'!$D$15-1)/'SLOT_RULES'!$E$15)+1)*'SLOT_RULES'!$E$15</x:f>
        <x:v>46422</x:v>
      </x:c>
      <x:c r="Q58" s="158" t="n">
        <x:f>MIN(E58:P58)-A58</x:f>
        <x:v>0</x:v>
      </x:c>
      <x:c r="R58" s="158" t="n">
        <x:f>MAX(E58:P58)-A58</x:f>
        <x:v>101</x:v>
      </x:c>
      <x:c r="S58" s="86" t="str">
        <x:f>IF(AND(COUNT(E58:P58)=10,MIN(E58:P58)&gt;=A58),"PASS","FAIL")</x:f>
        <x:v>PASS</x:v>
      </x:c>
      <x:c r="T58" s="86" t="str">
        <x: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x:f>
        <x:v>PASS</x:v>
      </x:c>
      <x:c r="U58" s="86" t="str">
        <x: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x:f>
        <x:v>PASS</x:v>
      </x:c>
      <x:c r="V58" s="86" t="str">
        <x: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x:f>
        <x:v>PASS</x:v>
      </x:c>
      <x:c r="W58" s="87" t="str">
        <x:f>'CRAWL_LOG'!B58</x:f>
        <x:v>Chưa chạy</x:v>
      </x:c>
      <x:c r="X58" s="95" t="inlineStr">
        <x:is>
          <x:t xml:space="preserve">10-slot panel: 7 near + 3 far; AN2/AN3 inactive from 03/09</x:t>
        </x:is>
      </x:c>
    </x:row>
    <x:row r="59">
      <x:c r="A59" s="155" t="n">
        <x:v>46322</x:v>
      </x:c>
      <x:c r="B59" s="83" t="inlineStr">
        <x:is>
          <x:t xml:space="preserve">Thứ Ba</x:t>
        </x:is>
      </x:c>
      <x:c r="C59" s="83" t="inlineStr">
        <x:is>
          <x:t xml:space="preserve">Official</x:t>
        </x:is>
      </x:c>
      <x:c r="D59" s="83" t="inlineStr">
        <x:is>
          <x:t xml:space="preserve">00:30</x:t>
        </x:is>
      </x:c>
      <x:c r="E59" s="156" t="n">
        <x:f>'SLOT_RULES'!$D$4+IF($A59&lt;='SLOT_RULES'!$D$4,0,INT(($A59-'SLOT_RULES'!$D$4-1)/'SLOT_RULES'!$E$4)+1)*'SLOT_RULES'!$E$4</x:f>
        <x:v>46325</x:v>
      </x:c>
      <x:c r="F59" s="157" t="n"/>
      <x:c r="G59" s="157" t="n"/>
      <x:c r="H59" s="156" t="n">
        <x:f>'SLOT_RULES'!$D$7+IF($A59&lt;='SLOT_RULES'!$D$7,0,INT(($A59-'SLOT_RULES'!$D$7-1)/'SLOT_RULES'!$E$7)+1)*'SLOT_RULES'!$E$7</x:f>
        <x:v>46346</x:v>
      </x:c>
      <x:c r="I59" s="156" t="n">
        <x:f>'SLOT_RULES'!$D$8+IF($A59&lt;='SLOT_RULES'!$D$8,0,INT(($A59-'SLOT_RULES'!$D$8-1)/'SLOT_RULES'!$E$8)+1)*'SLOT_RULES'!$E$8</x:f>
        <x:v>46328</x:v>
      </x:c>
      <x:c r="J59" s="156" t="n">
        <x:f>'SLOT_RULES'!$D$9+IF($A59&lt;='SLOT_RULES'!$D$9,0,INT(($A59-'SLOT_RULES'!$D$9-1)/'SLOT_RULES'!$E$9)+1)*'SLOT_RULES'!$E$9</x:f>
        <x:v>46342</x:v>
      </x:c>
      <x:c r="K59" s="156" t="n">
        <x:f>'SLOT_RULES'!$D$10+IF($A59&lt;='SLOT_RULES'!$D$10,0,INT(($A59-'SLOT_RULES'!$D$10-1)/'SLOT_RULES'!$E$10)+1)*'SLOT_RULES'!$E$10</x:f>
        <x:v>46329</x:v>
      </x:c>
      <x:c r="L59" s="156" t="n">
        <x:f>'SLOT_RULES'!$D$11+IF($A59&lt;='SLOT_RULES'!$D$11,0,INT(($A59-'SLOT_RULES'!$D$11-1)/'SLOT_RULES'!$E$11)+1)*'SLOT_RULES'!$E$11</x:f>
        <x:v>46336</x:v>
      </x:c>
      <x:c r="M59" s="156" t="n">
        <x:f>'SLOT_RULES'!$D$12+IF($A59&lt;='SLOT_RULES'!$D$12,0,INT(($A59-'SLOT_RULES'!$D$12-1)/'SLOT_RULES'!$E$12)+1)*'SLOT_RULES'!$E$12</x:f>
        <x:v>46341</x:v>
      </x:c>
      <x:c r="N59" s="156" t="n">
        <x:f>'SLOT_RULES'!$D$13+IF($A59&lt;='SLOT_RULES'!$D$13,0,INT(($A59-'SLOT_RULES'!$D$13-1)/'SLOT_RULES'!$E$13)+1)*'SLOT_RULES'!$E$13</x:f>
        <x:v>46391</x:v>
      </x:c>
      <x:c r="O59" s="156" t="n">
        <x:f>'SLOT_RULES'!$D$14+IF($A59&lt;='SLOT_RULES'!$D$14,0,INT(($A59-'SLOT_RULES'!$D$14-1)/'SLOT_RULES'!$E$14)+1)*'SLOT_RULES'!$E$14</x:f>
        <x:v>46350</x:v>
      </x:c>
      <x:c r="P59" s="156" t="n">
        <x:f>'SLOT_RULES'!$D$15+IF($A59&lt;='SLOT_RULES'!$D$15,0,INT(($A59-'SLOT_RULES'!$D$15-1)/'SLOT_RULES'!$E$15)+1)*'SLOT_RULES'!$E$15</x:f>
        <x:v>46422</x:v>
      </x:c>
      <x:c r="Q59" s="158" t="n">
        <x:f>MIN(E59:P59)-A59</x:f>
        <x:v>3</x:v>
      </x:c>
      <x:c r="R59" s="158" t="n">
        <x:f>MAX(E59:P59)-A59</x:f>
        <x:v>100</x:v>
      </x:c>
      <x:c r="S59" s="86" t="str">
        <x:f>IF(AND(COUNT(E59:P59)=10,MIN(E59:P59)&gt;=A59),"PASS","FAIL")</x:f>
        <x:v>PASS</x:v>
      </x:c>
      <x:c r="T59" s="86" t="str">
        <x: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x:f>
        <x:v>PASS</x:v>
      </x:c>
      <x:c r="U59" s="86" t="str">
        <x: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x:f>
        <x:v>PASS</x:v>
      </x:c>
      <x:c r="V59" s="86" t="str">
        <x: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x:f>
        <x:v>PASS</x:v>
      </x:c>
      <x:c r="W59" s="87" t="str">
        <x:f>'CRAWL_LOG'!B59</x:f>
        <x:v>Chưa chạy</x:v>
      </x:c>
      <x:c r="X59" s="95" t="inlineStr">
        <x:is>
          <x:t xml:space="preserve">10-slot panel: 7 near + 3 far; AN2/AN3 inactive from 03/09</x:t>
        </x:is>
      </x:c>
    </x:row>
    <x:row r="60">
      <x:c r="A60" s="155" t="n">
        <x:v>46323</x:v>
      </x:c>
      <x:c r="B60" s="83" t="inlineStr">
        <x:is>
          <x:t xml:space="preserve">Thứ Tư</x:t>
        </x:is>
      </x:c>
      <x:c r="C60" s="83" t="inlineStr">
        <x:is>
          <x:t xml:space="preserve">Official</x:t>
        </x:is>
      </x:c>
      <x:c r="D60" s="83" t="inlineStr">
        <x:is>
          <x:t xml:space="preserve">00:30</x:t>
        </x:is>
      </x:c>
      <x:c r="E60" s="156" t="n">
        <x:f>'SLOT_RULES'!$D$4+IF($A60&lt;='SLOT_RULES'!$D$4,0,INT(($A60-'SLOT_RULES'!$D$4-1)/'SLOT_RULES'!$E$4)+1)*'SLOT_RULES'!$E$4</x:f>
        <x:v>46325</x:v>
      </x:c>
      <x:c r="F60" s="157" t="n"/>
      <x:c r="G60" s="157" t="n"/>
      <x:c r="H60" s="156" t="n">
        <x:f>'SLOT_RULES'!$D$7+IF($A60&lt;='SLOT_RULES'!$D$7,0,INT(($A60-'SLOT_RULES'!$D$7-1)/'SLOT_RULES'!$E$7)+1)*'SLOT_RULES'!$E$7</x:f>
        <x:v>46346</x:v>
      </x:c>
      <x:c r="I60" s="156" t="n">
        <x:f>'SLOT_RULES'!$D$8+IF($A60&lt;='SLOT_RULES'!$D$8,0,INT(($A60-'SLOT_RULES'!$D$8-1)/'SLOT_RULES'!$E$8)+1)*'SLOT_RULES'!$E$8</x:f>
        <x:v>46328</x:v>
      </x:c>
      <x:c r="J60" s="156" t="n">
        <x:f>'SLOT_RULES'!$D$9+IF($A60&lt;='SLOT_RULES'!$D$9,0,INT(($A60-'SLOT_RULES'!$D$9-1)/'SLOT_RULES'!$E$9)+1)*'SLOT_RULES'!$E$9</x:f>
        <x:v>46342</x:v>
      </x:c>
      <x:c r="K60" s="156" t="n">
        <x:f>'SLOT_RULES'!$D$10+IF($A60&lt;='SLOT_RULES'!$D$10,0,INT(($A60-'SLOT_RULES'!$D$10-1)/'SLOT_RULES'!$E$10)+1)*'SLOT_RULES'!$E$10</x:f>
        <x:v>46329</x:v>
      </x:c>
      <x:c r="L60" s="156" t="n">
        <x:f>'SLOT_RULES'!$D$11+IF($A60&lt;='SLOT_RULES'!$D$11,0,INT(($A60-'SLOT_RULES'!$D$11-1)/'SLOT_RULES'!$E$11)+1)*'SLOT_RULES'!$E$11</x:f>
        <x:v>46336</x:v>
      </x:c>
      <x:c r="M60" s="156" t="n">
        <x:f>'SLOT_RULES'!$D$12+IF($A60&lt;='SLOT_RULES'!$D$12,0,INT(($A60-'SLOT_RULES'!$D$12-1)/'SLOT_RULES'!$E$12)+1)*'SLOT_RULES'!$E$12</x:f>
        <x:v>46341</x:v>
      </x:c>
      <x:c r="N60" s="156" t="n">
        <x:f>'SLOT_RULES'!$D$13+IF($A60&lt;='SLOT_RULES'!$D$13,0,INT(($A60-'SLOT_RULES'!$D$13-1)/'SLOT_RULES'!$E$13)+1)*'SLOT_RULES'!$E$13</x:f>
        <x:v>46391</x:v>
      </x:c>
      <x:c r="O60" s="156" t="n">
        <x:f>'SLOT_RULES'!$D$14+IF($A60&lt;='SLOT_RULES'!$D$14,0,INT(($A60-'SLOT_RULES'!$D$14-1)/'SLOT_RULES'!$E$14)+1)*'SLOT_RULES'!$E$14</x:f>
        <x:v>46350</x:v>
      </x:c>
      <x:c r="P60" s="156" t="n">
        <x:f>'SLOT_RULES'!$D$15+IF($A60&lt;='SLOT_RULES'!$D$15,0,INT(($A60-'SLOT_RULES'!$D$15-1)/'SLOT_RULES'!$E$15)+1)*'SLOT_RULES'!$E$15</x:f>
        <x:v>46422</x:v>
      </x:c>
      <x:c r="Q60" s="158" t="n">
        <x:f>MIN(E60:P60)-A60</x:f>
        <x:v>2</x:v>
      </x:c>
      <x:c r="R60" s="158" t="n">
        <x:f>MAX(E60:P60)-A60</x:f>
        <x:v>99</x:v>
      </x:c>
      <x:c r="S60" s="86" t="str">
        <x:f>IF(AND(COUNT(E60:P60)=10,MIN(E60:P60)&gt;=A60),"PASS","FAIL")</x:f>
        <x:v>PASS</x:v>
      </x:c>
      <x:c r="T60" s="86" t="str">
        <x: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x:f>
        <x:v>PASS</x:v>
      </x:c>
      <x:c r="U60" s="86" t="str">
        <x: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x:f>
        <x:v>PASS</x:v>
      </x:c>
      <x:c r="V60" s="86" t="str">
        <x: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x:f>
        <x:v>PASS</x:v>
      </x:c>
      <x:c r="W60" s="87" t="str">
        <x:f>'CRAWL_LOG'!B60</x:f>
        <x:v>Chưa chạy</x:v>
      </x:c>
      <x:c r="X60" s="95" t="inlineStr">
        <x:is>
          <x:t xml:space="preserve">10-slot panel: 7 near + 3 far; AN2/AN3 inactive from 03/09</x:t>
        </x:is>
      </x:c>
    </x:row>
    <x:row r="61">
      <x:c r="A61" s="155" t="n">
        <x:v>46324</x:v>
      </x:c>
      <x:c r="B61" s="83" t="inlineStr">
        <x:is>
          <x:t xml:space="preserve">Thứ Năm</x:t>
        </x:is>
      </x:c>
      <x:c r="C61" s="83" t="inlineStr">
        <x:is>
          <x:t xml:space="preserve">Official</x:t>
        </x:is>
      </x:c>
      <x:c r="D61" s="83" t="inlineStr">
        <x:is>
          <x:t xml:space="preserve">00:30</x:t>
        </x:is>
      </x:c>
      <x:c r="E61" s="156" t="n">
        <x:f>'SLOT_RULES'!$D$4+IF($A61&lt;='SLOT_RULES'!$D$4,0,INT(($A61-'SLOT_RULES'!$D$4-1)/'SLOT_RULES'!$E$4)+1)*'SLOT_RULES'!$E$4</x:f>
        <x:v>46325</x:v>
      </x:c>
      <x:c r="F61" s="157" t="n"/>
      <x:c r="G61" s="157" t="n"/>
      <x:c r="H61" s="156" t="n">
        <x:f>'SLOT_RULES'!$D$7+IF($A61&lt;='SLOT_RULES'!$D$7,0,INT(($A61-'SLOT_RULES'!$D$7-1)/'SLOT_RULES'!$E$7)+1)*'SLOT_RULES'!$E$7</x:f>
        <x:v>46346</x:v>
      </x:c>
      <x:c r="I61" s="156" t="n">
        <x:f>'SLOT_RULES'!$D$8+IF($A61&lt;='SLOT_RULES'!$D$8,0,INT(($A61-'SLOT_RULES'!$D$8-1)/'SLOT_RULES'!$E$8)+1)*'SLOT_RULES'!$E$8</x:f>
        <x:v>46328</x:v>
      </x:c>
      <x:c r="J61" s="156" t="n">
        <x:f>'SLOT_RULES'!$D$9+IF($A61&lt;='SLOT_RULES'!$D$9,0,INT(($A61-'SLOT_RULES'!$D$9-1)/'SLOT_RULES'!$E$9)+1)*'SLOT_RULES'!$E$9</x:f>
        <x:v>46342</x:v>
      </x:c>
      <x:c r="K61" s="156" t="n">
        <x:f>'SLOT_RULES'!$D$10+IF($A61&lt;='SLOT_RULES'!$D$10,0,INT(($A61-'SLOT_RULES'!$D$10-1)/'SLOT_RULES'!$E$10)+1)*'SLOT_RULES'!$E$10</x:f>
        <x:v>46329</x:v>
      </x:c>
      <x:c r="L61" s="156" t="n">
        <x:f>'SLOT_RULES'!$D$11+IF($A61&lt;='SLOT_RULES'!$D$11,0,INT(($A61-'SLOT_RULES'!$D$11-1)/'SLOT_RULES'!$E$11)+1)*'SLOT_RULES'!$E$11</x:f>
        <x:v>46336</x:v>
      </x:c>
      <x:c r="M61" s="156" t="n">
        <x:f>'SLOT_RULES'!$D$12+IF($A61&lt;='SLOT_RULES'!$D$12,0,INT(($A61-'SLOT_RULES'!$D$12-1)/'SLOT_RULES'!$E$12)+1)*'SLOT_RULES'!$E$12</x:f>
        <x:v>46341</x:v>
      </x:c>
      <x:c r="N61" s="156" t="n">
        <x:f>'SLOT_RULES'!$D$13+IF($A61&lt;='SLOT_RULES'!$D$13,0,INT(($A61-'SLOT_RULES'!$D$13-1)/'SLOT_RULES'!$E$13)+1)*'SLOT_RULES'!$E$13</x:f>
        <x:v>46391</x:v>
      </x:c>
      <x:c r="O61" s="156" t="n">
        <x:f>'SLOT_RULES'!$D$14+IF($A61&lt;='SLOT_RULES'!$D$14,0,INT(($A61-'SLOT_RULES'!$D$14-1)/'SLOT_RULES'!$E$14)+1)*'SLOT_RULES'!$E$14</x:f>
        <x:v>46350</x:v>
      </x:c>
      <x:c r="P61" s="156" t="n">
        <x:f>'SLOT_RULES'!$D$15+IF($A61&lt;='SLOT_RULES'!$D$15,0,INT(($A61-'SLOT_RULES'!$D$15-1)/'SLOT_RULES'!$E$15)+1)*'SLOT_RULES'!$E$15</x:f>
        <x:v>46422</x:v>
      </x:c>
      <x:c r="Q61" s="158" t="n">
        <x:f>MIN(E61:P61)-A61</x:f>
        <x:v>1</x:v>
      </x:c>
      <x:c r="R61" s="158" t="n">
        <x:f>MAX(E61:P61)-A61</x:f>
        <x:v>98</x:v>
      </x:c>
      <x:c r="S61" s="86" t="str">
        <x:f>IF(AND(COUNT(E61:P61)=10,MIN(E61:P61)&gt;=A61),"PASS","FAIL")</x:f>
        <x:v>PASS</x:v>
      </x:c>
      <x:c r="T61" s="86" t="str">
        <x: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x:f>
        <x:v>PASS</x:v>
      </x:c>
      <x:c r="U61" s="86" t="str">
        <x: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x:f>
        <x:v>PASS</x:v>
      </x:c>
      <x:c r="V61" s="86" t="str">
        <x: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x:f>
        <x:v>PASS</x:v>
      </x:c>
      <x:c r="W61" s="87" t="str">
        <x:f>'CRAWL_LOG'!B61</x:f>
        <x:v>Chưa chạy</x:v>
      </x:c>
      <x:c r="X61" s="95" t="inlineStr">
        <x:is>
          <x:t xml:space="preserve">10-slot panel: 7 near + 3 far; AN2/AN3 inactive from 03/09</x:t>
        </x:is>
      </x:c>
    </x:row>
    <x:row r="62">
      <x:c r="A62" s="155" t="n">
        <x:v>46325</x:v>
      </x:c>
      <x:c r="B62" s="83" t="inlineStr">
        <x:is>
          <x:t xml:space="preserve">Thứ Sáu</x:t>
        </x:is>
      </x:c>
      <x:c r="C62" s="83" t="inlineStr">
        <x:is>
          <x:t xml:space="preserve">Official</x:t>
        </x:is>
      </x:c>
      <x:c r="D62" s="83" t="inlineStr">
        <x:is>
          <x:t xml:space="preserve">00:30</x:t>
        </x:is>
      </x:c>
      <x:c r="E62" s="156" t="n">
        <x:f>'SLOT_RULES'!$D$4+IF($A62&lt;='SLOT_RULES'!$D$4,0,INT(($A62-'SLOT_RULES'!$D$4-1)/'SLOT_RULES'!$E$4)+1)*'SLOT_RULES'!$E$4</x:f>
        <x:v>46325</x:v>
      </x:c>
      <x:c r="F62" s="157" t="n"/>
      <x:c r="G62" s="157" t="n"/>
      <x:c r="H62" s="156" t="n">
        <x:f>'SLOT_RULES'!$D$7+IF($A62&lt;='SLOT_RULES'!$D$7,0,INT(($A62-'SLOT_RULES'!$D$7-1)/'SLOT_RULES'!$E$7)+1)*'SLOT_RULES'!$E$7</x:f>
        <x:v>46346</x:v>
      </x:c>
      <x:c r="I62" s="156" t="n">
        <x:f>'SLOT_RULES'!$D$8+IF($A62&lt;='SLOT_RULES'!$D$8,0,INT(($A62-'SLOT_RULES'!$D$8-1)/'SLOT_RULES'!$E$8)+1)*'SLOT_RULES'!$E$8</x:f>
        <x:v>46328</x:v>
      </x:c>
      <x:c r="J62" s="156" t="n">
        <x:f>'SLOT_RULES'!$D$9+IF($A62&lt;='SLOT_RULES'!$D$9,0,INT(($A62-'SLOT_RULES'!$D$9-1)/'SLOT_RULES'!$E$9)+1)*'SLOT_RULES'!$E$9</x:f>
        <x:v>46342</x:v>
      </x:c>
      <x:c r="K62" s="156" t="n">
        <x:f>'SLOT_RULES'!$D$10+IF($A62&lt;='SLOT_RULES'!$D$10,0,INT(($A62-'SLOT_RULES'!$D$10-1)/'SLOT_RULES'!$E$10)+1)*'SLOT_RULES'!$E$10</x:f>
        <x:v>46329</x:v>
      </x:c>
      <x:c r="L62" s="156" t="n">
        <x:f>'SLOT_RULES'!$D$11+IF($A62&lt;='SLOT_RULES'!$D$11,0,INT(($A62-'SLOT_RULES'!$D$11-1)/'SLOT_RULES'!$E$11)+1)*'SLOT_RULES'!$E$11</x:f>
        <x:v>46336</x:v>
      </x:c>
      <x:c r="M62" s="156" t="n">
        <x:f>'SLOT_RULES'!$D$12+IF($A62&lt;='SLOT_RULES'!$D$12,0,INT(($A62-'SLOT_RULES'!$D$12-1)/'SLOT_RULES'!$E$12)+1)*'SLOT_RULES'!$E$12</x:f>
        <x:v>46341</x:v>
      </x:c>
      <x:c r="N62" s="156" t="n">
        <x:f>'SLOT_RULES'!$D$13+IF($A62&lt;='SLOT_RULES'!$D$13,0,INT(($A62-'SLOT_RULES'!$D$13-1)/'SLOT_RULES'!$E$13)+1)*'SLOT_RULES'!$E$13</x:f>
        <x:v>46391</x:v>
      </x:c>
      <x:c r="O62" s="156" t="n">
        <x:f>'SLOT_RULES'!$D$14+IF($A62&lt;='SLOT_RULES'!$D$14,0,INT(($A62-'SLOT_RULES'!$D$14-1)/'SLOT_RULES'!$E$14)+1)*'SLOT_RULES'!$E$14</x:f>
        <x:v>46350</x:v>
      </x:c>
      <x:c r="P62" s="156" t="n">
        <x:f>'SLOT_RULES'!$D$15+IF($A62&lt;='SLOT_RULES'!$D$15,0,INT(($A62-'SLOT_RULES'!$D$15-1)/'SLOT_RULES'!$E$15)+1)*'SLOT_RULES'!$E$15</x:f>
        <x:v>46422</x:v>
      </x:c>
      <x:c r="Q62" s="158" t="n">
        <x:f>MIN(E62:P62)-A62</x:f>
        <x:v>0</x:v>
      </x:c>
      <x:c r="R62" s="158" t="n">
        <x:f>MAX(E62:P62)-A62</x:f>
        <x:v>97</x:v>
      </x:c>
      <x:c r="S62" s="86" t="str">
        <x:f>IF(AND(COUNT(E62:P62)=10,MIN(E62:P62)&gt;=A62),"PASS","FAIL")</x:f>
        <x:v>PASS</x:v>
      </x:c>
      <x:c r="T62" s="86" t="str">
        <x: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x:f>
        <x:v>PASS</x:v>
      </x:c>
      <x:c r="U62" s="86" t="str">
        <x: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x:f>
        <x:v>PASS</x:v>
      </x:c>
      <x:c r="V62" s="86" t="str">
        <x: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x:f>
        <x:v>PASS</x:v>
      </x:c>
      <x:c r="W62" s="87" t="str">
        <x:f>'CRAWL_LOG'!B62</x:f>
        <x:v>Chưa chạy</x:v>
      </x:c>
      <x:c r="X62" s="95" t="inlineStr">
        <x:is>
          <x:t xml:space="preserve">10-slot panel: 7 near + 3 far; AN2/AN3 inactive from 03/09</x:t>
        </x:is>
      </x:c>
    </x:row>
    <x:row r="63">
      <x:c r="A63" s="155" t="n">
        <x:v>46326</x:v>
      </x:c>
      <x:c r="B63" s="83" t="inlineStr">
        <x:is>
          <x:t xml:space="preserve">Thứ Bảy</x:t>
        </x:is>
      </x:c>
      <x:c r="C63" s="83" t="inlineStr">
        <x:is>
          <x:t xml:space="preserve">Official</x:t>
        </x:is>
      </x:c>
      <x:c r="D63" s="83" t="inlineStr">
        <x:is>
          <x:t xml:space="preserve">00:30</x:t>
        </x:is>
      </x:c>
      <x:c r="E63" s="156" t="n">
        <x:f>'SLOT_RULES'!$D$4+IF($A63&lt;='SLOT_RULES'!$D$4,0,INT(($A63-'SLOT_RULES'!$D$4-1)/'SLOT_RULES'!$E$4)+1)*'SLOT_RULES'!$E$4</x:f>
        <x:v>46353</x:v>
      </x:c>
      <x:c r="F63" s="157" t="n"/>
      <x:c r="G63" s="157" t="n"/>
      <x:c r="H63" s="156" t="n">
        <x:f>'SLOT_RULES'!$D$7+IF($A63&lt;='SLOT_RULES'!$D$7,0,INT(($A63-'SLOT_RULES'!$D$7-1)/'SLOT_RULES'!$E$7)+1)*'SLOT_RULES'!$E$7</x:f>
        <x:v>46346</x:v>
      </x:c>
      <x:c r="I63" s="156" t="n">
        <x:f>'SLOT_RULES'!$D$8+IF($A63&lt;='SLOT_RULES'!$D$8,0,INT(($A63-'SLOT_RULES'!$D$8-1)/'SLOT_RULES'!$E$8)+1)*'SLOT_RULES'!$E$8</x:f>
        <x:v>46328</x:v>
      </x:c>
      <x:c r="J63" s="156" t="n">
        <x:f>'SLOT_RULES'!$D$9+IF($A63&lt;='SLOT_RULES'!$D$9,0,INT(($A63-'SLOT_RULES'!$D$9-1)/'SLOT_RULES'!$E$9)+1)*'SLOT_RULES'!$E$9</x:f>
        <x:v>46342</x:v>
      </x:c>
      <x:c r="K63" s="156" t="n">
        <x:f>'SLOT_RULES'!$D$10+IF($A63&lt;='SLOT_RULES'!$D$10,0,INT(($A63-'SLOT_RULES'!$D$10-1)/'SLOT_RULES'!$E$10)+1)*'SLOT_RULES'!$E$10</x:f>
        <x:v>46329</x:v>
      </x:c>
      <x:c r="L63" s="156" t="n">
        <x:f>'SLOT_RULES'!$D$11+IF($A63&lt;='SLOT_RULES'!$D$11,0,INT(($A63-'SLOT_RULES'!$D$11-1)/'SLOT_RULES'!$E$11)+1)*'SLOT_RULES'!$E$11</x:f>
        <x:v>46336</x:v>
      </x:c>
      <x:c r="M63" s="156" t="n">
        <x:f>'SLOT_RULES'!$D$12+IF($A63&lt;='SLOT_RULES'!$D$12,0,INT(($A63-'SLOT_RULES'!$D$12-1)/'SLOT_RULES'!$E$12)+1)*'SLOT_RULES'!$E$12</x:f>
        <x:v>46341</x:v>
      </x:c>
      <x:c r="N63" s="156" t="n">
        <x:f>'SLOT_RULES'!$D$13+IF($A63&lt;='SLOT_RULES'!$D$13,0,INT(($A63-'SLOT_RULES'!$D$13-1)/'SLOT_RULES'!$E$13)+1)*'SLOT_RULES'!$E$13</x:f>
        <x:v>46391</x:v>
      </x:c>
      <x:c r="O63" s="156" t="n">
        <x:f>'SLOT_RULES'!$D$14+IF($A63&lt;='SLOT_RULES'!$D$14,0,INT(($A63-'SLOT_RULES'!$D$14-1)/'SLOT_RULES'!$E$14)+1)*'SLOT_RULES'!$E$14</x:f>
        <x:v>46350</x:v>
      </x:c>
      <x:c r="P63" s="156" t="n">
        <x:f>'SLOT_RULES'!$D$15+IF($A63&lt;='SLOT_RULES'!$D$15,0,INT(($A63-'SLOT_RULES'!$D$15-1)/'SLOT_RULES'!$E$15)+1)*'SLOT_RULES'!$E$15</x:f>
        <x:v>46422</x:v>
      </x:c>
      <x:c r="Q63" s="158" t="n">
        <x:f>MIN(E63:P63)-A63</x:f>
        <x:v>2</x:v>
      </x:c>
      <x:c r="R63" s="158" t="n">
        <x:f>MAX(E63:P63)-A63</x:f>
        <x:v>96</x:v>
      </x:c>
      <x:c r="S63" s="86" t="str">
        <x:f>IF(AND(COUNT(E63:P63)=10,MIN(E63:P63)&gt;=A63),"PASS","FAIL")</x:f>
        <x:v>PASS</x:v>
      </x:c>
      <x:c r="T63" s="86" t="str">
        <x: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x:f>
        <x:v>PASS</x:v>
      </x:c>
      <x:c r="U63" s="86" t="str">
        <x: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x:f>
        <x:v>PASS</x:v>
      </x:c>
      <x:c r="V63" s="86" t="str">
        <x: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x:f>
        <x:v>PASS</x:v>
      </x:c>
      <x:c r="W63" s="87" t="str">
        <x:f>'CRAWL_LOG'!B63</x:f>
        <x:v>Chưa chạy</x:v>
      </x:c>
      <x:c r="X63" s="95" t="inlineStr">
        <x:is>
          <x:t xml:space="preserve">10-slot panel: 7 near + 3 far; AN2/AN3 inactive from 03/09</x:t>
        </x:is>
      </x:c>
    </x:row>
    <x:row r="64">
      <x:c r="A64" s="155" t="n">
        <x:v>46327</x:v>
      </x:c>
      <x:c r="B64" s="83" t="inlineStr">
        <x:is>
          <x:t xml:space="preserve">Chủ Nhật</x:t>
        </x:is>
      </x:c>
      <x:c r="C64" s="83" t="inlineStr">
        <x:is>
          <x:t xml:space="preserve">Official</x:t>
        </x:is>
      </x:c>
      <x:c r="D64" s="83" t="inlineStr">
        <x:is>
          <x:t xml:space="preserve">00:30</x:t>
        </x:is>
      </x:c>
      <x:c r="E64" s="156" t="n">
        <x:f>'SLOT_RULES'!$D$4+IF($A64&lt;='SLOT_RULES'!$D$4,0,INT(($A64-'SLOT_RULES'!$D$4-1)/'SLOT_RULES'!$E$4)+1)*'SLOT_RULES'!$E$4</x:f>
        <x:v>46353</x:v>
      </x:c>
      <x:c r="F64" s="157" t="n"/>
      <x:c r="G64" s="157" t="n"/>
      <x:c r="H64" s="156" t="n">
        <x:f>'SLOT_RULES'!$D$7+IF($A64&lt;='SLOT_RULES'!$D$7,0,INT(($A64-'SLOT_RULES'!$D$7-1)/'SLOT_RULES'!$E$7)+1)*'SLOT_RULES'!$E$7</x:f>
        <x:v>46346</x:v>
      </x:c>
      <x:c r="I64" s="156" t="n">
        <x:f>'SLOT_RULES'!$D$8+IF($A64&lt;='SLOT_RULES'!$D$8,0,INT(($A64-'SLOT_RULES'!$D$8-1)/'SLOT_RULES'!$E$8)+1)*'SLOT_RULES'!$E$8</x:f>
        <x:v>46328</x:v>
      </x:c>
      <x:c r="J64" s="156" t="n">
        <x:f>'SLOT_RULES'!$D$9+IF($A64&lt;='SLOT_RULES'!$D$9,0,INT(($A64-'SLOT_RULES'!$D$9-1)/'SLOT_RULES'!$E$9)+1)*'SLOT_RULES'!$E$9</x:f>
        <x:v>46342</x:v>
      </x:c>
      <x:c r="K64" s="156" t="n">
        <x:f>'SLOT_RULES'!$D$10+IF($A64&lt;='SLOT_RULES'!$D$10,0,INT(($A64-'SLOT_RULES'!$D$10-1)/'SLOT_RULES'!$E$10)+1)*'SLOT_RULES'!$E$10</x:f>
        <x:v>46329</x:v>
      </x:c>
      <x:c r="L64" s="156" t="n">
        <x:f>'SLOT_RULES'!$D$11+IF($A64&lt;='SLOT_RULES'!$D$11,0,INT(($A64-'SLOT_RULES'!$D$11-1)/'SLOT_RULES'!$E$11)+1)*'SLOT_RULES'!$E$11</x:f>
        <x:v>46336</x:v>
      </x:c>
      <x:c r="M64" s="156" t="n">
        <x:f>'SLOT_RULES'!$D$12+IF($A64&lt;='SLOT_RULES'!$D$12,0,INT(($A64-'SLOT_RULES'!$D$12-1)/'SLOT_RULES'!$E$12)+1)*'SLOT_RULES'!$E$12</x:f>
        <x:v>46341</x:v>
      </x:c>
      <x:c r="N64" s="156" t="n">
        <x:f>'SLOT_RULES'!$D$13+IF($A64&lt;='SLOT_RULES'!$D$13,0,INT(($A64-'SLOT_RULES'!$D$13-1)/'SLOT_RULES'!$E$13)+1)*'SLOT_RULES'!$E$13</x:f>
        <x:v>46391</x:v>
      </x:c>
      <x:c r="O64" s="156" t="n">
        <x:f>'SLOT_RULES'!$D$14+IF($A64&lt;='SLOT_RULES'!$D$14,0,INT(($A64-'SLOT_RULES'!$D$14-1)/'SLOT_RULES'!$E$14)+1)*'SLOT_RULES'!$E$14</x:f>
        <x:v>46350</x:v>
      </x:c>
      <x:c r="P64" s="156" t="n">
        <x:f>'SLOT_RULES'!$D$15+IF($A64&lt;='SLOT_RULES'!$D$15,0,INT(($A64-'SLOT_RULES'!$D$15-1)/'SLOT_RULES'!$E$15)+1)*'SLOT_RULES'!$E$15</x:f>
        <x:v>46422</x:v>
      </x:c>
      <x:c r="Q64" s="158" t="n">
        <x:f>MIN(E64:P64)-A64</x:f>
        <x:v>1</x:v>
      </x:c>
      <x:c r="R64" s="158" t="n">
        <x:f>MAX(E64:P64)-A64</x:f>
        <x:v>95</x:v>
      </x:c>
      <x:c r="S64" s="86" t="str">
        <x:f>IF(AND(COUNT(E64:P64)=10,MIN(E64:P64)&gt;=A64),"PASS","FAIL")</x:f>
        <x:v>PASS</x:v>
      </x:c>
      <x:c r="T64" s="86" t="str">
        <x: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x:f>
        <x:v>PASS</x:v>
      </x:c>
      <x:c r="U64" s="86" t="str">
        <x: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x:f>
        <x:v>PASS</x:v>
      </x:c>
      <x:c r="V64" s="86" t="str">
        <x: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x:f>
        <x:v>PASS</x:v>
      </x:c>
      <x:c r="W64" s="87" t="str">
        <x:f>'CRAWL_LOG'!B64</x:f>
        <x:v>Chưa chạy</x:v>
      </x:c>
      <x:c r="X64" s="95" t="inlineStr">
        <x:is>
          <x:t xml:space="preserve">10-slot panel: 7 near + 3 far; AN2/AN3 inactive from 03/09</x:t>
        </x:is>
      </x:c>
    </x:row>
    <x:row r="65">
      <x:c r="A65" s="155" t="n">
        <x:v>46328</x:v>
      </x:c>
      <x:c r="B65" s="83" t="inlineStr">
        <x:is>
          <x:t xml:space="preserve">Thứ Hai</x:t>
        </x:is>
      </x:c>
      <x:c r="C65" s="83" t="inlineStr">
        <x:is>
          <x:t xml:space="preserve">Official</x:t>
        </x:is>
      </x:c>
      <x:c r="D65" s="83" t="inlineStr">
        <x:is>
          <x:t xml:space="preserve">00:30</x:t>
        </x:is>
      </x:c>
      <x:c r="E65" s="156" t="n">
        <x:f>'SLOT_RULES'!$D$4+IF($A65&lt;='SLOT_RULES'!$D$4,0,INT(($A65-'SLOT_RULES'!$D$4-1)/'SLOT_RULES'!$E$4)+1)*'SLOT_RULES'!$E$4</x:f>
        <x:v>46353</x:v>
      </x:c>
      <x:c r="F65" s="157" t="n"/>
      <x:c r="G65" s="157" t="n"/>
      <x:c r="H65" s="156" t="n">
        <x:f>'SLOT_RULES'!$D$7+IF($A65&lt;='SLOT_RULES'!$D$7,0,INT(($A65-'SLOT_RULES'!$D$7-1)/'SLOT_RULES'!$E$7)+1)*'SLOT_RULES'!$E$7</x:f>
        <x:v>46346</x:v>
      </x:c>
      <x:c r="I65" s="156" t="n">
        <x:f>'SLOT_RULES'!$D$8+IF($A65&lt;='SLOT_RULES'!$D$8,0,INT(($A65-'SLOT_RULES'!$D$8-1)/'SLOT_RULES'!$E$8)+1)*'SLOT_RULES'!$E$8</x:f>
        <x:v>46328</x:v>
      </x:c>
      <x:c r="J65" s="156" t="n">
        <x:f>'SLOT_RULES'!$D$9+IF($A65&lt;='SLOT_RULES'!$D$9,0,INT(($A65-'SLOT_RULES'!$D$9-1)/'SLOT_RULES'!$E$9)+1)*'SLOT_RULES'!$E$9</x:f>
        <x:v>46342</x:v>
      </x:c>
      <x:c r="K65" s="156" t="n">
        <x:f>'SLOT_RULES'!$D$10+IF($A65&lt;='SLOT_RULES'!$D$10,0,INT(($A65-'SLOT_RULES'!$D$10-1)/'SLOT_RULES'!$E$10)+1)*'SLOT_RULES'!$E$10</x:f>
        <x:v>46329</x:v>
      </x:c>
      <x:c r="L65" s="156" t="n">
        <x:f>'SLOT_RULES'!$D$11+IF($A65&lt;='SLOT_RULES'!$D$11,0,INT(($A65-'SLOT_RULES'!$D$11-1)/'SLOT_RULES'!$E$11)+1)*'SLOT_RULES'!$E$11</x:f>
        <x:v>46336</x:v>
      </x:c>
      <x:c r="M65" s="156" t="n">
        <x:f>'SLOT_RULES'!$D$12+IF($A65&lt;='SLOT_RULES'!$D$12,0,INT(($A65-'SLOT_RULES'!$D$12-1)/'SLOT_RULES'!$E$12)+1)*'SLOT_RULES'!$E$12</x:f>
        <x:v>46341</x:v>
      </x:c>
      <x:c r="N65" s="156" t="n">
        <x:f>'SLOT_RULES'!$D$13+IF($A65&lt;='SLOT_RULES'!$D$13,0,INT(($A65-'SLOT_RULES'!$D$13-1)/'SLOT_RULES'!$E$13)+1)*'SLOT_RULES'!$E$13</x:f>
        <x:v>46391</x:v>
      </x:c>
      <x:c r="O65" s="156" t="n">
        <x:f>'SLOT_RULES'!$D$14+IF($A65&lt;='SLOT_RULES'!$D$14,0,INT(($A65-'SLOT_RULES'!$D$14-1)/'SLOT_RULES'!$E$14)+1)*'SLOT_RULES'!$E$14</x:f>
        <x:v>46350</x:v>
      </x:c>
      <x:c r="P65" s="156" t="n">
        <x:f>'SLOT_RULES'!$D$15+IF($A65&lt;='SLOT_RULES'!$D$15,0,INT(($A65-'SLOT_RULES'!$D$15-1)/'SLOT_RULES'!$E$15)+1)*'SLOT_RULES'!$E$15</x:f>
        <x:v>46422</x:v>
      </x:c>
      <x:c r="Q65" s="158" t="n">
        <x:f>MIN(E65:P65)-A65</x:f>
        <x:v>0</x:v>
      </x:c>
      <x:c r="R65" s="158" t="n">
        <x:f>MAX(E65:P65)-A65</x:f>
        <x:v>94</x:v>
      </x:c>
      <x:c r="S65" s="86" t="str">
        <x:f>IF(AND(COUNT(E65:P65)=10,MIN(E65:P65)&gt;=A65),"PASS","FAIL")</x:f>
        <x:v>PASS</x:v>
      </x:c>
      <x:c r="T65" s="86" t="str">
        <x: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x:f>
        <x:v>PASS</x:v>
      </x:c>
      <x:c r="U65" s="86" t="str">
        <x: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x:f>
        <x:v>PASS</x:v>
      </x:c>
      <x:c r="V65" s="86" t="str">
        <x: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x:f>
        <x:v>PASS</x:v>
      </x:c>
      <x:c r="W65" s="87" t="str">
        <x:f>'CRAWL_LOG'!B65</x:f>
        <x:v>Chưa chạy</x:v>
      </x:c>
      <x:c r="X65" s="95" t="inlineStr">
        <x:is>
          <x:t xml:space="preserve">10-slot panel: 7 near + 3 far; AN2/AN3 inactive from 03/09</x:t>
        </x:is>
      </x:c>
    </x:row>
    <x:row r="66">
      <x:c r="A66" s="155" t="n">
        <x:v>46329</x:v>
      </x:c>
      <x:c r="B66" s="83" t="inlineStr">
        <x:is>
          <x:t xml:space="preserve">Thứ Ba</x:t>
        </x:is>
      </x:c>
      <x:c r="C66" s="83" t="inlineStr">
        <x:is>
          <x:t xml:space="preserve">Official</x:t>
        </x:is>
      </x:c>
      <x:c r="D66" s="83" t="inlineStr">
        <x:is>
          <x:t xml:space="preserve">00:30</x:t>
        </x:is>
      </x:c>
      <x:c r="E66" s="156" t="n">
        <x:f>'SLOT_RULES'!$D$4+IF($A66&lt;='SLOT_RULES'!$D$4,0,INT(($A66-'SLOT_RULES'!$D$4-1)/'SLOT_RULES'!$E$4)+1)*'SLOT_RULES'!$E$4</x:f>
        <x:v>46353</x:v>
      </x:c>
      <x:c r="F66" s="157" t="n"/>
      <x:c r="G66" s="157" t="n"/>
      <x:c r="H66" s="156" t="n">
        <x:f>'SLOT_RULES'!$D$7+IF($A66&lt;='SLOT_RULES'!$D$7,0,INT(($A66-'SLOT_RULES'!$D$7-1)/'SLOT_RULES'!$E$7)+1)*'SLOT_RULES'!$E$7</x:f>
        <x:v>46346</x:v>
      </x:c>
      <x:c r="I66" s="156" t="n">
        <x:f>'SLOT_RULES'!$D$8+IF($A66&lt;='SLOT_RULES'!$D$8,0,INT(($A66-'SLOT_RULES'!$D$8-1)/'SLOT_RULES'!$E$8)+1)*'SLOT_RULES'!$E$8</x:f>
        <x:v>46356</x:v>
      </x:c>
      <x:c r="J66" s="156" t="n">
        <x:f>'SLOT_RULES'!$D$9+IF($A66&lt;='SLOT_RULES'!$D$9,0,INT(($A66-'SLOT_RULES'!$D$9-1)/'SLOT_RULES'!$E$9)+1)*'SLOT_RULES'!$E$9</x:f>
        <x:v>46342</x:v>
      </x:c>
      <x:c r="K66" s="156" t="n">
        <x:f>'SLOT_RULES'!$D$10+IF($A66&lt;='SLOT_RULES'!$D$10,0,INT(($A66-'SLOT_RULES'!$D$10-1)/'SLOT_RULES'!$E$10)+1)*'SLOT_RULES'!$E$10</x:f>
        <x:v>46329</x:v>
      </x:c>
      <x:c r="L66" s="156" t="n">
        <x:f>'SLOT_RULES'!$D$11+IF($A66&lt;='SLOT_RULES'!$D$11,0,INT(($A66-'SLOT_RULES'!$D$11-1)/'SLOT_RULES'!$E$11)+1)*'SLOT_RULES'!$E$11</x:f>
        <x:v>46336</x:v>
      </x:c>
      <x:c r="M66" s="156" t="n">
        <x:f>'SLOT_RULES'!$D$12+IF($A66&lt;='SLOT_RULES'!$D$12,0,INT(($A66-'SLOT_RULES'!$D$12-1)/'SLOT_RULES'!$E$12)+1)*'SLOT_RULES'!$E$12</x:f>
        <x:v>46341</x:v>
      </x:c>
      <x:c r="N66" s="156" t="n">
        <x:f>'SLOT_RULES'!$D$13+IF($A66&lt;='SLOT_RULES'!$D$13,0,INT(($A66-'SLOT_RULES'!$D$13-1)/'SLOT_RULES'!$E$13)+1)*'SLOT_RULES'!$E$13</x:f>
        <x:v>46391</x:v>
      </x:c>
      <x:c r="O66" s="156" t="n">
        <x:f>'SLOT_RULES'!$D$14+IF($A66&lt;='SLOT_RULES'!$D$14,0,INT(($A66-'SLOT_RULES'!$D$14-1)/'SLOT_RULES'!$E$14)+1)*'SLOT_RULES'!$E$14</x:f>
        <x:v>46350</x:v>
      </x:c>
      <x:c r="P66" s="156" t="n">
        <x:f>'SLOT_RULES'!$D$15+IF($A66&lt;='SLOT_RULES'!$D$15,0,INT(($A66-'SLOT_RULES'!$D$15-1)/'SLOT_RULES'!$E$15)+1)*'SLOT_RULES'!$E$15</x:f>
        <x:v>46422</x:v>
      </x:c>
      <x:c r="Q66" s="158" t="n">
        <x:f>MIN(E66:P66)-A66</x:f>
        <x:v>0</x:v>
      </x:c>
      <x:c r="R66" s="158" t="n">
        <x:f>MAX(E66:P66)-A66</x:f>
        <x:v>93</x:v>
      </x:c>
      <x:c r="S66" s="86" t="str">
        <x:f>IF(AND(COUNT(E66:P66)=10,MIN(E66:P66)&gt;=A66),"PASS","FAIL")</x:f>
        <x:v>PASS</x:v>
      </x:c>
      <x:c r="T66" s="86" t="str">
        <x: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x:f>
        <x:v>PASS</x:v>
      </x:c>
      <x:c r="U66" s="86" t="str">
        <x: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x:f>
        <x:v>PASS</x:v>
      </x:c>
      <x:c r="V66" s="86" t="str">
        <x: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x:f>
        <x:v>PASS</x:v>
      </x:c>
      <x:c r="W66" s="87" t="str">
        <x:f>'CRAWL_LOG'!B66</x:f>
        <x:v>Chưa chạy</x:v>
      </x:c>
      <x:c r="X66" s="95" t="inlineStr">
        <x:is>
          <x:t xml:space="preserve">10-slot panel: 7 near + 3 far; AN2/AN3 inactive from 03/09</x:t>
        </x:is>
      </x:c>
    </x:row>
    <x:row r="67">
      <x:c r="A67" s="155" t="n">
        <x:v>46330</x:v>
      </x:c>
      <x:c r="B67" s="83" t="inlineStr">
        <x:is>
          <x:t xml:space="preserve">Thứ Tư</x:t>
        </x:is>
      </x:c>
      <x:c r="C67" s="83" t="inlineStr">
        <x:is>
          <x:t xml:space="preserve">Official</x:t>
        </x:is>
      </x:c>
      <x:c r="D67" s="83" t="inlineStr">
        <x:is>
          <x:t xml:space="preserve">00:30</x:t>
        </x:is>
      </x:c>
      <x:c r="E67" s="156" t="n">
        <x:f>'SLOT_RULES'!$D$4+IF($A67&lt;='SLOT_RULES'!$D$4,0,INT(($A67-'SLOT_RULES'!$D$4-1)/'SLOT_RULES'!$E$4)+1)*'SLOT_RULES'!$E$4</x:f>
        <x:v>46353</x:v>
      </x:c>
      <x:c r="F67" s="157" t="n"/>
      <x:c r="G67" s="157" t="n"/>
      <x:c r="H67" s="156" t="n">
        <x:f>'SLOT_RULES'!$D$7+IF($A67&lt;='SLOT_RULES'!$D$7,0,INT(($A67-'SLOT_RULES'!$D$7-1)/'SLOT_RULES'!$E$7)+1)*'SLOT_RULES'!$E$7</x:f>
        <x:v>46346</x:v>
      </x:c>
      <x:c r="I67" s="156" t="n">
        <x:f>'SLOT_RULES'!$D$8+IF($A67&lt;='SLOT_RULES'!$D$8,0,INT(($A67-'SLOT_RULES'!$D$8-1)/'SLOT_RULES'!$E$8)+1)*'SLOT_RULES'!$E$8</x:f>
        <x:v>46356</x:v>
      </x:c>
      <x:c r="J67" s="156" t="n">
        <x:f>'SLOT_RULES'!$D$9+IF($A67&lt;='SLOT_RULES'!$D$9,0,INT(($A67-'SLOT_RULES'!$D$9-1)/'SLOT_RULES'!$E$9)+1)*'SLOT_RULES'!$E$9</x:f>
        <x:v>46342</x:v>
      </x:c>
      <x:c r="K67" s="156" t="n">
        <x:f>'SLOT_RULES'!$D$10+IF($A67&lt;='SLOT_RULES'!$D$10,0,INT(($A67-'SLOT_RULES'!$D$10-1)/'SLOT_RULES'!$E$10)+1)*'SLOT_RULES'!$E$10</x:f>
        <x:v>46357</x:v>
      </x:c>
      <x:c r="L67" s="156" t="n">
        <x:f>'SLOT_RULES'!$D$11+IF($A67&lt;='SLOT_RULES'!$D$11,0,INT(($A67-'SLOT_RULES'!$D$11-1)/'SLOT_RULES'!$E$11)+1)*'SLOT_RULES'!$E$11</x:f>
        <x:v>46336</x:v>
      </x:c>
      <x:c r="M67" s="156" t="n">
        <x:f>'SLOT_RULES'!$D$12+IF($A67&lt;='SLOT_RULES'!$D$12,0,INT(($A67-'SLOT_RULES'!$D$12-1)/'SLOT_RULES'!$E$12)+1)*'SLOT_RULES'!$E$12</x:f>
        <x:v>46341</x:v>
      </x:c>
      <x:c r="N67" s="156" t="n">
        <x:f>'SLOT_RULES'!$D$13+IF($A67&lt;='SLOT_RULES'!$D$13,0,INT(($A67-'SLOT_RULES'!$D$13-1)/'SLOT_RULES'!$E$13)+1)*'SLOT_RULES'!$E$13</x:f>
        <x:v>46391</x:v>
      </x:c>
      <x:c r="O67" s="156" t="n">
        <x:f>'SLOT_RULES'!$D$14+IF($A67&lt;='SLOT_RULES'!$D$14,0,INT(($A67-'SLOT_RULES'!$D$14-1)/'SLOT_RULES'!$E$14)+1)*'SLOT_RULES'!$E$14</x:f>
        <x:v>46350</x:v>
      </x:c>
      <x:c r="P67" s="156" t="n">
        <x:f>'SLOT_RULES'!$D$15+IF($A67&lt;='SLOT_RULES'!$D$15,0,INT(($A67-'SLOT_RULES'!$D$15-1)/'SLOT_RULES'!$E$15)+1)*'SLOT_RULES'!$E$15</x:f>
        <x:v>46422</x:v>
      </x:c>
      <x:c r="Q67" s="158" t="n">
        <x:f>MIN(E67:P67)-A67</x:f>
        <x:v>6</x:v>
      </x:c>
      <x:c r="R67" s="158" t="n">
        <x:f>MAX(E67:P67)-A67</x:f>
        <x:v>92</x:v>
      </x:c>
      <x:c r="S67" s="86" t="str">
        <x:f>IF(AND(COUNT(E67:P67)=10,MIN(E67:P67)&gt;=A67),"PASS","FAIL")</x:f>
        <x:v>PASS</x:v>
      </x:c>
      <x:c r="T67" s="86" t="str">
        <x: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x:f>
        <x:v>PASS</x:v>
      </x:c>
      <x:c r="U67" s="86" t="str">
        <x: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x:f>
        <x:v>PASS</x:v>
      </x:c>
      <x:c r="V67" s="86" t="str">
        <x: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x:f>
        <x:v>PASS</x:v>
      </x:c>
      <x:c r="W67" s="87" t="str">
        <x:f>'CRAWL_LOG'!B67</x:f>
        <x:v>Chưa chạy</x:v>
      </x:c>
      <x:c r="X67" s="95" t="inlineStr">
        <x:is>
          <x:t xml:space="preserve">10-slot panel: 7 near + 3 far; AN2/AN3 inactive from 03/09</x:t>
        </x:is>
      </x:c>
    </x:row>
    <x:row r="68">
      <x:c r="A68" s="155" t="n">
        <x:v>46331</x:v>
      </x:c>
      <x:c r="B68" s="83" t="inlineStr">
        <x:is>
          <x:t xml:space="preserve">Thứ Năm</x:t>
        </x:is>
      </x:c>
      <x:c r="C68" s="83" t="inlineStr">
        <x:is>
          <x:t xml:space="preserve">Official</x:t>
        </x:is>
      </x:c>
      <x:c r="D68" s="83" t="inlineStr">
        <x:is>
          <x:t xml:space="preserve">00:30</x:t>
        </x:is>
      </x:c>
      <x:c r="E68" s="156" t="n">
        <x:f>'SLOT_RULES'!$D$4+IF($A68&lt;='SLOT_RULES'!$D$4,0,INT(($A68-'SLOT_RULES'!$D$4-1)/'SLOT_RULES'!$E$4)+1)*'SLOT_RULES'!$E$4</x:f>
        <x:v>46353</x:v>
      </x:c>
      <x:c r="F68" s="157" t="n"/>
      <x:c r="G68" s="157" t="n"/>
      <x:c r="H68" s="156" t="n">
        <x:f>'SLOT_RULES'!$D$7+IF($A68&lt;='SLOT_RULES'!$D$7,0,INT(($A68-'SLOT_RULES'!$D$7-1)/'SLOT_RULES'!$E$7)+1)*'SLOT_RULES'!$E$7</x:f>
        <x:v>46346</x:v>
      </x:c>
      <x:c r="I68" s="156" t="n">
        <x:f>'SLOT_RULES'!$D$8+IF($A68&lt;='SLOT_RULES'!$D$8,0,INT(($A68-'SLOT_RULES'!$D$8-1)/'SLOT_RULES'!$E$8)+1)*'SLOT_RULES'!$E$8</x:f>
        <x:v>46356</x:v>
      </x:c>
      <x:c r="J68" s="156" t="n">
        <x:f>'SLOT_RULES'!$D$9+IF($A68&lt;='SLOT_RULES'!$D$9,0,INT(($A68-'SLOT_RULES'!$D$9-1)/'SLOT_RULES'!$E$9)+1)*'SLOT_RULES'!$E$9</x:f>
        <x:v>46342</x:v>
      </x:c>
      <x:c r="K68" s="156" t="n">
        <x:f>'SLOT_RULES'!$D$10+IF($A68&lt;='SLOT_RULES'!$D$10,0,INT(($A68-'SLOT_RULES'!$D$10-1)/'SLOT_RULES'!$E$10)+1)*'SLOT_RULES'!$E$10</x:f>
        <x:v>46357</x:v>
      </x:c>
      <x:c r="L68" s="156" t="n">
        <x:f>'SLOT_RULES'!$D$11+IF($A68&lt;='SLOT_RULES'!$D$11,0,INT(($A68-'SLOT_RULES'!$D$11-1)/'SLOT_RULES'!$E$11)+1)*'SLOT_RULES'!$E$11</x:f>
        <x:v>46336</x:v>
      </x:c>
      <x:c r="M68" s="156" t="n">
        <x:f>'SLOT_RULES'!$D$12+IF($A68&lt;='SLOT_RULES'!$D$12,0,INT(($A68-'SLOT_RULES'!$D$12-1)/'SLOT_RULES'!$E$12)+1)*'SLOT_RULES'!$E$12</x:f>
        <x:v>46341</x:v>
      </x:c>
      <x:c r="N68" s="156" t="n">
        <x:f>'SLOT_RULES'!$D$13+IF($A68&lt;='SLOT_RULES'!$D$13,0,INT(($A68-'SLOT_RULES'!$D$13-1)/'SLOT_RULES'!$E$13)+1)*'SLOT_RULES'!$E$13</x:f>
        <x:v>46391</x:v>
      </x:c>
      <x:c r="O68" s="156" t="n">
        <x:f>'SLOT_RULES'!$D$14+IF($A68&lt;='SLOT_RULES'!$D$14,0,INT(($A68-'SLOT_RULES'!$D$14-1)/'SLOT_RULES'!$E$14)+1)*'SLOT_RULES'!$E$14</x:f>
        <x:v>46350</x:v>
      </x:c>
      <x:c r="P68" s="156" t="n">
        <x:f>'SLOT_RULES'!$D$15+IF($A68&lt;='SLOT_RULES'!$D$15,0,INT(($A68-'SLOT_RULES'!$D$15-1)/'SLOT_RULES'!$E$15)+1)*'SLOT_RULES'!$E$15</x:f>
        <x:v>46422</x:v>
      </x:c>
      <x:c r="Q68" s="158" t="n">
        <x:f>MIN(E68:P68)-A68</x:f>
        <x:v>5</x:v>
      </x:c>
      <x:c r="R68" s="158" t="n">
        <x:f>MAX(E68:P68)-A68</x:f>
        <x:v>91</x:v>
      </x:c>
      <x:c r="S68" s="86" t="str">
        <x:f>IF(AND(COUNT(E68:P68)=10,MIN(E68:P68)&gt;=A68),"PASS","FAIL")</x:f>
        <x:v>PASS</x:v>
      </x:c>
      <x:c r="T68" s="86" t="str">
        <x: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x:f>
        <x:v>PASS</x:v>
      </x:c>
      <x:c r="U68" s="86" t="str">
        <x: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x:f>
        <x:v>PASS</x:v>
      </x:c>
      <x:c r="V68" s="86" t="str">
        <x: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x:f>
        <x:v>PASS</x:v>
      </x:c>
      <x:c r="W68" s="87" t="str">
        <x:f>'CRAWL_LOG'!B68</x:f>
        <x:v>Chưa chạy</x:v>
      </x:c>
      <x:c r="X68" s="95" t="inlineStr">
        <x:is>
          <x:t xml:space="preserve">10-slot panel: 7 near + 3 far; AN2/AN3 inactive from 03/09</x:t>
        </x:is>
      </x:c>
    </x:row>
    <x:row r="69">
      <x:c r="A69" s="155" t="n">
        <x:v>46332</x:v>
      </x:c>
      <x:c r="B69" s="83" t="inlineStr">
        <x:is>
          <x:t xml:space="preserve">Thứ Sáu</x:t>
        </x:is>
      </x:c>
      <x:c r="C69" s="83" t="inlineStr">
        <x:is>
          <x:t xml:space="preserve">Official</x:t>
        </x:is>
      </x:c>
      <x:c r="D69" s="83" t="inlineStr">
        <x:is>
          <x:t xml:space="preserve">00:30</x:t>
        </x:is>
      </x:c>
      <x:c r="E69" s="156" t="n">
        <x:f>'SLOT_RULES'!$D$4+IF($A69&lt;='SLOT_RULES'!$D$4,0,INT(($A69-'SLOT_RULES'!$D$4-1)/'SLOT_RULES'!$E$4)+1)*'SLOT_RULES'!$E$4</x:f>
        <x:v>46353</x:v>
      </x:c>
      <x:c r="F69" s="157" t="n"/>
      <x:c r="G69" s="157" t="n"/>
      <x:c r="H69" s="156" t="n">
        <x:f>'SLOT_RULES'!$D$7+IF($A69&lt;='SLOT_RULES'!$D$7,0,INT(($A69-'SLOT_RULES'!$D$7-1)/'SLOT_RULES'!$E$7)+1)*'SLOT_RULES'!$E$7</x:f>
        <x:v>46346</x:v>
      </x:c>
      <x:c r="I69" s="156" t="n">
        <x:f>'SLOT_RULES'!$D$8+IF($A69&lt;='SLOT_RULES'!$D$8,0,INT(($A69-'SLOT_RULES'!$D$8-1)/'SLOT_RULES'!$E$8)+1)*'SLOT_RULES'!$E$8</x:f>
        <x:v>46356</x:v>
      </x:c>
      <x:c r="J69" s="156" t="n">
        <x:f>'SLOT_RULES'!$D$9+IF($A69&lt;='SLOT_RULES'!$D$9,0,INT(($A69-'SLOT_RULES'!$D$9-1)/'SLOT_RULES'!$E$9)+1)*'SLOT_RULES'!$E$9</x:f>
        <x:v>46342</x:v>
      </x:c>
      <x:c r="K69" s="156" t="n">
        <x:f>'SLOT_RULES'!$D$10+IF($A69&lt;='SLOT_RULES'!$D$10,0,INT(($A69-'SLOT_RULES'!$D$10-1)/'SLOT_RULES'!$E$10)+1)*'SLOT_RULES'!$E$10</x:f>
        <x:v>46357</x:v>
      </x:c>
      <x:c r="L69" s="156" t="n">
        <x:f>'SLOT_RULES'!$D$11+IF($A69&lt;='SLOT_RULES'!$D$11,0,INT(($A69-'SLOT_RULES'!$D$11-1)/'SLOT_RULES'!$E$11)+1)*'SLOT_RULES'!$E$11</x:f>
        <x:v>46336</x:v>
      </x:c>
      <x:c r="M69" s="156" t="n">
        <x:f>'SLOT_RULES'!$D$12+IF($A69&lt;='SLOT_RULES'!$D$12,0,INT(($A69-'SLOT_RULES'!$D$12-1)/'SLOT_RULES'!$E$12)+1)*'SLOT_RULES'!$E$12</x:f>
        <x:v>46341</x:v>
      </x:c>
      <x:c r="N69" s="156" t="n">
        <x:f>'SLOT_RULES'!$D$13+IF($A69&lt;='SLOT_RULES'!$D$13,0,INT(($A69-'SLOT_RULES'!$D$13-1)/'SLOT_RULES'!$E$13)+1)*'SLOT_RULES'!$E$13</x:f>
        <x:v>46391</x:v>
      </x:c>
      <x:c r="O69" s="156" t="n">
        <x:f>'SLOT_RULES'!$D$14+IF($A69&lt;='SLOT_RULES'!$D$14,0,INT(($A69-'SLOT_RULES'!$D$14-1)/'SLOT_RULES'!$E$14)+1)*'SLOT_RULES'!$E$14</x:f>
        <x:v>46350</x:v>
      </x:c>
      <x:c r="P69" s="156" t="n">
        <x:f>'SLOT_RULES'!$D$15+IF($A69&lt;='SLOT_RULES'!$D$15,0,INT(($A69-'SLOT_RULES'!$D$15-1)/'SLOT_RULES'!$E$15)+1)*'SLOT_RULES'!$E$15</x:f>
        <x:v>46422</x:v>
      </x:c>
      <x:c r="Q69" s="158" t="n">
        <x:f>MIN(E69:P69)-A69</x:f>
        <x:v>4</x:v>
      </x:c>
      <x:c r="R69" s="158" t="n">
        <x:f>MAX(E69:P69)-A69</x:f>
        <x:v>90</x:v>
      </x:c>
      <x:c r="S69" s="86" t="str">
        <x:f>IF(AND(COUNT(E69:P69)=10,MIN(E69:P69)&gt;=A69),"PASS","FAIL")</x:f>
        <x:v>PASS</x:v>
      </x:c>
      <x:c r="T69" s="86" t="str">
        <x: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x:f>
        <x:v>PASS</x:v>
      </x:c>
      <x:c r="U69" s="86" t="str">
        <x: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x:f>
        <x:v>PASS</x:v>
      </x:c>
      <x:c r="V69" s="86" t="str">
        <x: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x:f>
        <x:v>PASS</x:v>
      </x:c>
      <x:c r="W69" s="87" t="str">
        <x:f>'CRAWL_LOG'!B69</x:f>
        <x:v>Chưa chạy</x:v>
      </x:c>
      <x:c r="X69" s="95" t="inlineStr">
        <x:is>
          <x:t xml:space="preserve">10-slot panel: 7 near + 3 far; AN2/AN3 inactive from 03/09</x:t>
        </x:is>
      </x:c>
    </x:row>
    <x:row r="70">
      <x:c r="A70" s="155" t="n">
        <x:v>46333</x:v>
      </x:c>
      <x:c r="B70" s="83" t="inlineStr">
        <x:is>
          <x:t xml:space="preserve">Thứ Bảy</x:t>
        </x:is>
      </x:c>
      <x:c r="C70" s="83" t="inlineStr">
        <x:is>
          <x:t xml:space="preserve">Official</x:t>
        </x:is>
      </x:c>
      <x:c r="D70" s="83" t="inlineStr">
        <x:is>
          <x:t xml:space="preserve">00:30</x:t>
        </x:is>
      </x:c>
      <x:c r="E70" s="156" t="n">
        <x:f>'SLOT_RULES'!$D$4+IF($A70&lt;='SLOT_RULES'!$D$4,0,INT(($A70-'SLOT_RULES'!$D$4-1)/'SLOT_RULES'!$E$4)+1)*'SLOT_RULES'!$E$4</x:f>
        <x:v>46353</x:v>
      </x:c>
      <x:c r="F70" s="157" t="n"/>
      <x:c r="G70" s="157" t="n"/>
      <x:c r="H70" s="156" t="n">
        <x:f>'SLOT_RULES'!$D$7+IF($A70&lt;='SLOT_RULES'!$D$7,0,INT(($A70-'SLOT_RULES'!$D$7-1)/'SLOT_RULES'!$E$7)+1)*'SLOT_RULES'!$E$7</x:f>
        <x:v>46346</x:v>
      </x:c>
      <x:c r="I70" s="156" t="n">
        <x:f>'SLOT_RULES'!$D$8+IF($A70&lt;='SLOT_RULES'!$D$8,0,INT(($A70-'SLOT_RULES'!$D$8-1)/'SLOT_RULES'!$E$8)+1)*'SLOT_RULES'!$E$8</x:f>
        <x:v>46356</x:v>
      </x:c>
      <x:c r="J70" s="156" t="n">
        <x:f>'SLOT_RULES'!$D$9+IF($A70&lt;='SLOT_RULES'!$D$9,0,INT(($A70-'SLOT_RULES'!$D$9-1)/'SLOT_RULES'!$E$9)+1)*'SLOT_RULES'!$E$9</x:f>
        <x:v>46342</x:v>
      </x:c>
      <x:c r="K70" s="156" t="n">
        <x:f>'SLOT_RULES'!$D$10+IF($A70&lt;='SLOT_RULES'!$D$10,0,INT(($A70-'SLOT_RULES'!$D$10-1)/'SLOT_RULES'!$E$10)+1)*'SLOT_RULES'!$E$10</x:f>
        <x:v>46357</x:v>
      </x:c>
      <x:c r="L70" s="156" t="n">
        <x:f>'SLOT_RULES'!$D$11+IF($A70&lt;='SLOT_RULES'!$D$11,0,INT(($A70-'SLOT_RULES'!$D$11-1)/'SLOT_RULES'!$E$11)+1)*'SLOT_RULES'!$E$11</x:f>
        <x:v>46336</x:v>
      </x:c>
      <x:c r="M70" s="156" t="n">
        <x:f>'SLOT_RULES'!$D$12+IF($A70&lt;='SLOT_RULES'!$D$12,0,INT(($A70-'SLOT_RULES'!$D$12-1)/'SLOT_RULES'!$E$12)+1)*'SLOT_RULES'!$E$12</x:f>
        <x:v>46341</x:v>
      </x:c>
      <x:c r="N70" s="156" t="n">
        <x:f>'SLOT_RULES'!$D$13+IF($A70&lt;='SLOT_RULES'!$D$13,0,INT(($A70-'SLOT_RULES'!$D$13-1)/'SLOT_RULES'!$E$13)+1)*'SLOT_RULES'!$E$13</x:f>
        <x:v>46391</x:v>
      </x:c>
      <x:c r="O70" s="156" t="n">
        <x:f>'SLOT_RULES'!$D$14+IF($A70&lt;='SLOT_RULES'!$D$14,0,INT(($A70-'SLOT_RULES'!$D$14-1)/'SLOT_RULES'!$E$14)+1)*'SLOT_RULES'!$E$14</x:f>
        <x:v>46350</x:v>
      </x:c>
      <x:c r="P70" s="156" t="n">
        <x:f>'SLOT_RULES'!$D$15+IF($A70&lt;='SLOT_RULES'!$D$15,0,INT(($A70-'SLOT_RULES'!$D$15-1)/'SLOT_RULES'!$E$15)+1)*'SLOT_RULES'!$E$15</x:f>
        <x:v>46422</x:v>
      </x:c>
      <x:c r="Q70" s="158" t="n">
        <x:f>MIN(E70:P70)-A70</x:f>
        <x:v>3</x:v>
      </x:c>
      <x:c r="R70" s="158" t="n">
        <x:f>MAX(E70:P70)-A70</x:f>
        <x:v>89</x:v>
      </x:c>
      <x:c r="S70" s="86" t="str">
        <x:f>IF(AND(COUNT(E70:P70)=10,MIN(E70:P70)&gt;=A70),"PASS","FAIL")</x:f>
        <x:v>PASS</x:v>
      </x:c>
      <x:c r="T70" s="86" t="str">
        <x: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x:f>
        <x:v>PASS</x:v>
      </x:c>
      <x:c r="U70" s="86" t="str">
        <x: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x:f>
        <x:v>PASS</x:v>
      </x:c>
      <x:c r="V70" s="86" t="str">
        <x: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x:f>
        <x:v>PASS</x:v>
      </x:c>
      <x:c r="W70" s="87" t="str">
        <x:f>'CRAWL_LOG'!B70</x:f>
        <x:v>Chưa chạy</x:v>
      </x:c>
      <x:c r="X70" s="95" t="inlineStr">
        <x:is>
          <x:t xml:space="preserve">10-slot panel: 7 near + 3 far; AN2/AN3 inactive from 03/09</x:t>
        </x:is>
      </x:c>
    </x:row>
    <x:row r="71">
      <x:c r="A71" s="155" t="n">
        <x:v>46334</x:v>
      </x:c>
      <x:c r="B71" s="83" t="inlineStr">
        <x:is>
          <x:t xml:space="preserve">Chủ Nhật</x:t>
        </x:is>
      </x:c>
      <x:c r="C71" s="83" t="inlineStr">
        <x:is>
          <x:t xml:space="preserve">Official</x:t>
        </x:is>
      </x:c>
      <x:c r="D71" s="83" t="inlineStr">
        <x:is>
          <x:t xml:space="preserve">00:30</x:t>
        </x:is>
      </x:c>
      <x:c r="E71" s="156" t="n">
        <x:f>'SLOT_RULES'!$D$4+IF($A71&lt;='SLOT_RULES'!$D$4,0,INT(($A71-'SLOT_RULES'!$D$4-1)/'SLOT_RULES'!$E$4)+1)*'SLOT_RULES'!$E$4</x:f>
        <x:v>46353</x:v>
      </x:c>
      <x:c r="F71" s="157" t="n"/>
      <x:c r="G71" s="157" t="n"/>
      <x:c r="H71" s="156" t="n">
        <x:f>'SLOT_RULES'!$D$7+IF($A71&lt;='SLOT_RULES'!$D$7,0,INT(($A71-'SLOT_RULES'!$D$7-1)/'SLOT_RULES'!$E$7)+1)*'SLOT_RULES'!$E$7</x:f>
        <x:v>46346</x:v>
      </x:c>
      <x:c r="I71" s="156" t="n">
        <x:f>'SLOT_RULES'!$D$8+IF($A71&lt;='SLOT_RULES'!$D$8,0,INT(($A71-'SLOT_RULES'!$D$8-1)/'SLOT_RULES'!$E$8)+1)*'SLOT_RULES'!$E$8</x:f>
        <x:v>46356</x:v>
      </x:c>
      <x:c r="J71" s="156" t="n">
        <x:f>'SLOT_RULES'!$D$9+IF($A71&lt;='SLOT_RULES'!$D$9,0,INT(($A71-'SLOT_RULES'!$D$9-1)/'SLOT_RULES'!$E$9)+1)*'SLOT_RULES'!$E$9</x:f>
        <x:v>46342</x:v>
      </x:c>
      <x:c r="K71" s="156" t="n">
        <x:f>'SLOT_RULES'!$D$10+IF($A71&lt;='SLOT_RULES'!$D$10,0,INT(($A71-'SLOT_RULES'!$D$10-1)/'SLOT_RULES'!$E$10)+1)*'SLOT_RULES'!$E$10</x:f>
        <x:v>46357</x:v>
      </x:c>
      <x:c r="L71" s="156" t="n">
        <x:f>'SLOT_RULES'!$D$11+IF($A71&lt;='SLOT_RULES'!$D$11,0,INT(($A71-'SLOT_RULES'!$D$11-1)/'SLOT_RULES'!$E$11)+1)*'SLOT_RULES'!$E$11</x:f>
        <x:v>46336</x:v>
      </x:c>
      <x:c r="M71" s="156" t="n">
        <x:f>'SLOT_RULES'!$D$12+IF($A71&lt;='SLOT_RULES'!$D$12,0,INT(($A71-'SLOT_RULES'!$D$12-1)/'SLOT_RULES'!$E$12)+1)*'SLOT_RULES'!$E$12</x:f>
        <x:v>46341</x:v>
      </x:c>
      <x:c r="N71" s="156" t="n">
        <x:f>'SLOT_RULES'!$D$13+IF($A71&lt;='SLOT_RULES'!$D$13,0,INT(($A71-'SLOT_RULES'!$D$13-1)/'SLOT_RULES'!$E$13)+1)*'SLOT_RULES'!$E$13</x:f>
        <x:v>46391</x:v>
      </x:c>
      <x:c r="O71" s="156" t="n">
        <x:f>'SLOT_RULES'!$D$14+IF($A71&lt;='SLOT_RULES'!$D$14,0,INT(($A71-'SLOT_RULES'!$D$14-1)/'SLOT_RULES'!$E$14)+1)*'SLOT_RULES'!$E$14</x:f>
        <x:v>46350</x:v>
      </x:c>
      <x:c r="P71" s="156" t="n">
        <x:f>'SLOT_RULES'!$D$15+IF($A71&lt;='SLOT_RULES'!$D$15,0,INT(($A71-'SLOT_RULES'!$D$15-1)/'SLOT_RULES'!$E$15)+1)*'SLOT_RULES'!$E$15</x:f>
        <x:v>46422</x:v>
      </x:c>
      <x:c r="Q71" s="158" t="n">
        <x:f>MIN(E71:P71)-A71</x:f>
        <x:v>2</x:v>
      </x:c>
      <x:c r="R71" s="158" t="n">
        <x:f>MAX(E71:P71)-A71</x:f>
        <x:v>88</x:v>
      </x:c>
      <x:c r="S71" s="86" t="str">
        <x:f>IF(AND(COUNT(E71:P71)=10,MIN(E71:P71)&gt;=A71),"PASS","FAIL")</x:f>
        <x:v>PASS</x:v>
      </x:c>
      <x:c r="T71" s="86" t="str">
        <x: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x:f>
        <x:v>PASS</x:v>
      </x:c>
      <x:c r="U71" s="86" t="str">
        <x: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x:f>
        <x:v>PASS</x:v>
      </x:c>
      <x:c r="V71" s="86" t="str">
        <x: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x:f>
        <x:v>PASS</x:v>
      </x:c>
      <x:c r="W71" s="87" t="str">
        <x:f>'CRAWL_LOG'!B71</x:f>
        <x:v>Chưa chạy</x:v>
      </x:c>
      <x:c r="X71" s="95" t="inlineStr">
        <x:is>
          <x:t xml:space="preserve">10-slot panel: 7 near + 3 far; AN2/AN3 inactive from 03/09</x:t>
        </x:is>
      </x:c>
    </x:row>
    <x:row r="72">
      <x:c r="A72" s="155" t="n">
        <x:v>46335</x:v>
      </x:c>
      <x:c r="B72" s="83" t="inlineStr">
        <x:is>
          <x:t xml:space="preserve">Thứ Hai</x:t>
        </x:is>
      </x:c>
      <x:c r="C72" s="83" t="inlineStr">
        <x:is>
          <x:t xml:space="preserve">Official</x:t>
        </x:is>
      </x:c>
      <x:c r="D72" s="83" t="inlineStr">
        <x:is>
          <x:t xml:space="preserve">00:30</x:t>
        </x:is>
      </x:c>
      <x:c r="E72" s="156" t="n">
        <x:f>'SLOT_RULES'!$D$4+IF($A72&lt;='SLOT_RULES'!$D$4,0,INT(($A72-'SLOT_RULES'!$D$4-1)/'SLOT_RULES'!$E$4)+1)*'SLOT_RULES'!$E$4</x:f>
        <x:v>46353</x:v>
      </x:c>
      <x:c r="F72" s="157" t="n"/>
      <x:c r="G72" s="157" t="n"/>
      <x:c r="H72" s="156" t="n">
        <x:f>'SLOT_RULES'!$D$7+IF($A72&lt;='SLOT_RULES'!$D$7,0,INT(($A72-'SLOT_RULES'!$D$7-1)/'SLOT_RULES'!$E$7)+1)*'SLOT_RULES'!$E$7</x:f>
        <x:v>46346</x:v>
      </x:c>
      <x:c r="I72" s="156" t="n">
        <x:f>'SLOT_RULES'!$D$8+IF($A72&lt;='SLOT_RULES'!$D$8,0,INT(($A72-'SLOT_RULES'!$D$8-1)/'SLOT_RULES'!$E$8)+1)*'SLOT_RULES'!$E$8</x:f>
        <x:v>46356</x:v>
      </x:c>
      <x:c r="J72" s="156" t="n">
        <x:f>'SLOT_RULES'!$D$9+IF($A72&lt;='SLOT_RULES'!$D$9,0,INT(($A72-'SLOT_RULES'!$D$9-1)/'SLOT_RULES'!$E$9)+1)*'SLOT_RULES'!$E$9</x:f>
        <x:v>46342</x:v>
      </x:c>
      <x:c r="K72" s="156" t="n">
        <x:f>'SLOT_RULES'!$D$10+IF($A72&lt;='SLOT_RULES'!$D$10,0,INT(($A72-'SLOT_RULES'!$D$10-1)/'SLOT_RULES'!$E$10)+1)*'SLOT_RULES'!$E$10</x:f>
        <x:v>46357</x:v>
      </x:c>
      <x:c r="L72" s="156" t="n">
        <x:f>'SLOT_RULES'!$D$11+IF($A72&lt;='SLOT_RULES'!$D$11,0,INT(($A72-'SLOT_RULES'!$D$11-1)/'SLOT_RULES'!$E$11)+1)*'SLOT_RULES'!$E$11</x:f>
        <x:v>46336</x:v>
      </x:c>
      <x:c r="M72" s="156" t="n">
        <x:f>'SLOT_RULES'!$D$12+IF($A72&lt;='SLOT_RULES'!$D$12,0,INT(($A72-'SLOT_RULES'!$D$12-1)/'SLOT_RULES'!$E$12)+1)*'SLOT_RULES'!$E$12</x:f>
        <x:v>46341</x:v>
      </x:c>
      <x:c r="N72" s="156" t="n">
        <x:f>'SLOT_RULES'!$D$13+IF($A72&lt;='SLOT_RULES'!$D$13,0,INT(($A72-'SLOT_RULES'!$D$13-1)/'SLOT_RULES'!$E$13)+1)*'SLOT_RULES'!$E$13</x:f>
        <x:v>46391</x:v>
      </x:c>
      <x:c r="O72" s="156" t="n">
        <x:f>'SLOT_RULES'!$D$14+IF($A72&lt;='SLOT_RULES'!$D$14,0,INT(($A72-'SLOT_RULES'!$D$14-1)/'SLOT_RULES'!$E$14)+1)*'SLOT_RULES'!$E$14</x:f>
        <x:v>46350</x:v>
      </x:c>
      <x:c r="P72" s="156" t="n">
        <x:f>'SLOT_RULES'!$D$15+IF($A72&lt;='SLOT_RULES'!$D$15,0,INT(($A72-'SLOT_RULES'!$D$15-1)/'SLOT_RULES'!$E$15)+1)*'SLOT_RULES'!$E$15</x:f>
        <x:v>46422</x:v>
      </x:c>
      <x:c r="Q72" s="158" t="n">
        <x:f>MIN(E72:P72)-A72</x:f>
        <x:v>1</x:v>
      </x:c>
      <x:c r="R72" s="158" t="n">
        <x:f>MAX(E72:P72)-A72</x:f>
        <x:v>87</x:v>
      </x:c>
      <x:c r="S72" s="86" t="str">
        <x:f>IF(AND(COUNT(E72:P72)=10,MIN(E72:P72)&gt;=A72),"PASS","FAIL")</x:f>
        <x:v>PASS</x:v>
      </x:c>
      <x:c r="T72" s="86" t="str">
        <x: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x:f>
        <x:v>PASS</x:v>
      </x:c>
      <x:c r="U72" s="86" t="str">
        <x: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x:f>
        <x:v>PASS</x:v>
      </x:c>
      <x:c r="V72" s="86" t="str">
        <x: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x:f>
        <x:v>PASS</x:v>
      </x:c>
      <x:c r="W72" s="87" t="str">
        <x:f>'CRAWL_LOG'!B72</x:f>
        <x:v>Chưa chạy</x:v>
      </x:c>
      <x:c r="X72" s="95" t="inlineStr">
        <x:is>
          <x:t xml:space="preserve">10-slot panel: 7 near + 3 far; AN2/AN3 inactive from 03/09</x:t>
        </x:is>
      </x:c>
    </x:row>
    <x:row r="73">
      <x:c r="A73" s="155" t="n">
        <x:v>46336</x:v>
      </x:c>
      <x:c r="B73" s="83" t="inlineStr">
        <x:is>
          <x:t xml:space="preserve">Thứ Ba</x:t>
        </x:is>
      </x:c>
      <x:c r="C73" s="83" t="inlineStr">
        <x:is>
          <x:t xml:space="preserve">Official</x:t>
        </x:is>
      </x:c>
      <x:c r="D73" s="83" t="inlineStr">
        <x:is>
          <x:t xml:space="preserve">00:30</x:t>
        </x:is>
      </x:c>
      <x:c r="E73" s="156" t="n">
        <x:f>'SLOT_RULES'!$D$4+IF($A73&lt;='SLOT_RULES'!$D$4,0,INT(($A73-'SLOT_RULES'!$D$4-1)/'SLOT_RULES'!$E$4)+1)*'SLOT_RULES'!$E$4</x:f>
        <x:v>46353</x:v>
      </x:c>
      <x:c r="F73" s="157" t="n"/>
      <x:c r="G73" s="157" t="n"/>
      <x:c r="H73" s="156" t="n">
        <x:f>'SLOT_RULES'!$D$7+IF($A73&lt;='SLOT_RULES'!$D$7,0,INT(($A73-'SLOT_RULES'!$D$7-1)/'SLOT_RULES'!$E$7)+1)*'SLOT_RULES'!$E$7</x:f>
        <x:v>46346</x:v>
      </x:c>
      <x:c r="I73" s="156" t="n">
        <x:f>'SLOT_RULES'!$D$8+IF($A73&lt;='SLOT_RULES'!$D$8,0,INT(($A73-'SLOT_RULES'!$D$8-1)/'SLOT_RULES'!$E$8)+1)*'SLOT_RULES'!$E$8</x:f>
        <x:v>46356</x:v>
      </x:c>
      <x:c r="J73" s="156" t="n">
        <x:f>'SLOT_RULES'!$D$9+IF($A73&lt;='SLOT_RULES'!$D$9,0,INT(($A73-'SLOT_RULES'!$D$9-1)/'SLOT_RULES'!$E$9)+1)*'SLOT_RULES'!$E$9</x:f>
        <x:v>46342</x:v>
      </x:c>
      <x:c r="K73" s="156" t="n">
        <x:f>'SLOT_RULES'!$D$10+IF($A73&lt;='SLOT_RULES'!$D$10,0,INT(($A73-'SLOT_RULES'!$D$10-1)/'SLOT_RULES'!$E$10)+1)*'SLOT_RULES'!$E$10</x:f>
        <x:v>46357</x:v>
      </x:c>
      <x:c r="L73" s="156" t="n">
        <x:f>'SLOT_RULES'!$D$11+IF($A73&lt;='SLOT_RULES'!$D$11,0,INT(($A73-'SLOT_RULES'!$D$11-1)/'SLOT_RULES'!$E$11)+1)*'SLOT_RULES'!$E$11</x:f>
        <x:v>46336</x:v>
      </x:c>
      <x:c r="M73" s="156" t="n">
        <x:f>'SLOT_RULES'!$D$12+IF($A73&lt;='SLOT_RULES'!$D$12,0,INT(($A73-'SLOT_RULES'!$D$12-1)/'SLOT_RULES'!$E$12)+1)*'SLOT_RULES'!$E$12</x:f>
        <x:v>46341</x:v>
      </x:c>
      <x:c r="N73" s="156" t="n">
        <x:f>'SLOT_RULES'!$D$13+IF($A73&lt;='SLOT_RULES'!$D$13,0,INT(($A73-'SLOT_RULES'!$D$13-1)/'SLOT_RULES'!$E$13)+1)*'SLOT_RULES'!$E$13</x:f>
        <x:v>46391</x:v>
      </x:c>
      <x:c r="O73" s="156" t="n">
        <x:f>'SLOT_RULES'!$D$14+IF($A73&lt;='SLOT_RULES'!$D$14,0,INT(($A73-'SLOT_RULES'!$D$14-1)/'SLOT_RULES'!$E$14)+1)*'SLOT_RULES'!$E$14</x:f>
        <x:v>46350</x:v>
      </x:c>
      <x:c r="P73" s="156" t="n">
        <x:f>'SLOT_RULES'!$D$15+IF($A73&lt;='SLOT_RULES'!$D$15,0,INT(($A73-'SLOT_RULES'!$D$15-1)/'SLOT_RULES'!$E$15)+1)*'SLOT_RULES'!$E$15</x:f>
        <x:v>46422</x:v>
      </x:c>
      <x:c r="Q73" s="158" t="n">
        <x:f>MIN(E73:P73)-A73</x:f>
        <x:v>0</x:v>
      </x:c>
      <x:c r="R73" s="158" t="n">
        <x:f>MAX(E73:P73)-A73</x:f>
        <x:v>86</x:v>
      </x:c>
      <x:c r="S73" s="86" t="str">
        <x:f>IF(AND(COUNT(E73:P73)=10,MIN(E73:P73)&gt;=A73),"PASS","FAIL")</x:f>
        <x:v>PASS</x:v>
      </x:c>
      <x:c r="T73" s="86" t="str">
        <x: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x:f>
        <x:v>PASS</x:v>
      </x:c>
      <x:c r="U73" s="86" t="str">
        <x: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x:f>
        <x:v>PASS</x:v>
      </x:c>
      <x:c r="V73" s="86" t="str">
        <x: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x:f>
        <x:v>PASS</x:v>
      </x:c>
      <x:c r="W73" s="87" t="str">
        <x:f>'CRAWL_LOG'!B73</x:f>
        <x:v>Chưa chạy</x:v>
      </x:c>
      <x:c r="X73" s="95" t="inlineStr">
        <x:is>
          <x:t xml:space="preserve">10-slot panel: 7 near + 3 far; AN2/AN3 inactive from 03/09</x:t>
        </x:is>
      </x:c>
    </x:row>
    <x:row r="74">
      <x:c r="A74" s="155" t="n">
        <x:v>46337</x:v>
      </x:c>
      <x:c r="B74" s="83" t="inlineStr">
        <x:is>
          <x:t xml:space="preserve">Thứ Tư</x:t>
        </x:is>
      </x:c>
      <x:c r="C74" s="83" t="inlineStr">
        <x:is>
          <x:t xml:space="preserve">Official</x:t>
        </x:is>
      </x:c>
      <x:c r="D74" s="83" t="inlineStr">
        <x:is>
          <x:t xml:space="preserve">00:30</x:t>
        </x:is>
      </x:c>
      <x:c r="E74" s="156" t="n">
        <x:f>'SLOT_RULES'!$D$4+IF($A74&lt;='SLOT_RULES'!$D$4,0,INT(($A74-'SLOT_RULES'!$D$4-1)/'SLOT_RULES'!$E$4)+1)*'SLOT_RULES'!$E$4</x:f>
        <x:v>46353</x:v>
      </x:c>
      <x:c r="F74" s="157" t="n"/>
      <x:c r="G74" s="157" t="n"/>
      <x:c r="H74" s="156" t="n">
        <x:f>'SLOT_RULES'!$D$7+IF($A74&lt;='SLOT_RULES'!$D$7,0,INT(($A74-'SLOT_RULES'!$D$7-1)/'SLOT_RULES'!$E$7)+1)*'SLOT_RULES'!$E$7</x:f>
        <x:v>46346</x:v>
      </x:c>
      <x:c r="I74" s="156" t="n">
        <x:f>'SLOT_RULES'!$D$8+IF($A74&lt;='SLOT_RULES'!$D$8,0,INT(($A74-'SLOT_RULES'!$D$8-1)/'SLOT_RULES'!$E$8)+1)*'SLOT_RULES'!$E$8</x:f>
        <x:v>46356</x:v>
      </x:c>
      <x:c r="J74" s="156" t="n">
        <x:f>'SLOT_RULES'!$D$9+IF($A74&lt;='SLOT_RULES'!$D$9,0,INT(($A74-'SLOT_RULES'!$D$9-1)/'SLOT_RULES'!$E$9)+1)*'SLOT_RULES'!$E$9</x:f>
        <x:v>46342</x:v>
      </x:c>
      <x:c r="K74" s="156" t="n">
        <x:f>'SLOT_RULES'!$D$10+IF($A74&lt;='SLOT_RULES'!$D$10,0,INT(($A74-'SLOT_RULES'!$D$10-1)/'SLOT_RULES'!$E$10)+1)*'SLOT_RULES'!$E$10</x:f>
        <x:v>46357</x:v>
      </x:c>
      <x:c r="L74" s="156" t="n">
        <x:f>'SLOT_RULES'!$D$11+IF($A74&lt;='SLOT_RULES'!$D$11,0,INT(($A74-'SLOT_RULES'!$D$11-1)/'SLOT_RULES'!$E$11)+1)*'SLOT_RULES'!$E$11</x:f>
        <x:v>46364</x:v>
      </x:c>
      <x:c r="M74" s="156" t="n">
        <x:f>'SLOT_RULES'!$D$12+IF($A74&lt;='SLOT_RULES'!$D$12,0,INT(($A74-'SLOT_RULES'!$D$12-1)/'SLOT_RULES'!$E$12)+1)*'SLOT_RULES'!$E$12</x:f>
        <x:v>46341</x:v>
      </x:c>
      <x:c r="N74" s="156" t="n">
        <x:f>'SLOT_RULES'!$D$13+IF($A74&lt;='SLOT_RULES'!$D$13,0,INT(($A74-'SLOT_RULES'!$D$13-1)/'SLOT_RULES'!$E$13)+1)*'SLOT_RULES'!$E$13</x:f>
        <x:v>46391</x:v>
      </x:c>
      <x:c r="O74" s="156" t="n">
        <x:f>'SLOT_RULES'!$D$14+IF($A74&lt;='SLOT_RULES'!$D$14,0,INT(($A74-'SLOT_RULES'!$D$14-1)/'SLOT_RULES'!$E$14)+1)*'SLOT_RULES'!$E$14</x:f>
        <x:v>46350</x:v>
      </x:c>
      <x:c r="P74" s="156" t="n">
        <x:f>'SLOT_RULES'!$D$15+IF($A74&lt;='SLOT_RULES'!$D$15,0,INT(($A74-'SLOT_RULES'!$D$15-1)/'SLOT_RULES'!$E$15)+1)*'SLOT_RULES'!$E$15</x:f>
        <x:v>46422</x:v>
      </x:c>
      <x:c r="Q74" s="158" t="n">
        <x:f>MIN(E74:P74)-A74</x:f>
        <x:v>4</x:v>
      </x:c>
      <x:c r="R74" s="158" t="n">
        <x:f>MAX(E74:P74)-A74</x:f>
        <x:v>85</x:v>
      </x:c>
      <x:c r="S74" s="86" t="str">
        <x:f>IF(AND(COUNT(E74:P74)=10,MIN(E74:P74)&gt;=A74),"PASS","FAIL")</x:f>
        <x:v>PASS</x:v>
      </x:c>
      <x:c r="T74" s="86" t="str">
        <x: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x:f>
        <x:v>PASS</x:v>
      </x:c>
      <x:c r="U74" s="86" t="str">
        <x: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x:f>
        <x:v>PASS</x:v>
      </x:c>
      <x:c r="V74" s="86" t="str">
        <x: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x:f>
        <x:v>PASS</x:v>
      </x:c>
      <x:c r="W74" s="87" t="str">
        <x:f>'CRAWL_LOG'!B74</x:f>
        <x:v>Chưa chạy</x:v>
      </x:c>
      <x:c r="X74" s="95" t="inlineStr">
        <x:is>
          <x:t xml:space="preserve">10-slot panel: 7 near + 3 far; AN2/AN3 inactive from 03/09</x:t>
        </x:is>
      </x:c>
    </x:row>
    <x:row r="75">
      <x:c r="A75" s="155" t="n">
        <x:v>46338</x:v>
      </x:c>
      <x:c r="B75" s="83" t="inlineStr">
        <x:is>
          <x:t xml:space="preserve">Thứ Năm</x:t>
        </x:is>
      </x:c>
      <x:c r="C75" s="83" t="inlineStr">
        <x:is>
          <x:t xml:space="preserve">Official</x:t>
        </x:is>
      </x:c>
      <x:c r="D75" s="83" t="inlineStr">
        <x:is>
          <x:t xml:space="preserve">00:30</x:t>
        </x:is>
      </x:c>
      <x:c r="E75" s="156" t="n">
        <x:f>'SLOT_RULES'!$D$4+IF($A75&lt;='SLOT_RULES'!$D$4,0,INT(($A75-'SLOT_RULES'!$D$4-1)/'SLOT_RULES'!$E$4)+1)*'SLOT_RULES'!$E$4</x:f>
        <x:v>46353</x:v>
      </x:c>
      <x:c r="F75" s="157" t="n"/>
      <x:c r="G75" s="157" t="n"/>
      <x:c r="H75" s="156" t="n">
        <x:f>'SLOT_RULES'!$D$7+IF($A75&lt;='SLOT_RULES'!$D$7,0,INT(($A75-'SLOT_RULES'!$D$7-1)/'SLOT_RULES'!$E$7)+1)*'SLOT_RULES'!$E$7</x:f>
        <x:v>46346</x:v>
      </x:c>
      <x:c r="I75" s="156" t="n">
        <x:f>'SLOT_RULES'!$D$8+IF($A75&lt;='SLOT_RULES'!$D$8,0,INT(($A75-'SLOT_RULES'!$D$8-1)/'SLOT_RULES'!$E$8)+1)*'SLOT_RULES'!$E$8</x:f>
        <x:v>46356</x:v>
      </x:c>
      <x:c r="J75" s="156" t="n">
        <x:f>'SLOT_RULES'!$D$9+IF($A75&lt;='SLOT_RULES'!$D$9,0,INT(($A75-'SLOT_RULES'!$D$9-1)/'SLOT_RULES'!$E$9)+1)*'SLOT_RULES'!$E$9</x:f>
        <x:v>46342</x:v>
      </x:c>
      <x:c r="K75" s="156" t="n">
        <x:f>'SLOT_RULES'!$D$10+IF($A75&lt;='SLOT_RULES'!$D$10,0,INT(($A75-'SLOT_RULES'!$D$10-1)/'SLOT_RULES'!$E$10)+1)*'SLOT_RULES'!$E$10</x:f>
        <x:v>46357</x:v>
      </x:c>
      <x:c r="L75" s="156" t="n">
        <x:f>'SLOT_RULES'!$D$11+IF($A75&lt;='SLOT_RULES'!$D$11,0,INT(($A75-'SLOT_RULES'!$D$11-1)/'SLOT_RULES'!$E$11)+1)*'SLOT_RULES'!$E$11</x:f>
        <x:v>46364</x:v>
      </x:c>
      <x:c r="M75" s="156" t="n">
        <x:f>'SLOT_RULES'!$D$12+IF($A75&lt;='SLOT_RULES'!$D$12,0,INT(($A75-'SLOT_RULES'!$D$12-1)/'SLOT_RULES'!$E$12)+1)*'SLOT_RULES'!$E$12</x:f>
        <x:v>46341</x:v>
      </x:c>
      <x:c r="N75" s="156" t="n">
        <x:f>'SLOT_RULES'!$D$13+IF($A75&lt;='SLOT_RULES'!$D$13,0,INT(($A75-'SLOT_RULES'!$D$13-1)/'SLOT_RULES'!$E$13)+1)*'SLOT_RULES'!$E$13</x:f>
        <x:v>46391</x:v>
      </x:c>
      <x:c r="O75" s="156" t="n">
        <x:f>'SLOT_RULES'!$D$14+IF($A75&lt;='SLOT_RULES'!$D$14,0,INT(($A75-'SLOT_RULES'!$D$14-1)/'SLOT_RULES'!$E$14)+1)*'SLOT_RULES'!$E$14</x:f>
        <x:v>46350</x:v>
      </x:c>
      <x:c r="P75" s="156" t="n">
        <x:f>'SLOT_RULES'!$D$15+IF($A75&lt;='SLOT_RULES'!$D$15,0,INT(($A75-'SLOT_RULES'!$D$15-1)/'SLOT_RULES'!$E$15)+1)*'SLOT_RULES'!$E$15</x:f>
        <x:v>46422</x:v>
      </x:c>
      <x:c r="Q75" s="158" t="n">
        <x:f>MIN(E75:P75)-A75</x:f>
        <x:v>3</x:v>
      </x:c>
      <x:c r="R75" s="158" t="n">
        <x:f>MAX(E75:P75)-A75</x:f>
        <x:v>84</x:v>
      </x:c>
      <x:c r="S75" s="86" t="str">
        <x:f>IF(AND(COUNT(E75:P75)=10,MIN(E75:P75)&gt;=A75),"PASS","FAIL")</x:f>
        <x:v>PASS</x:v>
      </x:c>
      <x:c r="T75" s="86" t="str">
        <x: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x:f>
        <x:v>PASS</x:v>
      </x:c>
      <x:c r="U75" s="86" t="str">
        <x: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x:f>
        <x:v>PASS</x:v>
      </x:c>
      <x:c r="V75" s="86" t="str">
        <x: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x:f>
        <x:v>PASS</x:v>
      </x:c>
      <x:c r="W75" s="87" t="str">
        <x:f>'CRAWL_LOG'!B75</x:f>
        <x:v>Chưa chạy</x:v>
      </x:c>
      <x:c r="X75" s="95" t="inlineStr">
        <x:is>
          <x:t xml:space="preserve">10-slot panel: 7 near + 3 far; AN2/AN3 inactive from 03/09</x:t>
        </x:is>
      </x:c>
    </x:row>
    <x:row r="76">
      <x:c r="A76" s="155" t="n">
        <x:v>46339</x:v>
      </x:c>
      <x:c r="B76" s="83" t="inlineStr">
        <x:is>
          <x:t xml:space="preserve">Thứ Sáu</x:t>
        </x:is>
      </x:c>
      <x:c r="C76" s="83" t="inlineStr">
        <x:is>
          <x:t xml:space="preserve">Official</x:t>
        </x:is>
      </x:c>
      <x:c r="D76" s="83" t="inlineStr">
        <x:is>
          <x:t xml:space="preserve">00:30</x:t>
        </x:is>
      </x:c>
      <x:c r="E76" s="156" t="n">
        <x:f>'SLOT_RULES'!$D$4+IF($A76&lt;='SLOT_RULES'!$D$4,0,INT(($A76-'SLOT_RULES'!$D$4-1)/'SLOT_RULES'!$E$4)+1)*'SLOT_RULES'!$E$4</x:f>
        <x:v>46353</x:v>
      </x:c>
      <x:c r="F76" s="157" t="n"/>
      <x:c r="G76" s="157" t="n"/>
      <x:c r="H76" s="156" t="n">
        <x:f>'SLOT_RULES'!$D$7+IF($A76&lt;='SLOT_RULES'!$D$7,0,INT(($A76-'SLOT_RULES'!$D$7-1)/'SLOT_RULES'!$E$7)+1)*'SLOT_RULES'!$E$7</x:f>
        <x:v>46346</x:v>
      </x:c>
      <x:c r="I76" s="156" t="n">
        <x:f>'SLOT_RULES'!$D$8+IF($A76&lt;='SLOT_RULES'!$D$8,0,INT(($A76-'SLOT_RULES'!$D$8-1)/'SLOT_RULES'!$E$8)+1)*'SLOT_RULES'!$E$8</x:f>
        <x:v>46356</x:v>
      </x:c>
      <x:c r="J76" s="156" t="n">
        <x:f>'SLOT_RULES'!$D$9+IF($A76&lt;='SLOT_RULES'!$D$9,0,INT(($A76-'SLOT_RULES'!$D$9-1)/'SLOT_RULES'!$E$9)+1)*'SLOT_RULES'!$E$9</x:f>
        <x:v>46342</x:v>
      </x:c>
      <x:c r="K76" s="156" t="n">
        <x:f>'SLOT_RULES'!$D$10+IF($A76&lt;='SLOT_RULES'!$D$10,0,INT(($A76-'SLOT_RULES'!$D$10-1)/'SLOT_RULES'!$E$10)+1)*'SLOT_RULES'!$E$10</x:f>
        <x:v>46357</x:v>
      </x:c>
      <x:c r="L76" s="156" t="n">
        <x:f>'SLOT_RULES'!$D$11+IF($A76&lt;='SLOT_RULES'!$D$11,0,INT(($A76-'SLOT_RULES'!$D$11-1)/'SLOT_RULES'!$E$11)+1)*'SLOT_RULES'!$E$11</x:f>
        <x:v>46364</x:v>
      </x:c>
      <x:c r="M76" s="156" t="n">
        <x:f>'SLOT_RULES'!$D$12+IF($A76&lt;='SLOT_RULES'!$D$12,0,INT(($A76-'SLOT_RULES'!$D$12-1)/'SLOT_RULES'!$E$12)+1)*'SLOT_RULES'!$E$12</x:f>
        <x:v>46341</x:v>
      </x:c>
      <x:c r="N76" s="156" t="n">
        <x:f>'SLOT_RULES'!$D$13+IF($A76&lt;='SLOT_RULES'!$D$13,0,INT(($A76-'SLOT_RULES'!$D$13-1)/'SLOT_RULES'!$E$13)+1)*'SLOT_RULES'!$E$13</x:f>
        <x:v>46391</x:v>
      </x:c>
      <x:c r="O76" s="156" t="n">
        <x:f>'SLOT_RULES'!$D$14+IF($A76&lt;='SLOT_RULES'!$D$14,0,INT(($A76-'SLOT_RULES'!$D$14-1)/'SLOT_RULES'!$E$14)+1)*'SLOT_RULES'!$E$14</x:f>
        <x:v>46350</x:v>
      </x:c>
      <x:c r="P76" s="156" t="n">
        <x:f>'SLOT_RULES'!$D$15+IF($A76&lt;='SLOT_RULES'!$D$15,0,INT(($A76-'SLOT_RULES'!$D$15-1)/'SLOT_RULES'!$E$15)+1)*'SLOT_RULES'!$E$15</x:f>
        <x:v>46422</x:v>
      </x:c>
      <x:c r="Q76" s="158" t="n">
        <x:f>MIN(E76:P76)-A76</x:f>
        <x:v>2</x:v>
      </x:c>
      <x:c r="R76" s="158" t="n">
        <x:f>MAX(E76:P76)-A76</x:f>
        <x:v>83</x:v>
      </x:c>
      <x:c r="S76" s="86" t="str">
        <x:f>IF(AND(COUNT(E76:P76)=10,MIN(E76:P76)&gt;=A76),"PASS","FAIL")</x:f>
        <x:v>PASS</x:v>
      </x:c>
      <x:c r="T76" s="86" t="str">
        <x: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x:f>
        <x:v>PASS</x:v>
      </x:c>
      <x:c r="U76" s="86" t="str">
        <x: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x:f>
        <x:v>PASS</x:v>
      </x:c>
      <x:c r="V76" s="86" t="str">
        <x: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x:f>
        <x:v>PASS</x:v>
      </x:c>
      <x:c r="W76" s="87" t="str">
        <x:f>'CRAWL_LOG'!B76</x:f>
        <x:v>Chưa chạy</x:v>
      </x:c>
      <x:c r="X76" s="95" t="inlineStr">
        <x:is>
          <x:t xml:space="preserve">10-slot panel: 7 near + 3 far; AN2/AN3 inactive from 03/09</x:t>
        </x:is>
      </x:c>
    </x:row>
    <x:row r="77">
      <x:c r="A77" s="155" t="n">
        <x:v>46340</x:v>
      </x:c>
      <x:c r="B77" s="83" t="inlineStr">
        <x:is>
          <x:t xml:space="preserve">Thứ Bảy</x:t>
        </x:is>
      </x:c>
      <x:c r="C77" s="83" t="inlineStr">
        <x:is>
          <x:t xml:space="preserve">Official</x:t>
        </x:is>
      </x:c>
      <x:c r="D77" s="83" t="inlineStr">
        <x:is>
          <x:t xml:space="preserve">00:30</x:t>
        </x:is>
      </x:c>
      <x:c r="E77" s="156" t="n">
        <x:f>'SLOT_RULES'!$D$4+IF($A77&lt;='SLOT_RULES'!$D$4,0,INT(($A77-'SLOT_RULES'!$D$4-1)/'SLOT_RULES'!$E$4)+1)*'SLOT_RULES'!$E$4</x:f>
        <x:v>46353</x:v>
      </x:c>
      <x:c r="F77" s="157" t="n"/>
      <x:c r="G77" s="157" t="n"/>
      <x:c r="H77" s="156" t="n">
        <x:f>'SLOT_RULES'!$D$7+IF($A77&lt;='SLOT_RULES'!$D$7,0,INT(($A77-'SLOT_RULES'!$D$7-1)/'SLOT_RULES'!$E$7)+1)*'SLOT_RULES'!$E$7</x:f>
        <x:v>46346</x:v>
      </x:c>
      <x:c r="I77" s="156" t="n">
        <x:f>'SLOT_RULES'!$D$8+IF($A77&lt;='SLOT_RULES'!$D$8,0,INT(($A77-'SLOT_RULES'!$D$8-1)/'SLOT_RULES'!$E$8)+1)*'SLOT_RULES'!$E$8</x:f>
        <x:v>46356</x:v>
      </x:c>
      <x:c r="J77" s="156" t="n">
        <x:f>'SLOT_RULES'!$D$9+IF($A77&lt;='SLOT_RULES'!$D$9,0,INT(($A77-'SLOT_RULES'!$D$9-1)/'SLOT_RULES'!$E$9)+1)*'SLOT_RULES'!$E$9</x:f>
        <x:v>46342</x:v>
      </x:c>
      <x:c r="K77" s="156" t="n">
        <x:f>'SLOT_RULES'!$D$10+IF($A77&lt;='SLOT_RULES'!$D$10,0,INT(($A77-'SLOT_RULES'!$D$10-1)/'SLOT_RULES'!$E$10)+1)*'SLOT_RULES'!$E$10</x:f>
        <x:v>46357</x:v>
      </x:c>
      <x:c r="L77" s="156" t="n">
        <x:f>'SLOT_RULES'!$D$11+IF($A77&lt;='SLOT_RULES'!$D$11,0,INT(($A77-'SLOT_RULES'!$D$11-1)/'SLOT_RULES'!$E$11)+1)*'SLOT_RULES'!$E$11</x:f>
        <x:v>46364</x:v>
      </x:c>
      <x:c r="M77" s="156" t="n">
        <x:f>'SLOT_RULES'!$D$12+IF($A77&lt;='SLOT_RULES'!$D$12,0,INT(($A77-'SLOT_RULES'!$D$12-1)/'SLOT_RULES'!$E$12)+1)*'SLOT_RULES'!$E$12</x:f>
        <x:v>46341</x:v>
      </x:c>
      <x:c r="N77" s="156" t="n">
        <x:f>'SLOT_RULES'!$D$13+IF($A77&lt;='SLOT_RULES'!$D$13,0,INT(($A77-'SLOT_RULES'!$D$13-1)/'SLOT_RULES'!$E$13)+1)*'SLOT_RULES'!$E$13</x:f>
        <x:v>46391</x:v>
      </x:c>
      <x:c r="O77" s="156" t="n">
        <x:f>'SLOT_RULES'!$D$14+IF($A77&lt;='SLOT_RULES'!$D$14,0,INT(($A77-'SLOT_RULES'!$D$14-1)/'SLOT_RULES'!$E$14)+1)*'SLOT_RULES'!$E$14</x:f>
        <x:v>46350</x:v>
      </x:c>
      <x:c r="P77" s="156" t="n">
        <x:f>'SLOT_RULES'!$D$15+IF($A77&lt;='SLOT_RULES'!$D$15,0,INT(($A77-'SLOT_RULES'!$D$15-1)/'SLOT_RULES'!$E$15)+1)*'SLOT_RULES'!$E$15</x:f>
        <x:v>46422</x:v>
      </x:c>
      <x:c r="Q77" s="158" t="n">
        <x:f>MIN(E77:P77)-A77</x:f>
        <x:v>1</x:v>
      </x:c>
      <x:c r="R77" s="158" t="n">
        <x:f>MAX(E77:P77)-A77</x:f>
        <x:v>82</x:v>
      </x:c>
      <x:c r="S77" s="86" t="str">
        <x:f>IF(AND(COUNT(E77:P77)=10,MIN(E77:P77)&gt;=A77),"PASS","FAIL")</x:f>
        <x:v>PASS</x:v>
      </x:c>
      <x:c r="T77" s="86" t="str">
        <x: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x:f>
        <x:v>PASS</x:v>
      </x:c>
      <x:c r="U77" s="86" t="str">
        <x: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x:f>
        <x:v>PASS</x:v>
      </x:c>
      <x:c r="V77" s="86" t="str">
        <x: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x:f>
        <x:v>PASS</x:v>
      </x:c>
      <x:c r="W77" s="87" t="str">
        <x:f>'CRAWL_LOG'!B77</x:f>
        <x:v>Chưa chạy</x:v>
      </x:c>
      <x:c r="X77" s="95" t="inlineStr">
        <x:is>
          <x:t xml:space="preserve">10-slot panel: 7 near + 3 far; AN2/AN3 inactive from 03/09</x:t>
        </x:is>
      </x:c>
    </x:row>
    <x:row r="78">
      <x:c r="A78" s="155" t="n">
        <x:v>46341</x:v>
      </x:c>
      <x:c r="B78" s="83" t="inlineStr">
        <x:is>
          <x:t xml:space="preserve">Chủ Nhật</x:t>
        </x:is>
      </x:c>
      <x:c r="C78" s="83" t="inlineStr">
        <x:is>
          <x:t xml:space="preserve">Official</x:t>
        </x:is>
      </x:c>
      <x:c r="D78" s="83" t="inlineStr">
        <x:is>
          <x:t xml:space="preserve">00:30</x:t>
        </x:is>
      </x:c>
      <x:c r="E78" s="156" t="n">
        <x:f>'SLOT_RULES'!$D$4+IF($A78&lt;='SLOT_RULES'!$D$4,0,INT(($A78-'SLOT_RULES'!$D$4-1)/'SLOT_RULES'!$E$4)+1)*'SLOT_RULES'!$E$4</x:f>
        <x:v>46353</x:v>
      </x:c>
      <x:c r="F78" s="157" t="n"/>
      <x:c r="G78" s="157" t="n"/>
      <x:c r="H78" s="156" t="n">
        <x:f>'SLOT_RULES'!$D$7+IF($A78&lt;='SLOT_RULES'!$D$7,0,INT(($A78-'SLOT_RULES'!$D$7-1)/'SLOT_RULES'!$E$7)+1)*'SLOT_RULES'!$E$7</x:f>
        <x:v>46346</x:v>
      </x:c>
      <x:c r="I78" s="156" t="n">
        <x:f>'SLOT_RULES'!$D$8+IF($A78&lt;='SLOT_RULES'!$D$8,0,INT(($A78-'SLOT_RULES'!$D$8-1)/'SLOT_RULES'!$E$8)+1)*'SLOT_RULES'!$E$8</x:f>
        <x:v>46356</x:v>
      </x:c>
      <x:c r="J78" s="156" t="n">
        <x:f>'SLOT_RULES'!$D$9+IF($A78&lt;='SLOT_RULES'!$D$9,0,INT(($A78-'SLOT_RULES'!$D$9-1)/'SLOT_RULES'!$E$9)+1)*'SLOT_RULES'!$E$9</x:f>
        <x:v>46342</x:v>
      </x:c>
      <x:c r="K78" s="156" t="n">
        <x:f>'SLOT_RULES'!$D$10+IF($A78&lt;='SLOT_RULES'!$D$10,0,INT(($A78-'SLOT_RULES'!$D$10-1)/'SLOT_RULES'!$E$10)+1)*'SLOT_RULES'!$E$10</x:f>
        <x:v>46357</x:v>
      </x:c>
      <x:c r="L78" s="156" t="n">
        <x:f>'SLOT_RULES'!$D$11+IF($A78&lt;='SLOT_RULES'!$D$11,0,INT(($A78-'SLOT_RULES'!$D$11-1)/'SLOT_RULES'!$E$11)+1)*'SLOT_RULES'!$E$11</x:f>
        <x:v>46364</x:v>
      </x:c>
      <x:c r="M78" s="156" t="n">
        <x:f>'SLOT_RULES'!$D$12+IF($A78&lt;='SLOT_RULES'!$D$12,0,INT(($A78-'SLOT_RULES'!$D$12-1)/'SLOT_RULES'!$E$12)+1)*'SLOT_RULES'!$E$12</x:f>
        <x:v>46341</x:v>
      </x:c>
      <x:c r="N78" s="156" t="n">
        <x:f>'SLOT_RULES'!$D$13+IF($A78&lt;='SLOT_RULES'!$D$13,0,INT(($A78-'SLOT_RULES'!$D$13-1)/'SLOT_RULES'!$E$13)+1)*'SLOT_RULES'!$E$13</x:f>
        <x:v>46391</x:v>
      </x:c>
      <x:c r="O78" s="156" t="n">
        <x:f>'SLOT_RULES'!$D$14+IF($A78&lt;='SLOT_RULES'!$D$14,0,INT(($A78-'SLOT_RULES'!$D$14-1)/'SLOT_RULES'!$E$14)+1)*'SLOT_RULES'!$E$14</x:f>
        <x:v>46350</x:v>
      </x:c>
      <x:c r="P78" s="156" t="n">
        <x:f>'SLOT_RULES'!$D$15+IF($A78&lt;='SLOT_RULES'!$D$15,0,INT(($A78-'SLOT_RULES'!$D$15-1)/'SLOT_RULES'!$E$15)+1)*'SLOT_RULES'!$E$15</x:f>
        <x:v>46422</x:v>
      </x:c>
      <x:c r="Q78" s="158" t="n">
        <x:f>MIN(E78:P78)-A78</x:f>
        <x:v>0</x:v>
      </x:c>
      <x:c r="R78" s="158" t="n">
        <x:f>MAX(E78:P78)-A78</x:f>
        <x:v>81</x:v>
      </x:c>
      <x:c r="S78" s="86" t="str">
        <x:f>IF(AND(COUNT(E78:P78)=10,MIN(E78:P78)&gt;=A78),"PASS","FAIL")</x:f>
        <x:v>PASS</x:v>
      </x:c>
      <x:c r="T78" s="86" t="str">
        <x: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x:f>
        <x:v>PASS</x:v>
      </x:c>
      <x:c r="U78" s="86" t="str">
        <x: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x:f>
        <x:v>PASS</x:v>
      </x:c>
      <x:c r="V78" s="86" t="str">
        <x: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x:f>
        <x:v>PASS</x:v>
      </x:c>
      <x:c r="W78" s="87" t="str">
        <x:f>'CRAWL_LOG'!B78</x:f>
        <x:v>Chưa chạy</x:v>
      </x:c>
      <x:c r="X78" s="95" t="inlineStr">
        <x:is>
          <x:t xml:space="preserve">10-slot panel: 7 near + 3 far; AN2/AN3 inactive from 03/09</x:t>
        </x:is>
      </x:c>
    </x:row>
    <x:row r="79">
      <x:c r="A79" s="155" t="n">
        <x:v>46342</x:v>
      </x:c>
      <x:c r="B79" s="83" t="inlineStr">
        <x:is>
          <x:t xml:space="preserve">Thứ Hai</x:t>
        </x:is>
      </x:c>
      <x:c r="C79" s="83" t="inlineStr">
        <x:is>
          <x:t xml:space="preserve">Official</x:t>
        </x:is>
      </x:c>
      <x:c r="D79" s="83" t="inlineStr">
        <x:is>
          <x:t xml:space="preserve">00:30</x:t>
        </x:is>
      </x:c>
      <x:c r="E79" s="156" t="n">
        <x:f>'SLOT_RULES'!$D$4+IF($A79&lt;='SLOT_RULES'!$D$4,0,INT(($A79-'SLOT_RULES'!$D$4-1)/'SLOT_RULES'!$E$4)+1)*'SLOT_RULES'!$E$4</x:f>
        <x:v>46353</x:v>
      </x:c>
      <x:c r="F79" s="157" t="n"/>
      <x:c r="G79" s="157" t="n"/>
      <x:c r="H79" s="156" t="n">
        <x:f>'SLOT_RULES'!$D$7+IF($A79&lt;='SLOT_RULES'!$D$7,0,INT(($A79-'SLOT_RULES'!$D$7-1)/'SLOT_RULES'!$E$7)+1)*'SLOT_RULES'!$E$7</x:f>
        <x:v>46346</x:v>
      </x:c>
      <x:c r="I79" s="156" t="n">
        <x:f>'SLOT_RULES'!$D$8+IF($A79&lt;='SLOT_RULES'!$D$8,0,INT(($A79-'SLOT_RULES'!$D$8-1)/'SLOT_RULES'!$E$8)+1)*'SLOT_RULES'!$E$8</x:f>
        <x:v>46356</x:v>
      </x:c>
      <x:c r="J79" s="156" t="n">
        <x:f>'SLOT_RULES'!$D$9+IF($A79&lt;='SLOT_RULES'!$D$9,0,INT(($A79-'SLOT_RULES'!$D$9-1)/'SLOT_RULES'!$E$9)+1)*'SLOT_RULES'!$E$9</x:f>
        <x:v>46342</x:v>
      </x:c>
      <x:c r="K79" s="156" t="n">
        <x:f>'SLOT_RULES'!$D$10+IF($A79&lt;='SLOT_RULES'!$D$10,0,INT(($A79-'SLOT_RULES'!$D$10-1)/'SLOT_RULES'!$E$10)+1)*'SLOT_RULES'!$E$10</x:f>
        <x:v>46357</x:v>
      </x:c>
      <x:c r="L79" s="156" t="n">
        <x:f>'SLOT_RULES'!$D$11+IF($A79&lt;='SLOT_RULES'!$D$11,0,INT(($A79-'SLOT_RULES'!$D$11-1)/'SLOT_RULES'!$E$11)+1)*'SLOT_RULES'!$E$11</x:f>
        <x:v>46364</x:v>
      </x:c>
      <x:c r="M79" s="156" t="n">
        <x:f>'SLOT_RULES'!$D$12+IF($A79&lt;='SLOT_RULES'!$D$12,0,INT(($A79-'SLOT_RULES'!$D$12-1)/'SLOT_RULES'!$E$12)+1)*'SLOT_RULES'!$E$12</x:f>
        <x:v>46369</x:v>
      </x:c>
      <x:c r="N79" s="156" t="n">
        <x:f>'SLOT_RULES'!$D$13+IF($A79&lt;='SLOT_RULES'!$D$13,0,INT(($A79-'SLOT_RULES'!$D$13-1)/'SLOT_RULES'!$E$13)+1)*'SLOT_RULES'!$E$13</x:f>
        <x:v>46391</x:v>
      </x:c>
      <x:c r="O79" s="156" t="n">
        <x:f>'SLOT_RULES'!$D$14+IF($A79&lt;='SLOT_RULES'!$D$14,0,INT(($A79-'SLOT_RULES'!$D$14-1)/'SLOT_RULES'!$E$14)+1)*'SLOT_RULES'!$E$14</x:f>
        <x:v>46350</x:v>
      </x:c>
      <x:c r="P79" s="156" t="n">
        <x:f>'SLOT_RULES'!$D$15+IF($A79&lt;='SLOT_RULES'!$D$15,0,INT(($A79-'SLOT_RULES'!$D$15-1)/'SLOT_RULES'!$E$15)+1)*'SLOT_RULES'!$E$15</x:f>
        <x:v>46422</x:v>
      </x:c>
      <x:c r="Q79" s="158" t="n">
        <x:f>MIN(E79:P79)-A79</x:f>
        <x:v>0</x:v>
      </x:c>
      <x:c r="R79" s="158" t="n">
        <x:f>MAX(E79:P79)-A79</x:f>
        <x:v>80</x:v>
      </x:c>
      <x:c r="S79" s="86" t="str">
        <x:f>IF(AND(COUNT(E79:P79)=10,MIN(E79:P79)&gt;=A79),"PASS","FAIL")</x:f>
        <x:v>PASS</x:v>
      </x:c>
      <x:c r="T79" s="86" t="str">
        <x: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x:f>
        <x:v>PASS</x:v>
      </x:c>
      <x:c r="U79" s="86" t="str">
        <x: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x:f>
        <x:v>PASS</x:v>
      </x:c>
      <x:c r="V79" s="86" t="str">
        <x: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x:f>
        <x:v>PASS</x:v>
      </x:c>
      <x:c r="W79" s="87" t="str">
        <x:f>'CRAWL_LOG'!B79</x:f>
        <x:v>Chưa chạy</x:v>
      </x:c>
      <x:c r="X79" s="95" t="inlineStr">
        <x:is>
          <x:t xml:space="preserve">10-slot panel: 7 near + 3 far; AN2/AN3 inactive from 03/09</x:t>
        </x:is>
      </x:c>
    </x:row>
    <x:row r="80">
      <x:c r="A80" s="155" t="n">
        <x:v>46343</x:v>
      </x:c>
      <x:c r="B80" s="83" t="inlineStr">
        <x:is>
          <x:t xml:space="preserve">Thứ Ba</x:t>
        </x:is>
      </x:c>
      <x:c r="C80" s="83" t="inlineStr">
        <x:is>
          <x:t xml:space="preserve">Official</x:t>
        </x:is>
      </x:c>
      <x:c r="D80" s="83" t="inlineStr">
        <x:is>
          <x:t xml:space="preserve">00:30</x:t>
        </x:is>
      </x:c>
      <x:c r="E80" s="156" t="n">
        <x:f>'SLOT_RULES'!$D$4+IF($A80&lt;='SLOT_RULES'!$D$4,0,INT(($A80-'SLOT_RULES'!$D$4-1)/'SLOT_RULES'!$E$4)+1)*'SLOT_RULES'!$E$4</x:f>
        <x:v>46353</x:v>
      </x:c>
      <x:c r="F80" s="157" t="n"/>
      <x:c r="G80" s="157" t="n"/>
      <x:c r="H80" s="156" t="n">
        <x:f>'SLOT_RULES'!$D$7+IF($A80&lt;='SLOT_RULES'!$D$7,0,INT(($A80-'SLOT_RULES'!$D$7-1)/'SLOT_RULES'!$E$7)+1)*'SLOT_RULES'!$E$7</x:f>
        <x:v>46346</x:v>
      </x:c>
      <x:c r="I80" s="156" t="n">
        <x:f>'SLOT_RULES'!$D$8+IF($A80&lt;='SLOT_RULES'!$D$8,0,INT(($A80-'SLOT_RULES'!$D$8-1)/'SLOT_RULES'!$E$8)+1)*'SLOT_RULES'!$E$8</x:f>
        <x:v>46356</x:v>
      </x:c>
      <x:c r="J80" s="156" t="n">
        <x:f>'SLOT_RULES'!$D$9+IF($A80&lt;='SLOT_RULES'!$D$9,0,INT(($A80-'SLOT_RULES'!$D$9-1)/'SLOT_RULES'!$E$9)+1)*'SLOT_RULES'!$E$9</x:f>
        <x:v>46370</x:v>
      </x:c>
      <x:c r="K80" s="156" t="n">
        <x:f>'SLOT_RULES'!$D$10+IF($A80&lt;='SLOT_RULES'!$D$10,0,INT(($A80-'SLOT_RULES'!$D$10-1)/'SLOT_RULES'!$E$10)+1)*'SLOT_RULES'!$E$10</x:f>
        <x:v>46357</x:v>
      </x:c>
      <x:c r="L80" s="156" t="n">
        <x:f>'SLOT_RULES'!$D$11+IF($A80&lt;='SLOT_RULES'!$D$11,0,INT(($A80-'SLOT_RULES'!$D$11-1)/'SLOT_RULES'!$E$11)+1)*'SLOT_RULES'!$E$11</x:f>
        <x:v>46364</x:v>
      </x:c>
      <x:c r="M80" s="156" t="n">
        <x:f>'SLOT_RULES'!$D$12+IF($A80&lt;='SLOT_RULES'!$D$12,0,INT(($A80-'SLOT_RULES'!$D$12-1)/'SLOT_RULES'!$E$12)+1)*'SLOT_RULES'!$E$12</x:f>
        <x:v>46369</x:v>
      </x:c>
      <x:c r="N80" s="156" t="n">
        <x:f>'SLOT_RULES'!$D$13+IF($A80&lt;='SLOT_RULES'!$D$13,0,INT(($A80-'SLOT_RULES'!$D$13-1)/'SLOT_RULES'!$E$13)+1)*'SLOT_RULES'!$E$13</x:f>
        <x:v>46391</x:v>
      </x:c>
      <x:c r="O80" s="156" t="n">
        <x:f>'SLOT_RULES'!$D$14+IF($A80&lt;='SLOT_RULES'!$D$14,0,INT(($A80-'SLOT_RULES'!$D$14-1)/'SLOT_RULES'!$E$14)+1)*'SLOT_RULES'!$E$14</x:f>
        <x:v>46350</x:v>
      </x:c>
      <x:c r="P80" s="156" t="n">
        <x:f>'SLOT_RULES'!$D$15+IF($A80&lt;='SLOT_RULES'!$D$15,0,INT(($A80-'SLOT_RULES'!$D$15-1)/'SLOT_RULES'!$E$15)+1)*'SLOT_RULES'!$E$15</x:f>
        <x:v>46422</x:v>
      </x:c>
      <x:c r="Q80" s="158" t="n">
        <x:f>MIN(E80:P80)-A80</x:f>
        <x:v>3</x:v>
      </x:c>
      <x:c r="R80" s="158" t="n">
        <x:f>MAX(E80:P80)-A80</x:f>
        <x:v>79</x:v>
      </x:c>
      <x:c r="S80" s="86" t="str">
        <x:f>IF(AND(COUNT(E80:P80)=10,MIN(E80:P80)&gt;=A80),"PASS","FAIL")</x:f>
        <x:v>PASS</x:v>
      </x:c>
      <x:c r="T80" s="86" t="str">
        <x: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x:f>
        <x:v>PASS</x:v>
      </x:c>
      <x:c r="U80" s="86" t="str">
        <x: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x:f>
        <x:v>PASS</x:v>
      </x:c>
      <x:c r="V80" s="86" t="str">
        <x: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x:f>
        <x:v>PASS</x:v>
      </x:c>
      <x:c r="W80" s="87" t="str">
        <x:f>'CRAWL_LOG'!B80</x:f>
        <x:v>Chưa chạy</x:v>
      </x:c>
      <x:c r="X80" s="95" t="inlineStr">
        <x:is>
          <x:t xml:space="preserve">10-slot panel: 7 near + 3 far; AN2/AN3 inactive from 03/09</x:t>
        </x:is>
      </x:c>
    </x:row>
    <x:row r="81">
      <x:c r="A81" s="155" t="n">
        <x:v>46344</x:v>
      </x:c>
      <x:c r="B81" s="83" t="inlineStr">
        <x:is>
          <x:t xml:space="preserve">Thứ Tư</x:t>
        </x:is>
      </x:c>
      <x:c r="C81" s="83" t="inlineStr">
        <x:is>
          <x:t xml:space="preserve">Official</x:t>
        </x:is>
      </x:c>
      <x:c r="D81" s="83" t="inlineStr">
        <x:is>
          <x:t xml:space="preserve">00:30</x:t>
        </x:is>
      </x:c>
      <x:c r="E81" s="156" t="n">
        <x:f>'SLOT_RULES'!$D$4+IF($A81&lt;='SLOT_RULES'!$D$4,0,INT(($A81-'SLOT_RULES'!$D$4-1)/'SLOT_RULES'!$E$4)+1)*'SLOT_RULES'!$E$4</x:f>
        <x:v>46353</x:v>
      </x:c>
      <x:c r="F81" s="157" t="n"/>
      <x:c r="G81" s="157" t="n"/>
      <x:c r="H81" s="156" t="n">
        <x:f>'SLOT_RULES'!$D$7+IF($A81&lt;='SLOT_RULES'!$D$7,0,INT(($A81-'SLOT_RULES'!$D$7-1)/'SLOT_RULES'!$E$7)+1)*'SLOT_RULES'!$E$7</x:f>
        <x:v>46346</x:v>
      </x:c>
      <x:c r="I81" s="156" t="n">
        <x:f>'SLOT_RULES'!$D$8+IF($A81&lt;='SLOT_RULES'!$D$8,0,INT(($A81-'SLOT_RULES'!$D$8-1)/'SLOT_RULES'!$E$8)+1)*'SLOT_RULES'!$E$8</x:f>
        <x:v>46356</x:v>
      </x:c>
      <x:c r="J81" s="156" t="n">
        <x:f>'SLOT_RULES'!$D$9+IF($A81&lt;='SLOT_RULES'!$D$9,0,INT(($A81-'SLOT_RULES'!$D$9-1)/'SLOT_RULES'!$E$9)+1)*'SLOT_RULES'!$E$9</x:f>
        <x:v>46370</x:v>
      </x:c>
      <x:c r="K81" s="156" t="n">
        <x:f>'SLOT_RULES'!$D$10+IF($A81&lt;='SLOT_RULES'!$D$10,0,INT(($A81-'SLOT_RULES'!$D$10-1)/'SLOT_RULES'!$E$10)+1)*'SLOT_RULES'!$E$10</x:f>
        <x:v>46357</x:v>
      </x:c>
      <x:c r="L81" s="156" t="n">
        <x:f>'SLOT_RULES'!$D$11+IF($A81&lt;='SLOT_RULES'!$D$11,0,INT(($A81-'SLOT_RULES'!$D$11-1)/'SLOT_RULES'!$E$11)+1)*'SLOT_RULES'!$E$11</x:f>
        <x:v>46364</x:v>
      </x:c>
      <x:c r="M81" s="156" t="n">
        <x:f>'SLOT_RULES'!$D$12+IF($A81&lt;='SLOT_RULES'!$D$12,0,INT(($A81-'SLOT_RULES'!$D$12-1)/'SLOT_RULES'!$E$12)+1)*'SLOT_RULES'!$E$12</x:f>
        <x:v>46369</x:v>
      </x:c>
      <x:c r="N81" s="156" t="n">
        <x:f>'SLOT_RULES'!$D$13+IF($A81&lt;='SLOT_RULES'!$D$13,0,INT(($A81-'SLOT_RULES'!$D$13-1)/'SLOT_RULES'!$E$13)+1)*'SLOT_RULES'!$E$13</x:f>
        <x:v>46391</x:v>
      </x:c>
      <x:c r="O81" s="156" t="n">
        <x:f>'SLOT_RULES'!$D$14+IF($A81&lt;='SLOT_RULES'!$D$14,0,INT(($A81-'SLOT_RULES'!$D$14-1)/'SLOT_RULES'!$E$14)+1)*'SLOT_RULES'!$E$14</x:f>
        <x:v>46350</x:v>
      </x:c>
      <x:c r="P81" s="156" t="n">
        <x:f>'SLOT_RULES'!$D$15+IF($A81&lt;='SLOT_RULES'!$D$15,0,INT(($A81-'SLOT_RULES'!$D$15-1)/'SLOT_RULES'!$E$15)+1)*'SLOT_RULES'!$E$15</x:f>
        <x:v>46422</x:v>
      </x:c>
      <x:c r="Q81" s="158" t="n">
        <x:f>MIN(E81:P81)-A81</x:f>
        <x:v>2</x:v>
      </x:c>
      <x:c r="R81" s="158" t="n">
        <x:f>MAX(E81:P81)-A81</x:f>
        <x:v>78</x:v>
      </x:c>
      <x:c r="S81" s="86" t="str">
        <x:f>IF(AND(COUNT(E81:P81)=10,MIN(E81:P81)&gt;=A81),"PASS","FAIL")</x:f>
        <x:v>PASS</x:v>
      </x:c>
      <x:c r="T81" s="86" t="str">
        <x: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x:f>
        <x:v>PASS</x:v>
      </x:c>
      <x:c r="U81" s="86" t="str">
        <x: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x:f>
        <x:v>PASS</x:v>
      </x:c>
      <x:c r="V81" s="86" t="str">
        <x: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x:f>
        <x:v>PASS</x:v>
      </x:c>
      <x:c r="W81" s="87" t="str">
        <x:f>'CRAWL_LOG'!B81</x:f>
        <x:v>Chưa chạy</x:v>
      </x:c>
      <x:c r="X81" s="95" t="inlineStr">
        <x:is>
          <x:t xml:space="preserve">10-slot panel: 7 near + 3 far; AN2/AN3 inactive from 03/09</x:t>
        </x:is>
      </x:c>
    </x:row>
    <x:row r="82">
      <x:c r="A82" s="155" t="n">
        <x:v>46345</x:v>
      </x:c>
      <x:c r="B82" s="83" t="inlineStr">
        <x:is>
          <x:t xml:space="preserve">Thứ Năm</x:t>
        </x:is>
      </x:c>
      <x:c r="C82" s="83" t="inlineStr">
        <x:is>
          <x:t xml:space="preserve">Official</x:t>
        </x:is>
      </x:c>
      <x:c r="D82" s="83" t="inlineStr">
        <x:is>
          <x:t xml:space="preserve">00:30</x:t>
        </x:is>
      </x:c>
      <x:c r="E82" s="156" t="n">
        <x:f>'SLOT_RULES'!$D$4+IF($A82&lt;='SLOT_RULES'!$D$4,0,INT(($A82-'SLOT_RULES'!$D$4-1)/'SLOT_RULES'!$E$4)+1)*'SLOT_RULES'!$E$4</x:f>
        <x:v>46353</x:v>
      </x:c>
      <x:c r="F82" s="157" t="n"/>
      <x:c r="G82" s="157" t="n"/>
      <x:c r="H82" s="156" t="n">
        <x:f>'SLOT_RULES'!$D$7+IF($A82&lt;='SLOT_RULES'!$D$7,0,INT(($A82-'SLOT_RULES'!$D$7-1)/'SLOT_RULES'!$E$7)+1)*'SLOT_RULES'!$E$7</x:f>
        <x:v>46346</x:v>
      </x:c>
      <x:c r="I82" s="156" t="n">
        <x:f>'SLOT_RULES'!$D$8+IF($A82&lt;='SLOT_RULES'!$D$8,0,INT(($A82-'SLOT_RULES'!$D$8-1)/'SLOT_RULES'!$E$8)+1)*'SLOT_RULES'!$E$8</x:f>
        <x:v>46356</x:v>
      </x:c>
      <x:c r="J82" s="156" t="n">
        <x:f>'SLOT_RULES'!$D$9+IF($A82&lt;='SLOT_RULES'!$D$9,0,INT(($A82-'SLOT_RULES'!$D$9-1)/'SLOT_RULES'!$E$9)+1)*'SLOT_RULES'!$E$9</x:f>
        <x:v>46370</x:v>
      </x:c>
      <x:c r="K82" s="156" t="n">
        <x:f>'SLOT_RULES'!$D$10+IF($A82&lt;='SLOT_RULES'!$D$10,0,INT(($A82-'SLOT_RULES'!$D$10-1)/'SLOT_RULES'!$E$10)+1)*'SLOT_RULES'!$E$10</x:f>
        <x:v>46357</x:v>
      </x:c>
      <x:c r="L82" s="156" t="n">
        <x:f>'SLOT_RULES'!$D$11+IF($A82&lt;='SLOT_RULES'!$D$11,0,INT(($A82-'SLOT_RULES'!$D$11-1)/'SLOT_RULES'!$E$11)+1)*'SLOT_RULES'!$E$11</x:f>
        <x:v>46364</x:v>
      </x:c>
      <x:c r="M82" s="156" t="n">
        <x:f>'SLOT_RULES'!$D$12+IF($A82&lt;='SLOT_RULES'!$D$12,0,INT(($A82-'SLOT_RULES'!$D$12-1)/'SLOT_RULES'!$E$12)+1)*'SLOT_RULES'!$E$12</x:f>
        <x:v>46369</x:v>
      </x:c>
      <x:c r="N82" s="156" t="n">
        <x:f>'SLOT_RULES'!$D$13+IF($A82&lt;='SLOT_RULES'!$D$13,0,INT(($A82-'SLOT_RULES'!$D$13-1)/'SLOT_RULES'!$E$13)+1)*'SLOT_RULES'!$E$13</x:f>
        <x:v>46391</x:v>
      </x:c>
      <x:c r="O82" s="156" t="n">
        <x:f>'SLOT_RULES'!$D$14+IF($A82&lt;='SLOT_RULES'!$D$14,0,INT(($A82-'SLOT_RULES'!$D$14-1)/'SLOT_RULES'!$E$14)+1)*'SLOT_RULES'!$E$14</x:f>
        <x:v>46350</x:v>
      </x:c>
      <x:c r="P82" s="156" t="n">
        <x:f>'SLOT_RULES'!$D$15+IF($A82&lt;='SLOT_RULES'!$D$15,0,INT(($A82-'SLOT_RULES'!$D$15-1)/'SLOT_RULES'!$E$15)+1)*'SLOT_RULES'!$E$15</x:f>
        <x:v>46422</x:v>
      </x:c>
      <x:c r="Q82" s="158" t="n">
        <x:f>MIN(E82:P82)-A82</x:f>
        <x:v>1</x:v>
      </x:c>
      <x:c r="R82" s="158" t="n">
        <x:f>MAX(E82:P82)-A82</x:f>
        <x:v>77</x:v>
      </x:c>
      <x:c r="S82" s="86" t="str">
        <x:f>IF(AND(COUNT(E82:P82)=10,MIN(E82:P82)&gt;=A82),"PASS","FAIL")</x:f>
        <x:v>PASS</x:v>
      </x:c>
      <x:c r="T82" s="86" t="str">
        <x: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x:f>
        <x:v>PASS</x:v>
      </x:c>
      <x:c r="U82" s="86" t="str">
        <x: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x:f>
        <x:v>PASS</x:v>
      </x:c>
      <x:c r="V82" s="86" t="str">
        <x: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x:f>
        <x:v>PASS</x:v>
      </x:c>
      <x:c r="W82" s="87" t="str">
        <x:f>'CRAWL_LOG'!B82</x:f>
        <x:v>Chưa chạy</x:v>
      </x:c>
      <x:c r="X82" s="95" t="inlineStr">
        <x:is>
          <x:t xml:space="preserve">10-slot panel: 7 near + 3 far; AN2/AN3 inactive from 03/09</x:t>
        </x:is>
      </x:c>
    </x:row>
    <x:row r="83">
      <x:c r="A83" s="155" t="n">
        <x:v>46346</x:v>
      </x:c>
      <x:c r="B83" s="83" t="inlineStr">
        <x:is>
          <x:t xml:space="preserve">Thứ Sáu</x:t>
        </x:is>
      </x:c>
      <x:c r="C83" s="83" t="inlineStr">
        <x:is>
          <x:t xml:space="preserve">Official</x:t>
        </x:is>
      </x:c>
      <x:c r="D83" s="83" t="inlineStr">
        <x:is>
          <x:t xml:space="preserve">00:30</x:t>
        </x:is>
      </x:c>
      <x:c r="E83" s="156" t="n">
        <x:f>'SLOT_RULES'!$D$4+IF($A83&lt;='SLOT_RULES'!$D$4,0,INT(($A83-'SLOT_RULES'!$D$4-1)/'SLOT_RULES'!$E$4)+1)*'SLOT_RULES'!$E$4</x:f>
        <x:v>46353</x:v>
      </x:c>
      <x:c r="F83" s="157" t="n"/>
      <x:c r="G83" s="157" t="n"/>
      <x:c r="H83" s="156" t="n">
        <x:f>'SLOT_RULES'!$D$7+IF($A83&lt;='SLOT_RULES'!$D$7,0,INT(($A83-'SLOT_RULES'!$D$7-1)/'SLOT_RULES'!$E$7)+1)*'SLOT_RULES'!$E$7</x:f>
        <x:v>46346</x:v>
      </x:c>
      <x:c r="I83" s="156" t="n">
        <x:f>'SLOT_RULES'!$D$8+IF($A83&lt;='SLOT_RULES'!$D$8,0,INT(($A83-'SLOT_RULES'!$D$8-1)/'SLOT_RULES'!$E$8)+1)*'SLOT_RULES'!$E$8</x:f>
        <x:v>46356</x:v>
      </x:c>
      <x:c r="J83" s="156" t="n">
        <x:f>'SLOT_RULES'!$D$9+IF($A83&lt;='SLOT_RULES'!$D$9,0,INT(($A83-'SLOT_RULES'!$D$9-1)/'SLOT_RULES'!$E$9)+1)*'SLOT_RULES'!$E$9</x:f>
        <x:v>46370</x:v>
      </x:c>
      <x:c r="K83" s="156" t="n">
        <x:f>'SLOT_RULES'!$D$10+IF($A83&lt;='SLOT_RULES'!$D$10,0,INT(($A83-'SLOT_RULES'!$D$10-1)/'SLOT_RULES'!$E$10)+1)*'SLOT_RULES'!$E$10</x:f>
        <x:v>46357</x:v>
      </x:c>
      <x:c r="L83" s="156" t="n">
        <x:f>'SLOT_RULES'!$D$11+IF($A83&lt;='SLOT_RULES'!$D$11,0,INT(($A83-'SLOT_RULES'!$D$11-1)/'SLOT_RULES'!$E$11)+1)*'SLOT_RULES'!$E$11</x:f>
        <x:v>46364</x:v>
      </x:c>
      <x:c r="M83" s="156" t="n">
        <x:f>'SLOT_RULES'!$D$12+IF($A83&lt;='SLOT_RULES'!$D$12,0,INT(($A83-'SLOT_RULES'!$D$12-1)/'SLOT_RULES'!$E$12)+1)*'SLOT_RULES'!$E$12</x:f>
        <x:v>46369</x:v>
      </x:c>
      <x:c r="N83" s="156" t="n">
        <x:f>'SLOT_RULES'!$D$13+IF($A83&lt;='SLOT_RULES'!$D$13,0,INT(($A83-'SLOT_RULES'!$D$13-1)/'SLOT_RULES'!$E$13)+1)*'SLOT_RULES'!$E$13</x:f>
        <x:v>46391</x:v>
      </x:c>
      <x:c r="O83" s="156" t="n">
        <x:f>'SLOT_RULES'!$D$14+IF($A83&lt;='SLOT_RULES'!$D$14,0,INT(($A83-'SLOT_RULES'!$D$14-1)/'SLOT_RULES'!$E$14)+1)*'SLOT_RULES'!$E$14</x:f>
        <x:v>46350</x:v>
      </x:c>
      <x:c r="P83" s="156" t="n">
        <x:f>'SLOT_RULES'!$D$15+IF($A83&lt;='SLOT_RULES'!$D$15,0,INT(($A83-'SLOT_RULES'!$D$15-1)/'SLOT_RULES'!$E$15)+1)*'SLOT_RULES'!$E$15</x:f>
        <x:v>46422</x:v>
      </x:c>
      <x:c r="Q83" s="158" t="n">
        <x:f>MIN(E83:P83)-A83</x:f>
        <x:v>0</x:v>
      </x:c>
      <x:c r="R83" s="158" t="n">
        <x:f>MAX(E83:P83)-A83</x:f>
        <x:v>76</x:v>
      </x:c>
      <x:c r="S83" s="86" t="str">
        <x:f>IF(AND(COUNT(E83:P83)=10,MIN(E83:P83)&gt;=A83),"PASS","FAIL")</x:f>
        <x:v>PASS</x:v>
      </x:c>
      <x:c r="T83" s="86" t="str">
        <x: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x:f>
        <x:v>PASS</x:v>
      </x:c>
      <x:c r="U83" s="86" t="str">
        <x: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x:f>
        <x:v>PASS</x:v>
      </x:c>
      <x:c r="V83" s="86" t="str">
        <x: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x:f>
        <x:v>PASS</x:v>
      </x:c>
      <x:c r="W83" s="87" t="str">
        <x:f>'CRAWL_LOG'!B83</x:f>
        <x:v>Chưa chạy</x:v>
      </x:c>
      <x:c r="X83" s="95" t="inlineStr">
        <x:is>
          <x:t xml:space="preserve">10-slot panel: 7 near + 3 far; AN2/AN3 inactive from 03/09</x:t>
        </x:is>
      </x:c>
    </x:row>
    <x:row r="84">
      <x:c r="A84" s="155" t="n">
        <x:v>46347</x:v>
      </x:c>
      <x:c r="B84" s="83" t="inlineStr">
        <x:is>
          <x:t xml:space="preserve">Thứ Bảy</x:t>
        </x:is>
      </x:c>
      <x:c r="C84" s="83" t="inlineStr">
        <x:is>
          <x:t xml:space="preserve">Official</x:t>
        </x:is>
      </x:c>
      <x:c r="D84" s="83" t="inlineStr">
        <x:is>
          <x:t xml:space="preserve">00:30</x:t>
        </x:is>
      </x:c>
      <x:c r="E84" s="156" t="n">
        <x:f>'SLOT_RULES'!$D$4+IF($A84&lt;='SLOT_RULES'!$D$4,0,INT(($A84-'SLOT_RULES'!$D$4-1)/'SLOT_RULES'!$E$4)+1)*'SLOT_RULES'!$E$4</x:f>
        <x:v>46353</x:v>
      </x:c>
      <x:c r="F84" s="157" t="n"/>
      <x:c r="G84" s="157" t="n"/>
      <x:c r="H84" s="156" t="n">
        <x:f>'SLOT_RULES'!$D$7+IF($A84&lt;='SLOT_RULES'!$D$7,0,INT(($A84-'SLOT_RULES'!$D$7-1)/'SLOT_RULES'!$E$7)+1)*'SLOT_RULES'!$E$7</x:f>
        <x:v>46374</x:v>
      </x:c>
      <x:c r="I84" s="156" t="n">
        <x:f>'SLOT_RULES'!$D$8+IF($A84&lt;='SLOT_RULES'!$D$8,0,INT(($A84-'SLOT_RULES'!$D$8-1)/'SLOT_RULES'!$E$8)+1)*'SLOT_RULES'!$E$8</x:f>
        <x:v>46356</x:v>
      </x:c>
      <x:c r="J84" s="156" t="n">
        <x:f>'SLOT_RULES'!$D$9+IF($A84&lt;='SLOT_RULES'!$D$9,0,INT(($A84-'SLOT_RULES'!$D$9-1)/'SLOT_RULES'!$E$9)+1)*'SLOT_RULES'!$E$9</x:f>
        <x:v>46370</x:v>
      </x:c>
      <x:c r="K84" s="156" t="n">
        <x:f>'SLOT_RULES'!$D$10+IF($A84&lt;='SLOT_RULES'!$D$10,0,INT(($A84-'SLOT_RULES'!$D$10-1)/'SLOT_RULES'!$E$10)+1)*'SLOT_RULES'!$E$10</x:f>
        <x:v>46357</x:v>
      </x:c>
      <x:c r="L84" s="156" t="n">
        <x:f>'SLOT_RULES'!$D$11+IF($A84&lt;='SLOT_RULES'!$D$11,0,INT(($A84-'SLOT_RULES'!$D$11-1)/'SLOT_RULES'!$E$11)+1)*'SLOT_RULES'!$E$11</x:f>
        <x:v>46364</x:v>
      </x:c>
      <x:c r="M84" s="156" t="n">
        <x:f>'SLOT_RULES'!$D$12+IF($A84&lt;='SLOT_RULES'!$D$12,0,INT(($A84-'SLOT_RULES'!$D$12-1)/'SLOT_RULES'!$E$12)+1)*'SLOT_RULES'!$E$12</x:f>
        <x:v>46369</x:v>
      </x:c>
      <x:c r="N84" s="156" t="n">
        <x:f>'SLOT_RULES'!$D$13+IF($A84&lt;='SLOT_RULES'!$D$13,0,INT(($A84-'SLOT_RULES'!$D$13-1)/'SLOT_RULES'!$E$13)+1)*'SLOT_RULES'!$E$13</x:f>
        <x:v>46391</x:v>
      </x:c>
      <x:c r="O84" s="156" t="n">
        <x:f>'SLOT_RULES'!$D$14+IF($A84&lt;='SLOT_RULES'!$D$14,0,INT(($A84-'SLOT_RULES'!$D$14-1)/'SLOT_RULES'!$E$14)+1)*'SLOT_RULES'!$E$14</x:f>
        <x:v>46350</x:v>
      </x:c>
      <x:c r="P84" s="156" t="n">
        <x:f>'SLOT_RULES'!$D$15+IF($A84&lt;='SLOT_RULES'!$D$15,0,INT(($A84-'SLOT_RULES'!$D$15-1)/'SLOT_RULES'!$E$15)+1)*'SLOT_RULES'!$E$15</x:f>
        <x:v>46422</x:v>
      </x:c>
      <x:c r="Q84" s="158" t="n">
        <x:f>MIN(E84:P84)-A84</x:f>
        <x:v>3</x:v>
      </x:c>
      <x:c r="R84" s="158" t="n">
        <x:f>MAX(E84:P84)-A84</x:f>
        <x:v>75</x:v>
      </x:c>
      <x:c r="S84" s="86" t="str">
        <x:f>IF(AND(COUNT(E84:P84)=10,MIN(E84:P84)&gt;=A84),"PASS","FAIL")</x:f>
        <x:v>PASS</x:v>
      </x:c>
      <x:c r="T84" s="86" t="str">
        <x: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x:f>
        <x:v>PASS</x:v>
      </x:c>
      <x:c r="U84" s="86" t="str">
        <x: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x:f>
        <x:v>PASS</x:v>
      </x:c>
      <x:c r="V84" s="86" t="str">
        <x: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x:f>
        <x:v>PASS</x:v>
      </x:c>
      <x:c r="W84" s="87" t="str">
        <x:f>'CRAWL_LOG'!B84</x:f>
        <x:v>Chưa chạy</x:v>
      </x:c>
      <x:c r="X84" s="95" t="inlineStr">
        <x:is>
          <x:t xml:space="preserve">10-slot panel: 7 near + 3 far; AN2/AN3 inactive from 03/09</x:t>
        </x:is>
      </x:c>
    </x:row>
    <x:row r="85">
      <x:c r="A85" s="155" t="n">
        <x:v>46348</x:v>
      </x:c>
      <x:c r="B85" s="83" t="inlineStr">
        <x:is>
          <x:t xml:space="preserve">Chủ Nhật</x:t>
        </x:is>
      </x:c>
      <x:c r="C85" s="83" t="inlineStr">
        <x:is>
          <x:t xml:space="preserve">Official</x:t>
        </x:is>
      </x:c>
      <x:c r="D85" s="83" t="inlineStr">
        <x:is>
          <x:t xml:space="preserve">00:30</x:t>
        </x:is>
      </x:c>
      <x:c r="E85" s="156" t="n">
        <x:f>'SLOT_RULES'!$D$4+IF($A85&lt;='SLOT_RULES'!$D$4,0,INT(($A85-'SLOT_RULES'!$D$4-1)/'SLOT_RULES'!$E$4)+1)*'SLOT_RULES'!$E$4</x:f>
        <x:v>46353</x:v>
      </x:c>
      <x:c r="F85" s="157" t="n"/>
      <x:c r="G85" s="157" t="n"/>
      <x:c r="H85" s="156" t="n">
        <x:f>'SLOT_RULES'!$D$7+IF($A85&lt;='SLOT_RULES'!$D$7,0,INT(($A85-'SLOT_RULES'!$D$7-1)/'SLOT_RULES'!$E$7)+1)*'SLOT_RULES'!$E$7</x:f>
        <x:v>46374</x:v>
      </x:c>
      <x:c r="I85" s="156" t="n">
        <x:f>'SLOT_RULES'!$D$8+IF($A85&lt;='SLOT_RULES'!$D$8,0,INT(($A85-'SLOT_RULES'!$D$8-1)/'SLOT_RULES'!$E$8)+1)*'SLOT_RULES'!$E$8</x:f>
        <x:v>46356</x:v>
      </x:c>
      <x:c r="J85" s="156" t="n">
        <x:f>'SLOT_RULES'!$D$9+IF($A85&lt;='SLOT_RULES'!$D$9,0,INT(($A85-'SLOT_RULES'!$D$9-1)/'SLOT_RULES'!$E$9)+1)*'SLOT_RULES'!$E$9</x:f>
        <x:v>46370</x:v>
      </x:c>
      <x:c r="K85" s="156" t="n">
        <x:f>'SLOT_RULES'!$D$10+IF($A85&lt;='SLOT_RULES'!$D$10,0,INT(($A85-'SLOT_RULES'!$D$10-1)/'SLOT_RULES'!$E$10)+1)*'SLOT_RULES'!$E$10</x:f>
        <x:v>46357</x:v>
      </x:c>
      <x:c r="L85" s="156" t="n">
        <x:f>'SLOT_RULES'!$D$11+IF($A85&lt;='SLOT_RULES'!$D$11,0,INT(($A85-'SLOT_RULES'!$D$11-1)/'SLOT_RULES'!$E$11)+1)*'SLOT_RULES'!$E$11</x:f>
        <x:v>46364</x:v>
      </x:c>
      <x:c r="M85" s="156" t="n">
        <x:f>'SLOT_RULES'!$D$12+IF($A85&lt;='SLOT_RULES'!$D$12,0,INT(($A85-'SLOT_RULES'!$D$12-1)/'SLOT_RULES'!$E$12)+1)*'SLOT_RULES'!$E$12</x:f>
        <x:v>46369</x:v>
      </x:c>
      <x:c r="N85" s="156" t="n">
        <x:f>'SLOT_RULES'!$D$13+IF($A85&lt;='SLOT_RULES'!$D$13,0,INT(($A85-'SLOT_RULES'!$D$13-1)/'SLOT_RULES'!$E$13)+1)*'SLOT_RULES'!$E$13</x:f>
        <x:v>46391</x:v>
      </x:c>
      <x:c r="O85" s="156" t="n">
        <x:f>'SLOT_RULES'!$D$14+IF($A85&lt;='SLOT_RULES'!$D$14,0,INT(($A85-'SLOT_RULES'!$D$14-1)/'SLOT_RULES'!$E$14)+1)*'SLOT_RULES'!$E$14</x:f>
        <x:v>46350</x:v>
      </x:c>
      <x:c r="P85" s="156" t="n">
        <x:f>'SLOT_RULES'!$D$15+IF($A85&lt;='SLOT_RULES'!$D$15,0,INT(($A85-'SLOT_RULES'!$D$15-1)/'SLOT_RULES'!$E$15)+1)*'SLOT_RULES'!$E$15</x:f>
        <x:v>46422</x:v>
      </x:c>
      <x:c r="Q85" s="158" t="n">
        <x:f>MIN(E85:P85)-A85</x:f>
        <x:v>2</x:v>
      </x:c>
      <x:c r="R85" s="158" t="n">
        <x:f>MAX(E85:P85)-A85</x:f>
        <x:v>74</x:v>
      </x:c>
      <x:c r="S85" s="86" t="str">
        <x:f>IF(AND(COUNT(E85:P85)=10,MIN(E85:P85)&gt;=A85),"PASS","FAIL")</x:f>
        <x:v>PASS</x:v>
      </x:c>
      <x:c r="T85" s="86" t="str">
        <x: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x:f>
        <x:v>PASS</x:v>
      </x:c>
      <x:c r="U85" s="86" t="str">
        <x: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x:f>
        <x:v>PASS</x:v>
      </x:c>
      <x:c r="V85" s="86" t="str">
        <x: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x:f>
        <x:v>PASS</x:v>
      </x:c>
      <x:c r="W85" s="87" t="str">
        <x:f>'CRAWL_LOG'!B85</x:f>
        <x:v>Chưa chạy</x:v>
      </x:c>
      <x:c r="X85" s="95" t="inlineStr">
        <x:is>
          <x:t xml:space="preserve">10-slot panel: 7 near + 3 far; AN2/AN3 inactive from 03/09</x:t>
        </x:is>
      </x:c>
    </x:row>
    <x:row r="86">
      <x:c r="A86" s="155" t="n">
        <x:v>46349</x:v>
      </x:c>
      <x:c r="B86" s="83" t="inlineStr">
        <x:is>
          <x:t xml:space="preserve">Thứ Hai</x:t>
        </x:is>
      </x:c>
      <x:c r="C86" s="83" t="inlineStr">
        <x:is>
          <x:t xml:space="preserve">Official</x:t>
        </x:is>
      </x:c>
      <x:c r="D86" s="83" t="inlineStr">
        <x:is>
          <x:t xml:space="preserve">00:30</x:t>
        </x:is>
      </x:c>
      <x:c r="E86" s="156" t="n">
        <x:f>'SLOT_RULES'!$D$4+IF($A86&lt;='SLOT_RULES'!$D$4,0,INT(($A86-'SLOT_RULES'!$D$4-1)/'SLOT_RULES'!$E$4)+1)*'SLOT_RULES'!$E$4</x:f>
        <x:v>46353</x:v>
      </x:c>
      <x:c r="F86" s="157" t="n"/>
      <x:c r="G86" s="157" t="n"/>
      <x:c r="H86" s="156" t="n">
        <x:f>'SLOT_RULES'!$D$7+IF($A86&lt;='SLOT_RULES'!$D$7,0,INT(($A86-'SLOT_RULES'!$D$7-1)/'SLOT_RULES'!$E$7)+1)*'SLOT_RULES'!$E$7</x:f>
        <x:v>46374</x:v>
      </x:c>
      <x:c r="I86" s="156" t="n">
        <x:f>'SLOT_RULES'!$D$8+IF($A86&lt;='SLOT_RULES'!$D$8,0,INT(($A86-'SLOT_RULES'!$D$8-1)/'SLOT_RULES'!$E$8)+1)*'SLOT_RULES'!$E$8</x:f>
        <x:v>46356</x:v>
      </x:c>
      <x:c r="J86" s="156" t="n">
        <x:f>'SLOT_RULES'!$D$9+IF($A86&lt;='SLOT_RULES'!$D$9,0,INT(($A86-'SLOT_RULES'!$D$9-1)/'SLOT_RULES'!$E$9)+1)*'SLOT_RULES'!$E$9</x:f>
        <x:v>46370</x:v>
      </x:c>
      <x:c r="K86" s="156" t="n">
        <x:f>'SLOT_RULES'!$D$10+IF($A86&lt;='SLOT_RULES'!$D$10,0,INT(($A86-'SLOT_RULES'!$D$10-1)/'SLOT_RULES'!$E$10)+1)*'SLOT_RULES'!$E$10</x:f>
        <x:v>46357</x:v>
      </x:c>
      <x:c r="L86" s="156" t="n">
        <x:f>'SLOT_RULES'!$D$11+IF($A86&lt;='SLOT_RULES'!$D$11,0,INT(($A86-'SLOT_RULES'!$D$11-1)/'SLOT_RULES'!$E$11)+1)*'SLOT_RULES'!$E$11</x:f>
        <x:v>46364</x:v>
      </x:c>
      <x:c r="M86" s="156" t="n">
        <x:f>'SLOT_RULES'!$D$12+IF($A86&lt;='SLOT_RULES'!$D$12,0,INT(($A86-'SLOT_RULES'!$D$12-1)/'SLOT_RULES'!$E$12)+1)*'SLOT_RULES'!$E$12</x:f>
        <x:v>46369</x:v>
      </x:c>
      <x:c r="N86" s="156" t="n">
        <x:f>'SLOT_RULES'!$D$13+IF($A86&lt;='SLOT_RULES'!$D$13,0,INT(($A86-'SLOT_RULES'!$D$13-1)/'SLOT_RULES'!$E$13)+1)*'SLOT_RULES'!$E$13</x:f>
        <x:v>46391</x:v>
      </x:c>
      <x:c r="O86" s="156" t="n">
        <x:f>'SLOT_RULES'!$D$14+IF($A86&lt;='SLOT_RULES'!$D$14,0,INT(($A86-'SLOT_RULES'!$D$14-1)/'SLOT_RULES'!$E$14)+1)*'SLOT_RULES'!$E$14</x:f>
        <x:v>46350</x:v>
      </x:c>
      <x:c r="P86" s="156" t="n">
        <x:f>'SLOT_RULES'!$D$15+IF($A86&lt;='SLOT_RULES'!$D$15,0,INT(($A86-'SLOT_RULES'!$D$15-1)/'SLOT_RULES'!$E$15)+1)*'SLOT_RULES'!$E$15</x:f>
        <x:v>46422</x:v>
      </x:c>
      <x:c r="Q86" s="158" t="n">
        <x:f>MIN(E86:P86)-A86</x:f>
        <x:v>1</x:v>
      </x:c>
      <x:c r="R86" s="158" t="n">
        <x:f>MAX(E86:P86)-A86</x:f>
        <x:v>73</x:v>
      </x:c>
      <x:c r="S86" s="86" t="str">
        <x:f>IF(AND(COUNT(E86:P86)=10,MIN(E86:P86)&gt;=A86),"PASS","FAIL")</x:f>
        <x:v>PASS</x:v>
      </x:c>
      <x:c r="T86" s="86" t="str">
        <x: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x:f>
        <x:v>PASS</x:v>
      </x:c>
      <x:c r="U86" s="86" t="str">
        <x: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x:f>
        <x:v>PASS</x:v>
      </x:c>
      <x:c r="V86" s="86" t="str">
        <x: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x:f>
        <x:v>PASS</x:v>
      </x:c>
      <x:c r="W86" s="87" t="str">
        <x:f>'CRAWL_LOG'!B86</x:f>
        <x:v>Chưa chạy</x:v>
      </x:c>
      <x:c r="X86" s="95" t="inlineStr">
        <x:is>
          <x:t xml:space="preserve">10-slot panel: 7 near + 3 far; AN2/AN3 inactive from 03/09</x:t>
        </x:is>
      </x:c>
    </x:row>
    <x:row r="87">
      <x:c r="A87" s="155" t="n">
        <x:v>46350</x:v>
      </x:c>
      <x:c r="B87" s="83" t="inlineStr">
        <x:is>
          <x:t xml:space="preserve">Thứ Ba</x:t>
        </x:is>
      </x:c>
      <x:c r="C87" s="83" t="inlineStr">
        <x:is>
          <x:t xml:space="preserve">Official</x:t>
        </x:is>
      </x:c>
      <x:c r="D87" s="83" t="inlineStr">
        <x:is>
          <x:t xml:space="preserve">00:30</x:t>
        </x:is>
      </x:c>
      <x:c r="E87" s="156" t="n">
        <x:f>'SLOT_RULES'!$D$4+IF($A87&lt;='SLOT_RULES'!$D$4,0,INT(($A87-'SLOT_RULES'!$D$4-1)/'SLOT_RULES'!$E$4)+1)*'SLOT_RULES'!$E$4</x:f>
        <x:v>46353</x:v>
      </x:c>
      <x:c r="F87" s="157" t="n"/>
      <x:c r="G87" s="157" t="n"/>
      <x:c r="H87" s="156" t="n">
        <x:f>'SLOT_RULES'!$D$7+IF($A87&lt;='SLOT_RULES'!$D$7,0,INT(($A87-'SLOT_RULES'!$D$7-1)/'SLOT_RULES'!$E$7)+1)*'SLOT_RULES'!$E$7</x:f>
        <x:v>46374</x:v>
      </x:c>
      <x:c r="I87" s="156" t="n">
        <x:f>'SLOT_RULES'!$D$8+IF($A87&lt;='SLOT_RULES'!$D$8,0,INT(($A87-'SLOT_RULES'!$D$8-1)/'SLOT_RULES'!$E$8)+1)*'SLOT_RULES'!$E$8</x:f>
        <x:v>46356</x:v>
      </x:c>
      <x:c r="J87" s="156" t="n">
        <x:f>'SLOT_RULES'!$D$9+IF($A87&lt;='SLOT_RULES'!$D$9,0,INT(($A87-'SLOT_RULES'!$D$9-1)/'SLOT_RULES'!$E$9)+1)*'SLOT_RULES'!$E$9</x:f>
        <x:v>46370</x:v>
      </x:c>
      <x:c r="K87" s="156" t="n">
        <x:f>'SLOT_RULES'!$D$10+IF($A87&lt;='SLOT_RULES'!$D$10,0,INT(($A87-'SLOT_RULES'!$D$10-1)/'SLOT_RULES'!$E$10)+1)*'SLOT_RULES'!$E$10</x:f>
        <x:v>46357</x:v>
      </x:c>
      <x:c r="L87" s="156" t="n">
        <x:f>'SLOT_RULES'!$D$11+IF($A87&lt;='SLOT_RULES'!$D$11,0,INT(($A87-'SLOT_RULES'!$D$11-1)/'SLOT_RULES'!$E$11)+1)*'SLOT_RULES'!$E$11</x:f>
        <x:v>46364</x:v>
      </x:c>
      <x:c r="M87" s="156" t="n">
        <x:f>'SLOT_RULES'!$D$12+IF($A87&lt;='SLOT_RULES'!$D$12,0,INT(($A87-'SLOT_RULES'!$D$12-1)/'SLOT_RULES'!$E$12)+1)*'SLOT_RULES'!$E$12</x:f>
        <x:v>46369</x:v>
      </x:c>
      <x:c r="N87" s="156" t="n">
        <x:f>'SLOT_RULES'!$D$13+IF($A87&lt;='SLOT_RULES'!$D$13,0,INT(($A87-'SLOT_RULES'!$D$13-1)/'SLOT_RULES'!$E$13)+1)*'SLOT_RULES'!$E$13</x:f>
        <x:v>46391</x:v>
      </x:c>
      <x:c r="O87" s="156" t="n">
        <x:f>'SLOT_RULES'!$D$14+IF($A87&lt;='SLOT_RULES'!$D$14,0,INT(($A87-'SLOT_RULES'!$D$14-1)/'SLOT_RULES'!$E$14)+1)*'SLOT_RULES'!$E$14</x:f>
        <x:v>46350</x:v>
      </x:c>
      <x:c r="P87" s="156" t="n">
        <x:f>'SLOT_RULES'!$D$15+IF($A87&lt;='SLOT_RULES'!$D$15,0,INT(($A87-'SLOT_RULES'!$D$15-1)/'SLOT_RULES'!$E$15)+1)*'SLOT_RULES'!$E$15</x:f>
        <x:v>46422</x:v>
      </x:c>
      <x:c r="Q87" s="158" t="n">
        <x:f>MIN(E87:P87)-A87</x:f>
        <x:v>0</x:v>
      </x:c>
      <x:c r="R87" s="158" t="n">
        <x:f>MAX(E87:P87)-A87</x:f>
        <x:v>72</x:v>
      </x:c>
      <x:c r="S87" s="86" t="str">
        <x:f>IF(AND(COUNT(E87:P87)=10,MIN(E87:P87)&gt;=A87),"PASS","FAIL")</x:f>
        <x:v>PASS</x:v>
      </x:c>
      <x:c r="T87" s="86" t="str">
        <x: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x:f>
        <x:v>PASS</x:v>
      </x:c>
      <x:c r="U87" s="86" t="str">
        <x: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x:f>
        <x:v>PASS</x:v>
      </x:c>
      <x:c r="V87" s="86" t="str">
        <x: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x:f>
        <x:v>PASS</x:v>
      </x:c>
      <x:c r="W87" s="87" t="str">
        <x:f>'CRAWL_LOG'!B87</x:f>
        <x:v>Chưa chạy</x:v>
      </x:c>
      <x:c r="X87" s="95" t="inlineStr">
        <x:is>
          <x:t xml:space="preserve">10-slot panel: 7 near + 3 far; AN2/AN3 inactive from 03/09</x:t>
        </x:is>
      </x:c>
    </x:row>
    <x:row r="88">
      <x:c r="A88" s="155" t="n">
        <x:v>46351</x:v>
      </x:c>
      <x:c r="B88" s="83" t="inlineStr">
        <x:is>
          <x:t xml:space="preserve">Thứ Tư</x:t>
        </x:is>
      </x:c>
      <x:c r="C88" s="83" t="inlineStr">
        <x:is>
          <x:t xml:space="preserve">Official</x:t>
        </x:is>
      </x:c>
      <x:c r="D88" s="83" t="inlineStr">
        <x:is>
          <x:t xml:space="preserve">00:30</x:t>
        </x:is>
      </x:c>
      <x:c r="E88" s="156" t="n">
        <x:f>'SLOT_RULES'!$D$4+IF($A88&lt;='SLOT_RULES'!$D$4,0,INT(($A88-'SLOT_RULES'!$D$4-1)/'SLOT_RULES'!$E$4)+1)*'SLOT_RULES'!$E$4</x:f>
        <x:v>46353</x:v>
      </x:c>
      <x:c r="F88" s="157" t="n"/>
      <x:c r="G88" s="157" t="n"/>
      <x:c r="H88" s="156" t="n">
        <x:f>'SLOT_RULES'!$D$7+IF($A88&lt;='SLOT_RULES'!$D$7,0,INT(($A88-'SLOT_RULES'!$D$7-1)/'SLOT_RULES'!$E$7)+1)*'SLOT_RULES'!$E$7</x:f>
        <x:v>46374</x:v>
      </x:c>
      <x:c r="I88" s="156" t="n">
        <x:f>'SLOT_RULES'!$D$8+IF($A88&lt;='SLOT_RULES'!$D$8,0,INT(($A88-'SLOT_RULES'!$D$8-1)/'SLOT_RULES'!$E$8)+1)*'SLOT_RULES'!$E$8</x:f>
        <x:v>46356</x:v>
      </x:c>
      <x:c r="J88" s="156" t="n">
        <x:f>'SLOT_RULES'!$D$9+IF($A88&lt;='SLOT_RULES'!$D$9,0,INT(($A88-'SLOT_RULES'!$D$9-1)/'SLOT_RULES'!$E$9)+1)*'SLOT_RULES'!$E$9</x:f>
        <x:v>46370</x:v>
      </x:c>
      <x:c r="K88" s="156" t="n">
        <x:f>'SLOT_RULES'!$D$10+IF($A88&lt;='SLOT_RULES'!$D$10,0,INT(($A88-'SLOT_RULES'!$D$10-1)/'SLOT_RULES'!$E$10)+1)*'SLOT_RULES'!$E$10</x:f>
        <x:v>46357</x:v>
      </x:c>
      <x:c r="L88" s="156" t="n">
        <x:f>'SLOT_RULES'!$D$11+IF($A88&lt;='SLOT_RULES'!$D$11,0,INT(($A88-'SLOT_RULES'!$D$11-1)/'SLOT_RULES'!$E$11)+1)*'SLOT_RULES'!$E$11</x:f>
        <x:v>46364</x:v>
      </x:c>
      <x:c r="M88" s="156" t="n">
        <x:f>'SLOT_RULES'!$D$12+IF($A88&lt;='SLOT_RULES'!$D$12,0,INT(($A88-'SLOT_RULES'!$D$12-1)/'SLOT_RULES'!$E$12)+1)*'SLOT_RULES'!$E$12</x:f>
        <x:v>46369</x:v>
      </x:c>
      <x:c r="N88" s="156" t="n">
        <x:f>'SLOT_RULES'!$D$13+IF($A88&lt;='SLOT_RULES'!$D$13,0,INT(($A88-'SLOT_RULES'!$D$13-1)/'SLOT_RULES'!$E$13)+1)*'SLOT_RULES'!$E$13</x:f>
        <x:v>46391</x:v>
      </x:c>
      <x:c r="O88" s="156" t="n">
        <x:f>'SLOT_RULES'!$D$14+IF($A88&lt;='SLOT_RULES'!$D$14,0,INT(($A88-'SLOT_RULES'!$D$14-1)/'SLOT_RULES'!$E$14)+1)*'SLOT_RULES'!$E$14</x:f>
        <x:v>46448</x:v>
      </x:c>
      <x:c r="P88" s="156" t="n">
        <x:f>'SLOT_RULES'!$D$15+IF($A88&lt;='SLOT_RULES'!$D$15,0,INT(($A88-'SLOT_RULES'!$D$15-1)/'SLOT_RULES'!$E$15)+1)*'SLOT_RULES'!$E$15</x:f>
        <x:v>46422</x:v>
      </x:c>
      <x:c r="Q88" s="158" t="n">
        <x:f>MIN(E88:P88)-A88</x:f>
        <x:v>2</x:v>
      </x:c>
      <x:c r="R88" s="158" t="n">
        <x:f>MAX(E88:P88)-A88</x:f>
        <x:v>97</x:v>
      </x:c>
      <x:c r="S88" s="86" t="str">
        <x:f>IF(AND(COUNT(E88:P88)=10,MIN(E88:P88)&gt;=A88),"PASS","FAIL")</x:f>
        <x:v>PASS</x:v>
      </x:c>
      <x:c r="T88" s="86" t="str">
        <x: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x:f>
        <x:v>PASS</x:v>
      </x:c>
      <x:c r="U88" s="86" t="str">
        <x: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x:f>
        <x:v>PASS</x:v>
      </x:c>
      <x:c r="V88" s="86" t="str">
        <x: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x:f>
        <x:v>PASS</x:v>
      </x:c>
      <x:c r="W88" s="87" t="str">
        <x:f>'CRAWL_LOG'!B88</x:f>
        <x:v>Chưa chạy</x:v>
      </x:c>
      <x:c r="X88" s="95" t="inlineStr">
        <x:is>
          <x:t xml:space="preserve">10-slot panel: 7 near + 3 far; AN2/AN3 inactive from 03/09</x:t>
        </x:is>
      </x:c>
    </x:row>
    <x:row r="89">
      <x:c r="A89" s="155" t="n">
        <x:v>46352</x:v>
      </x:c>
      <x:c r="B89" s="83" t="inlineStr">
        <x:is>
          <x:t xml:space="preserve">Thứ Năm</x:t>
        </x:is>
      </x:c>
      <x:c r="C89" s="83" t="inlineStr">
        <x:is>
          <x:t xml:space="preserve">Official</x:t>
        </x:is>
      </x:c>
      <x:c r="D89" s="83" t="inlineStr">
        <x:is>
          <x:t xml:space="preserve">00:30</x:t>
        </x:is>
      </x:c>
      <x:c r="E89" s="156" t="n">
        <x:f>'SLOT_RULES'!$D$4+IF($A89&lt;='SLOT_RULES'!$D$4,0,INT(($A89-'SLOT_RULES'!$D$4-1)/'SLOT_RULES'!$E$4)+1)*'SLOT_RULES'!$E$4</x:f>
        <x:v>46353</x:v>
      </x:c>
      <x:c r="F89" s="157" t="n"/>
      <x:c r="G89" s="157" t="n"/>
      <x:c r="H89" s="156" t="n">
        <x:f>'SLOT_RULES'!$D$7+IF($A89&lt;='SLOT_RULES'!$D$7,0,INT(($A89-'SLOT_RULES'!$D$7-1)/'SLOT_RULES'!$E$7)+1)*'SLOT_RULES'!$E$7</x:f>
        <x:v>46374</x:v>
      </x:c>
      <x:c r="I89" s="156" t="n">
        <x:f>'SLOT_RULES'!$D$8+IF($A89&lt;='SLOT_RULES'!$D$8,0,INT(($A89-'SLOT_RULES'!$D$8-1)/'SLOT_RULES'!$E$8)+1)*'SLOT_RULES'!$E$8</x:f>
        <x:v>46356</x:v>
      </x:c>
      <x:c r="J89" s="156" t="n">
        <x:f>'SLOT_RULES'!$D$9+IF($A89&lt;='SLOT_RULES'!$D$9,0,INT(($A89-'SLOT_RULES'!$D$9-1)/'SLOT_RULES'!$E$9)+1)*'SLOT_RULES'!$E$9</x:f>
        <x:v>46370</x:v>
      </x:c>
      <x:c r="K89" s="156" t="n">
        <x:f>'SLOT_RULES'!$D$10+IF($A89&lt;='SLOT_RULES'!$D$10,0,INT(($A89-'SLOT_RULES'!$D$10-1)/'SLOT_RULES'!$E$10)+1)*'SLOT_RULES'!$E$10</x:f>
        <x:v>46357</x:v>
      </x:c>
      <x:c r="L89" s="156" t="n">
        <x:f>'SLOT_RULES'!$D$11+IF($A89&lt;='SLOT_RULES'!$D$11,0,INT(($A89-'SLOT_RULES'!$D$11-1)/'SLOT_RULES'!$E$11)+1)*'SLOT_RULES'!$E$11</x:f>
        <x:v>46364</x:v>
      </x:c>
      <x:c r="M89" s="156" t="n">
        <x:f>'SLOT_RULES'!$D$12+IF($A89&lt;='SLOT_RULES'!$D$12,0,INT(($A89-'SLOT_RULES'!$D$12-1)/'SLOT_RULES'!$E$12)+1)*'SLOT_RULES'!$E$12</x:f>
        <x:v>46369</x:v>
      </x:c>
      <x:c r="N89" s="156" t="n">
        <x:f>'SLOT_RULES'!$D$13+IF($A89&lt;='SLOT_RULES'!$D$13,0,INT(($A89-'SLOT_RULES'!$D$13-1)/'SLOT_RULES'!$E$13)+1)*'SLOT_RULES'!$E$13</x:f>
        <x:v>46391</x:v>
      </x:c>
      <x:c r="O89" s="156" t="n">
        <x:f>'SLOT_RULES'!$D$14+IF($A89&lt;='SLOT_RULES'!$D$14,0,INT(($A89-'SLOT_RULES'!$D$14-1)/'SLOT_RULES'!$E$14)+1)*'SLOT_RULES'!$E$14</x:f>
        <x:v>46448</x:v>
      </x:c>
      <x:c r="P89" s="156" t="n">
        <x:f>'SLOT_RULES'!$D$15+IF($A89&lt;='SLOT_RULES'!$D$15,0,INT(($A89-'SLOT_RULES'!$D$15-1)/'SLOT_RULES'!$E$15)+1)*'SLOT_RULES'!$E$15</x:f>
        <x:v>46422</x:v>
      </x:c>
      <x:c r="Q89" s="158" t="n">
        <x:f>MIN(E89:P89)-A89</x:f>
        <x:v>1</x:v>
      </x:c>
      <x:c r="R89" s="158" t="n">
        <x:f>MAX(E89:P89)-A89</x:f>
        <x:v>96</x:v>
      </x:c>
      <x:c r="S89" s="86" t="str">
        <x:f>IF(AND(COUNT(E89:P89)=10,MIN(E89:P89)&gt;=A89),"PASS","FAIL")</x:f>
        <x:v>PASS</x:v>
      </x:c>
      <x:c r="T89" s="86" t="str">
        <x: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x:f>
        <x:v>PASS</x:v>
      </x:c>
      <x:c r="U89" s="86" t="str">
        <x: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x:f>
        <x:v>PASS</x:v>
      </x:c>
      <x:c r="V89" s="86" t="str">
        <x: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x:f>
        <x:v>PASS</x:v>
      </x:c>
      <x:c r="W89" s="87" t="str">
        <x:f>'CRAWL_LOG'!B89</x:f>
        <x:v>Chưa chạy</x:v>
      </x:c>
      <x:c r="X89" s="95" t="inlineStr">
        <x:is>
          <x:t xml:space="preserve">10-slot panel: 7 near + 3 far; AN2/AN3 inactive from 03/09</x:t>
        </x:is>
      </x:c>
    </x:row>
    <x:row r="90">
      <x:c r="A90" s="155" t="n">
        <x:v>46353</x:v>
      </x:c>
      <x:c r="B90" s="83" t="inlineStr">
        <x:is>
          <x:t xml:space="preserve">Thứ Sáu</x:t>
        </x:is>
      </x:c>
      <x:c r="C90" s="83" t="inlineStr">
        <x:is>
          <x:t xml:space="preserve">Official</x:t>
        </x:is>
      </x:c>
      <x:c r="D90" s="83" t="inlineStr">
        <x:is>
          <x:t xml:space="preserve">00:30</x:t>
        </x:is>
      </x:c>
      <x:c r="E90" s="156" t="n">
        <x:f>'SLOT_RULES'!$D$4+IF($A90&lt;='SLOT_RULES'!$D$4,0,INT(($A90-'SLOT_RULES'!$D$4-1)/'SLOT_RULES'!$E$4)+1)*'SLOT_RULES'!$E$4</x:f>
        <x:v>46353</x:v>
      </x:c>
      <x:c r="F90" s="157" t="n"/>
      <x:c r="G90" s="157" t="n"/>
      <x:c r="H90" s="156" t="n">
        <x:f>'SLOT_RULES'!$D$7+IF($A90&lt;='SLOT_RULES'!$D$7,0,INT(($A90-'SLOT_RULES'!$D$7-1)/'SLOT_RULES'!$E$7)+1)*'SLOT_RULES'!$E$7</x:f>
        <x:v>46374</x:v>
      </x:c>
      <x:c r="I90" s="156" t="n">
        <x:f>'SLOT_RULES'!$D$8+IF($A90&lt;='SLOT_RULES'!$D$8,0,INT(($A90-'SLOT_RULES'!$D$8-1)/'SLOT_RULES'!$E$8)+1)*'SLOT_RULES'!$E$8</x:f>
        <x:v>46356</x:v>
      </x:c>
      <x:c r="J90" s="156" t="n">
        <x:f>'SLOT_RULES'!$D$9+IF($A90&lt;='SLOT_RULES'!$D$9,0,INT(($A90-'SLOT_RULES'!$D$9-1)/'SLOT_RULES'!$E$9)+1)*'SLOT_RULES'!$E$9</x:f>
        <x:v>46370</x:v>
      </x:c>
      <x:c r="K90" s="156" t="n">
        <x:f>'SLOT_RULES'!$D$10+IF($A90&lt;='SLOT_RULES'!$D$10,0,INT(($A90-'SLOT_RULES'!$D$10-1)/'SLOT_RULES'!$E$10)+1)*'SLOT_RULES'!$E$10</x:f>
        <x:v>46357</x:v>
      </x:c>
      <x:c r="L90" s="156" t="n">
        <x:f>'SLOT_RULES'!$D$11+IF($A90&lt;='SLOT_RULES'!$D$11,0,INT(($A90-'SLOT_RULES'!$D$11-1)/'SLOT_RULES'!$E$11)+1)*'SLOT_RULES'!$E$11</x:f>
        <x:v>46364</x:v>
      </x:c>
      <x:c r="M90" s="156" t="n">
        <x:f>'SLOT_RULES'!$D$12+IF($A90&lt;='SLOT_RULES'!$D$12,0,INT(($A90-'SLOT_RULES'!$D$12-1)/'SLOT_RULES'!$E$12)+1)*'SLOT_RULES'!$E$12</x:f>
        <x:v>46369</x:v>
      </x:c>
      <x:c r="N90" s="156" t="n">
        <x:f>'SLOT_RULES'!$D$13+IF($A90&lt;='SLOT_RULES'!$D$13,0,INT(($A90-'SLOT_RULES'!$D$13-1)/'SLOT_RULES'!$E$13)+1)*'SLOT_RULES'!$E$13</x:f>
        <x:v>46391</x:v>
      </x:c>
      <x:c r="O90" s="156" t="n">
        <x:f>'SLOT_RULES'!$D$14+IF($A90&lt;='SLOT_RULES'!$D$14,0,INT(($A90-'SLOT_RULES'!$D$14-1)/'SLOT_RULES'!$E$14)+1)*'SLOT_RULES'!$E$14</x:f>
        <x:v>46448</x:v>
      </x:c>
      <x:c r="P90" s="156" t="n">
        <x:f>'SLOT_RULES'!$D$15+IF($A90&lt;='SLOT_RULES'!$D$15,0,INT(($A90-'SLOT_RULES'!$D$15-1)/'SLOT_RULES'!$E$15)+1)*'SLOT_RULES'!$E$15</x:f>
        <x:v>46422</x:v>
      </x:c>
      <x:c r="Q90" s="158" t="n">
        <x:f>MIN(E90:P90)-A90</x:f>
        <x:v>0</x:v>
      </x:c>
      <x:c r="R90" s="158" t="n">
        <x:f>MAX(E90:P90)-A90</x:f>
        <x:v>95</x:v>
      </x:c>
      <x:c r="S90" s="86" t="str">
        <x:f>IF(AND(COUNT(E90:P90)=10,MIN(E90:P90)&gt;=A90),"PASS","FAIL")</x:f>
        <x:v>PASS</x:v>
      </x:c>
      <x:c r="T90" s="86" t="str">
        <x: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x:f>
        <x:v>PASS</x:v>
      </x:c>
      <x:c r="U90" s="86" t="str">
        <x: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x:f>
        <x:v>PASS</x:v>
      </x:c>
      <x:c r="V90" s="86" t="str">
        <x: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x:f>
        <x:v>PASS</x:v>
      </x:c>
      <x:c r="W90" s="87" t="str">
        <x:f>'CRAWL_LOG'!B90</x:f>
        <x:v>Chưa chạy</x:v>
      </x:c>
      <x:c r="X90" s="95" t="inlineStr">
        <x:is>
          <x:t xml:space="preserve">10-slot panel: 7 near + 3 far; AN2/AN3 inactive from 03/09</x:t>
        </x:is>
      </x:c>
    </x:row>
    <x:row r="91">
      <x:c r="A91" s="155" t="n">
        <x:v>46354</x:v>
      </x:c>
      <x:c r="B91" s="83" t="inlineStr">
        <x:is>
          <x:t xml:space="preserve">Thứ Bảy</x:t>
        </x:is>
      </x:c>
      <x:c r="C91" s="83" t="inlineStr">
        <x:is>
          <x:t xml:space="preserve">Official</x:t>
        </x:is>
      </x:c>
      <x:c r="D91" s="83" t="inlineStr">
        <x:is>
          <x:t xml:space="preserve">00:30</x:t>
        </x:is>
      </x:c>
      <x:c r="E91" s="156" t="n">
        <x:f>'SLOT_RULES'!$D$4+IF($A91&lt;='SLOT_RULES'!$D$4,0,INT(($A91-'SLOT_RULES'!$D$4-1)/'SLOT_RULES'!$E$4)+1)*'SLOT_RULES'!$E$4</x:f>
        <x:v>46381</x:v>
      </x:c>
      <x:c r="F91" s="157" t="n"/>
      <x:c r="G91" s="157" t="n"/>
      <x:c r="H91" s="156" t="n">
        <x:f>'SLOT_RULES'!$D$7+IF($A91&lt;='SLOT_RULES'!$D$7,0,INT(($A91-'SLOT_RULES'!$D$7-1)/'SLOT_RULES'!$E$7)+1)*'SLOT_RULES'!$E$7</x:f>
        <x:v>46374</x:v>
      </x:c>
      <x:c r="I91" s="156" t="n">
        <x:f>'SLOT_RULES'!$D$8+IF($A91&lt;='SLOT_RULES'!$D$8,0,INT(($A91-'SLOT_RULES'!$D$8-1)/'SLOT_RULES'!$E$8)+1)*'SLOT_RULES'!$E$8</x:f>
        <x:v>46356</x:v>
      </x:c>
      <x:c r="J91" s="156" t="n">
        <x:f>'SLOT_RULES'!$D$9+IF($A91&lt;='SLOT_RULES'!$D$9,0,INT(($A91-'SLOT_RULES'!$D$9-1)/'SLOT_RULES'!$E$9)+1)*'SLOT_RULES'!$E$9</x:f>
        <x:v>46370</x:v>
      </x:c>
      <x:c r="K91" s="156" t="n">
        <x:f>'SLOT_RULES'!$D$10+IF($A91&lt;='SLOT_RULES'!$D$10,0,INT(($A91-'SLOT_RULES'!$D$10-1)/'SLOT_RULES'!$E$10)+1)*'SLOT_RULES'!$E$10</x:f>
        <x:v>46357</x:v>
      </x:c>
      <x:c r="L91" s="156" t="n">
        <x:f>'SLOT_RULES'!$D$11+IF($A91&lt;='SLOT_RULES'!$D$11,0,INT(($A91-'SLOT_RULES'!$D$11-1)/'SLOT_RULES'!$E$11)+1)*'SLOT_RULES'!$E$11</x:f>
        <x:v>46364</x:v>
      </x:c>
      <x:c r="M91" s="156" t="n">
        <x:f>'SLOT_RULES'!$D$12+IF($A91&lt;='SLOT_RULES'!$D$12,0,INT(($A91-'SLOT_RULES'!$D$12-1)/'SLOT_RULES'!$E$12)+1)*'SLOT_RULES'!$E$12</x:f>
        <x:v>46369</x:v>
      </x:c>
      <x:c r="N91" s="156" t="n">
        <x:f>'SLOT_RULES'!$D$13+IF($A91&lt;='SLOT_RULES'!$D$13,0,INT(($A91-'SLOT_RULES'!$D$13-1)/'SLOT_RULES'!$E$13)+1)*'SLOT_RULES'!$E$13</x:f>
        <x:v>46391</x:v>
      </x:c>
      <x:c r="O91" s="156" t="n">
        <x:f>'SLOT_RULES'!$D$14+IF($A91&lt;='SLOT_RULES'!$D$14,0,INT(($A91-'SLOT_RULES'!$D$14-1)/'SLOT_RULES'!$E$14)+1)*'SLOT_RULES'!$E$14</x:f>
        <x:v>46448</x:v>
      </x:c>
      <x:c r="P91" s="156" t="n">
        <x:f>'SLOT_RULES'!$D$15+IF($A91&lt;='SLOT_RULES'!$D$15,0,INT(($A91-'SLOT_RULES'!$D$15-1)/'SLOT_RULES'!$E$15)+1)*'SLOT_RULES'!$E$15</x:f>
        <x:v>46422</x:v>
      </x:c>
      <x:c r="Q91" s="158" t="n">
        <x:f>MIN(E91:P91)-A91</x:f>
        <x:v>2</x:v>
      </x:c>
      <x:c r="R91" s="158" t="n">
        <x:f>MAX(E91:P91)-A91</x:f>
        <x:v>94</x:v>
      </x:c>
      <x:c r="S91" s="86" t="str">
        <x:f>IF(AND(COUNT(E91:P91)=10,MIN(E91:P91)&gt;=A91),"PASS","FAIL")</x:f>
        <x:v>PASS</x:v>
      </x:c>
      <x:c r="T91" s="86" t="str">
        <x: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x:f>
        <x:v>PASS</x:v>
      </x:c>
      <x:c r="U91" s="86" t="str">
        <x: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x:f>
        <x:v>PASS</x:v>
      </x:c>
      <x:c r="V91" s="86" t="str">
        <x: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x:f>
        <x:v>PASS</x:v>
      </x:c>
      <x:c r="W91" s="87" t="str">
        <x:f>'CRAWL_LOG'!B91</x:f>
        <x:v>Chưa chạy</x:v>
      </x:c>
      <x:c r="X91" s="95" t="inlineStr">
        <x:is>
          <x:t xml:space="preserve">10-slot panel: 7 near + 3 far; AN2/AN3 inactive from 03/09</x:t>
        </x:is>
      </x:c>
    </x:row>
    <x:row r="92">
      <x:c r="A92" s="155" t="n">
        <x:v>46355</x:v>
      </x:c>
      <x:c r="B92" s="83" t="inlineStr">
        <x:is>
          <x:t xml:space="preserve">Chủ Nhật</x:t>
        </x:is>
      </x:c>
      <x:c r="C92" s="83" t="inlineStr">
        <x:is>
          <x:t xml:space="preserve">Official</x:t>
        </x:is>
      </x:c>
      <x:c r="D92" s="83" t="inlineStr">
        <x:is>
          <x:t xml:space="preserve">00:30</x:t>
        </x:is>
      </x:c>
      <x:c r="E92" s="156" t="n">
        <x:f>'SLOT_RULES'!$D$4+IF($A92&lt;='SLOT_RULES'!$D$4,0,INT(($A92-'SLOT_RULES'!$D$4-1)/'SLOT_RULES'!$E$4)+1)*'SLOT_RULES'!$E$4</x:f>
        <x:v>46381</x:v>
      </x:c>
      <x:c r="F92" s="157" t="n"/>
      <x:c r="G92" s="157" t="n"/>
      <x:c r="H92" s="156" t="n">
        <x:f>'SLOT_RULES'!$D$7+IF($A92&lt;='SLOT_RULES'!$D$7,0,INT(($A92-'SLOT_RULES'!$D$7-1)/'SLOT_RULES'!$E$7)+1)*'SLOT_RULES'!$E$7</x:f>
        <x:v>46374</x:v>
      </x:c>
      <x:c r="I92" s="156" t="n">
        <x:f>'SLOT_RULES'!$D$8+IF($A92&lt;='SLOT_RULES'!$D$8,0,INT(($A92-'SLOT_RULES'!$D$8-1)/'SLOT_RULES'!$E$8)+1)*'SLOT_RULES'!$E$8</x:f>
        <x:v>46356</x:v>
      </x:c>
      <x:c r="J92" s="156" t="n">
        <x:f>'SLOT_RULES'!$D$9+IF($A92&lt;='SLOT_RULES'!$D$9,0,INT(($A92-'SLOT_RULES'!$D$9-1)/'SLOT_RULES'!$E$9)+1)*'SLOT_RULES'!$E$9</x:f>
        <x:v>46370</x:v>
      </x:c>
      <x:c r="K92" s="156" t="n">
        <x:f>'SLOT_RULES'!$D$10+IF($A92&lt;='SLOT_RULES'!$D$10,0,INT(($A92-'SLOT_RULES'!$D$10-1)/'SLOT_RULES'!$E$10)+1)*'SLOT_RULES'!$E$10</x:f>
        <x:v>46357</x:v>
      </x:c>
      <x:c r="L92" s="156" t="n">
        <x:f>'SLOT_RULES'!$D$11+IF($A92&lt;='SLOT_RULES'!$D$11,0,INT(($A92-'SLOT_RULES'!$D$11-1)/'SLOT_RULES'!$E$11)+1)*'SLOT_RULES'!$E$11</x:f>
        <x:v>46364</x:v>
      </x:c>
      <x:c r="M92" s="156" t="n">
        <x:f>'SLOT_RULES'!$D$12+IF($A92&lt;='SLOT_RULES'!$D$12,0,INT(($A92-'SLOT_RULES'!$D$12-1)/'SLOT_RULES'!$E$12)+1)*'SLOT_RULES'!$E$12</x:f>
        <x:v>46369</x:v>
      </x:c>
      <x:c r="N92" s="156" t="n">
        <x:f>'SLOT_RULES'!$D$13+IF($A92&lt;='SLOT_RULES'!$D$13,0,INT(($A92-'SLOT_RULES'!$D$13-1)/'SLOT_RULES'!$E$13)+1)*'SLOT_RULES'!$E$13</x:f>
        <x:v>46391</x:v>
      </x:c>
      <x:c r="O92" s="156" t="n">
        <x:f>'SLOT_RULES'!$D$14+IF($A92&lt;='SLOT_RULES'!$D$14,0,INT(($A92-'SLOT_RULES'!$D$14-1)/'SLOT_RULES'!$E$14)+1)*'SLOT_RULES'!$E$14</x:f>
        <x:v>46448</x:v>
      </x:c>
      <x:c r="P92" s="156" t="n">
        <x:f>'SLOT_RULES'!$D$15+IF($A92&lt;='SLOT_RULES'!$D$15,0,INT(($A92-'SLOT_RULES'!$D$15-1)/'SLOT_RULES'!$E$15)+1)*'SLOT_RULES'!$E$15</x:f>
        <x:v>46422</x:v>
      </x:c>
      <x:c r="Q92" s="158" t="n">
        <x:f>MIN(E92:P92)-A92</x:f>
        <x:v>1</x:v>
      </x:c>
      <x:c r="R92" s="158" t="n">
        <x:f>MAX(E92:P92)-A92</x:f>
        <x:v>93</x:v>
      </x:c>
      <x:c r="S92" s="86" t="str">
        <x:f>IF(AND(COUNT(E92:P92)=10,MIN(E92:P92)&gt;=A92),"PASS","FAIL")</x:f>
        <x:v>PASS</x:v>
      </x:c>
      <x:c r="T92" s="86" t="str">
        <x: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x:f>
        <x:v>PASS</x:v>
      </x:c>
      <x:c r="U92" s="86" t="str">
        <x: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x:f>
        <x:v>PASS</x:v>
      </x:c>
      <x:c r="V92" s="86" t="str">
        <x: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x:f>
        <x:v>PASS</x:v>
      </x:c>
      <x:c r="W92" s="87" t="str">
        <x:f>'CRAWL_LOG'!B92</x:f>
        <x:v>Chưa chạy</x:v>
      </x:c>
      <x:c r="X92" s="95" t="inlineStr">
        <x:is>
          <x:t xml:space="preserve">10-slot panel: 7 near + 3 far; AN2/AN3 inactive from 03/09</x:t>
        </x:is>
      </x:c>
    </x:row>
    <x:row r="93">
      <x:c r="A93" s="159" t="n">
        <x:v>46356</x:v>
      </x:c>
      <x:c r="B93" s="89" t="inlineStr">
        <x:is>
          <x:t xml:space="preserve">Thứ Hai</x:t>
        </x:is>
      </x:c>
      <x:c r="C93" s="89" t="inlineStr">
        <x:is>
          <x:t xml:space="preserve">Official</x:t>
        </x:is>
      </x:c>
      <x:c r="D93" s="89" t="inlineStr">
        <x:is>
          <x:t xml:space="preserve">00:30</x:t>
        </x:is>
      </x:c>
      <x:c r="E93" s="160" t="n">
        <x:f>'SLOT_RULES'!$D$4+IF($A93&lt;='SLOT_RULES'!$D$4,0,INT(($A93-'SLOT_RULES'!$D$4-1)/'SLOT_RULES'!$E$4)+1)*'SLOT_RULES'!$E$4</x:f>
        <x:v>46381</x:v>
      </x:c>
      <x:c r="F93" s="161" t="n"/>
      <x:c r="G93" s="161" t="n"/>
      <x:c r="H93" s="160" t="n">
        <x:f>'SLOT_RULES'!$D$7+IF($A93&lt;='SLOT_RULES'!$D$7,0,INT(($A93-'SLOT_RULES'!$D$7-1)/'SLOT_RULES'!$E$7)+1)*'SLOT_RULES'!$E$7</x:f>
        <x:v>46374</x:v>
      </x:c>
      <x:c r="I93" s="160" t="n">
        <x:f>'SLOT_RULES'!$D$8+IF($A93&lt;='SLOT_RULES'!$D$8,0,INT(($A93-'SLOT_RULES'!$D$8-1)/'SLOT_RULES'!$E$8)+1)*'SLOT_RULES'!$E$8</x:f>
        <x:v>46356</x:v>
      </x:c>
      <x:c r="J93" s="160" t="n">
        <x:f>'SLOT_RULES'!$D$9+IF($A93&lt;='SLOT_RULES'!$D$9,0,INT(($A93-'SLOT_RULES'!$D$9-1)/'SLOT_RULES'!$E$9)+1)*'SLOT_RULES'!$E$9</x:f>
        <x:v>46370</x:v>
      </x:c>
      <x:c r="K93" s="160" t="n">
        <x:f>'SLOT_RULES'!$D$10+IF($A93&lt;='SLOT_RULES'!$D$10,0,INT(($A93-'SLOT_RULES'!$D$10-1)/'SLOT_RULES'!$E$10)+1)*'SLOT_RULES'!$E$10</x:f>
        <x:v>46357</x:v>
      </x:c>
      <x:c r="L93" s="160" t="n">
        <x:f>'SLOT_RULES'!$D$11+IF($A93&lt;='SLOT_RULES'!$D$11,0,INT(($A93-'SLOT_RULES'!$D$11-1)/'SLOT_RULES'!$E$11)+1)*'SLOT_RULES'!$E$11</x:f>
        <x:v>46364</x:v>
      </x:c>
      <x:c r="M93" s="160" t="n">
        <x:f>'SLOT_RULES'!$D$12+IF($A93&lt;='SLOT_RULES'!$D$12,0,INT(($A93-'SLOT_RULES'!$D$12-1)/'SLOT_RULES'!$E$12)+1)*'SLOT_RULES'!$E$12</x:f>
        <x:v>46369</x:v>
      </x:c>
      <x:c r="N93" s="160" t="n">
        <x:f>'SLOT_RULES'!$D$13+IF($A93&lt;='SLOT_RULES'!$D$13,0,INT(($A93-'SLOT_RULES'!$D$13-1)/'SLOT_RULES'!$E$13)+1)*'SLOT_RULES'!$E$13</x:f>
        <x:v>46391</x:v>
      </x:c>
      <x:c r="O93" s="160" t="n">
        <x:f>'SLOT_RULES'!$D$14+IF($A93&lt;='SLOT_RULES'!$D$14,0,INT(($A93-'SLOT_RULES'!$D$14-1)/'SLOT_RULES'!$E$14)+1)*'SLOT_RULES'!$E$14</x:f>
        <x:v>46448</x:v>
      </x:c>
      <x:c r="P93" s="160" t="n">
        <x:f>'SLOT_RULES'!$D$15+IF($A93&lt;='SLOT_RULES'!$D$15,0,INT(($A93-'SLOT_RULES'!$D$15-1)/'SLOT_RULES'!$E$15)+1)*'SLOT_RULES'!$E$15</x:f>
        <x:v>46422</x:v>
      </x:c>
      <x:c r="Q93" s="162" t="n">
        <x:f>MIN(E93:P93)-A93</x:f>
        <x:v>0</x:v>
      </x:c>
      <x:c r="R93" s="162" t="n">
        <x:f>MAX(E93:P93)-A93</x:f>
        <x:v>92</x:v>
      </x:c>
      <x:c r="S93" s="92" t="str">
        <x:f>IF(AND(COUNT(E93:P93)=10,MIN(E93:P93)&gt;=A93),"PASS","FAIL")</x:f>
        <x:v>PASS</x:v>
      </x:c>
      <x:c r="T93" s="92" t="str">
        <x: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x:f>
        <x:v>PASS</x:v>
      </x:c>
      <x:c r="U93" s="92" t="str">
        <x: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x:f>
        <x:v>PASS</x:v>
      </x:c>
      <x:c r="V93" s="92" t="str">
        <x: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x:f>
        <x:v>PASS</x:v>
      </x:c>
      <x:c r="W93" s="93" t="str">
        <x:f>'CRAWL_LOG'!B93</x:f>
        <x:v>Chưa chạy</x:v>
      </x:c>
      <x:c r="X93" s="96" t="inlineStr">
        <x:is>
          <x:t xml:space="preserve">10-slot panel: 7 near + 3 far; AN2/AN3 inactive from 03/09</x:t>
        </x:is>
      </x:c>
    </x:row>
  </x:sheetData>
  <x:mergeCells>
    <x:mergeCell ref="A2:X2"/>
    <x:mergeCell ref="A1:X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22" customWidth="1"/>
    <x:col min="3" max="3" width="12" customWidth="1"/>
    <x:col min="4" max="4" width="20" customWidth="1"/>
    <x:col min="5" max="5" width="20" customWidth="1"/>
    <x:col min="6" max="6" width="16" customWidth="1"/>
    <x:col min="7" max="7" width="14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5" customWidth="1"/>
    <x:col min="13" max="13" width="10" customWidth="1"/>
    <x:col min="14" max="14" width="15" customWidth="1"/>
    <x:col min="15" max="15" width="14" customWidth="1"/>
    <x:col min="16" max="16" width="14" customWidth="1"/>
    <x:col min="17" max="17" width="48" customWidth="1"/>
  </x:cols>
  <x:sheetData>
    <x:row r="1" ht="30" customHeight="1">
      <x:c r="A1" s="3" t="inlineStr">
        <x:is>
          <x:t xml:space="preserve">AUX-LOCAL CRAWL LOG — MỖI NGÀY MỘT DÒNG</x:t>
        </x:is>
      </x:c>
    </x:row>
    <x:row r="2">
      <x:c r="A2" s="36" t="inlineStr">
        <x:is>
          <x:t xml:space="preserve">Ghi một dòng cho mỗi crawl date. Cohort v2 có 354 khách sạn: 02/09 dùng 12 check-in = 4.248 item; từ 03/09 dùng 10 check-in = 3.540 item. Không lưu HTML/ảnh nếu không cần audit.</x:t>
        </x:is>
      </x:c>
    </x:row>
    <x:row r="3" ht="30" customHeight="1">
      <x:c r="A3" s="9" t="inlineStr">
        <x:is>
          <x:t xml:space="preserve">Crawl date</x:t>
        </x:is>
      </x:c>
      <x:c r="B3" s="9" t="inlineStr">
        <x:is>
          <x:t xml:space="preserve">Status</x:t>
        </x:is>
      </x:c>
      <x:c r="C3" s="9" t="inlineStr">
        <x:is>
          <x:t xml:space="preserve">Run IDs</x:t>
        </x:is>
      </x:c>
      <x:c r="D3" s="9" t="inlineStr">
        <x:is>
          <x:t xml:space="preserve">Started at</x:t>
        </x:is>
      </x:c>
      <x:c r="E3" s="9" t="inlineStr">
        <x:is>
          <x:t xml:space="preserve">Finished at</x:t>
        </x:is>
      </x:c>
      <x:c r="F3" s="9" t="inlineStr">
        <x:is>
          <x:t xml:space="preserve">Duration (hours)</x:t>
        </x:is>
      </x:c>
      <x:c r="G3" s="9" t="inlineStr">
        <x:is>
          <x:t xml:space="preserve">Total items</x:t>
        </x:is>
      </x:c>
      <x:c r="H3" s="9" t="inlineStr">
        <x:is>
          <x:t xml:space="preserve">Processed</x:t>
        </x:is>
      </x:c>
      <x:c r="I3" s="9" t="inlineStr">
        <x:is>
          <x:t xml:space="preserve">Success</x:t>
        </x:is>
      </x:c>
      <x:c r="J3" s="9" t="inlineStr">
        <x:is>
          <x:t xml:space="preserve">Partial</x:t>
        </x:is>
      </x:c>
      <x:c r="K3" s="9" t="inlineStr">
        <x:is>
          <x:t xml:space="preserve">Sold out</x:t>
        </x:is>
      </x:c>
      <x:c r="L3" s="9" t="inlineStr">
        <x:is>
          <x:t xml:space="preserve">Not bookable</x:t>
        </x:is>
      </x:c>
      <x:c r="M3" s="9" t="inlineStr">
        <x:is>
          <x:t xml:space="preserve">Error</x:t>
        </x:is>
      </x:c>
      <x:c r="N3" s="9" t="inlineStr">
        <x:is>
          <x:t xml:space="preserve">Valid records</x:t>
        </x:is>
      </x:c>
      <x:c r="O3" s="9" t="inlineStr">
        <x:is>
          <x:t xml:space="preserve">Check-in count</x:t>
        </x:is>
      </x:c>
      <x:c r="P3" s="9" t="inlineStr">
        <x:is>
          <x:t xml:space="preserve">Environment</x:t>
        </x:is>
      </x:c>
      <x:c r="Q3" s="9" t="inlineStr">
        <x:is>
          <x:t xml:space="preserve">Notes</x:t>
        </x:is>
      </x:c>
    </x:row>
    <x:row r="4">
      <x:c r="A4" s="163" t="n">
        <x:v>46267</x:v>
      </x:c>
      <x:c r="B4" s="55" t="str">
        <x:v>Hoàn thành có lỗi</x:v>
      </x:c>
      <x:c r="C4" s="55" t="str">
        <x:v>2</x:v>
      </x:c>
      <x:c r="D4" s="164" t="n">
        <x:v>46267.04740740741</x:v>
      </x:c>
      <x:c r="E4" s="164" t="n">
        <x:v>46268.00603009259</x:v>
      </x:c>
      <x:c r="F4" s="165" t="n">
        <x:f>IF(AND(D4&lt;&gt;"",E4&lt;&gt;""),(E4-D4)*24,"")</x:f>
        <x:v>23.00694444437977</x:v>
      </x:c>
      <x:c r="G4" s="166" t="n">
        <x:v>4260</x:v>
      </x:c>
      <x:c r="H4" s="166" t="n">
        <x:v>4260</x:v>
      </x:c>
      <x:c r="I4" s="166" t="n">
        <x:v>3862</x:v>
      </x:c>
      <x:c r="J4" s="166" t="n">
        <x:v>0</x:v>
      </x:c>
      <x:c r="K4" s="166" t="n">
        <x:v>314</x:v>
      </x:c>
      <x:c r="L4" s="166" t="n">
        <x:v>72</x:v>
      </x:c>
      <x:c r="M4" s="166" t="n">
        <x:v>12</x:v>
      </x:c>
      <x:c r="N4" s="166" t="n">
        <x:v>35737</x:v>
      </x:c>
      <x:c r="O4" s="166" t="n">
        <x:v>12</x:v>
      </x:c>
      <x:c r="P4" s="55" t="str">
        <x:v>local_aux</x:v>
      </x:c>
      <x:c r="Q4" s="55" t="str">
        <x:v>Scheduled run 2 completed; aggregate recovered from local_aux DB</x:v>
      </x:c>
    </x:row>
    <x:row r="5">
      <x:c r="A5" s="167" t="n">
        <x:v>46268</x:v>
      </x:c>
      <x:c r="B5" s="59" t="inlineStr">
        <x:is>
          <x:t xml:space="preserve">Chưa chạy</x:t>
        </x:is>
      </x:c>
      <x:c r="C5" s="59" t="n"/>
      <x:c r="D5" s="168" t="n"/>
      <x:c r="E5" s="168" t="n"/>
      <x:c r="F5" s="169" t="str">
        <x:f>IF(AND(D5&lt;&gt;"",E5&lt;&gt;""),(E5-D5)*24,"")</x:f>
      </x:c>
      <x:c r="G5" s="170" t="n"/>
      <x:c r="H5" s="170" t="n"/>
      <x:c r="I5" s="170" t="n"/>
      <x:c r="J5" s="170" t="n"/>
      <x:c r="K5" s="170" t="n"/>
      <x:c r="L5" s="170" t="n"/>
      <x:c r="M5" s="170" t="n"/>
      <x:c r="N5" s="170" t="n"/>
      <x:c r="O5" s="170" t="n">
        <x:v>10</x:v>
      </x:c>
      <x:c r="P5" s="59" t="inlineStr">
        <x:is>
          <x:t xml:space="preserve">local_aux</x:t>
        </x:is>
      </x:c>
      <x:c r="Q5" s="59" t="n"/>
    </x:row>
    <x:row r="6">
      <x:c r="A6" s="167" t="n">
        <x:v>46269</x:v>
      </x:c>
      <x:c r="B6" s="59" t="inlineStr">
        <x:is>
          <x:t xml:space="preserve">Chưa chạy</x:t>
        </x:is>
      </x:c>
      <x:c r="C6" s="59" t="n"/>
      <x:c r="D6" s="168" t="n"/>
      <x:c r="E6" s="168" t="n"/>
      <x:c r="F6" s="169" t="str">
        <x:f>IF(AND(D6&lt;&gt;"",E6&lt;&gt;""),(E6-D6)*24,"")</x:f>
      </x:c>
      <x:c r="G6" s="170" t="n"/>
      <x:c r="H6" s="170" t="n"/>
      <x:c r="I6" s="170" t="n"/>
      <x:c r="J6" s="170" t="n"/>
      <x:c r="K6" s="170" t="n"/>
      <x:c r="L6" s="170" t="n"/>
      <x:c r="M6" s="170" t="n"/>
      <x:c r="N6" s="170" t="n"/>
      <x:c r="O6" s="170" t="n">
        <x:v>10</x:v>
      </x:c>
      <x:c r="P6" s="59" t="inlineStr">
        <x:is>
          <x:t xml:space="preserve">local_aux</x:t>
        </x:is>
      </x:c>
      <x:c r="Q6" s="59" t="n"/>
    </x:row>
    <x:row r="7">
      <x:c r="A7" s="167" t="n">
        <x:v>46270</x:v>
      </x:c>
      <x:c r="B7" s="59" t="inlineStr">
        <x:is>
          <x:t xml:space="preserve">Chưa chạy</x:t>
        </x:is>
      </x:c>
      <x:c r="C7" s="59" t="n"/>
      <x:c r="D7" s="168" t="n"/>
      <x:c r="E7" s="168" t="n"/>
      <x:c r="F7" s="169" t="str">
        <x:f>IF(AND(D7&lt;&gt;"",E7&lt;&gt;""),(E7-D7)*24,"")</x:f>
      </x:c>
      <x:c r="G7" s="170" t="n"/>
      <x:c r="H7" s="170" t="n"/>
      <x:c r="I7" s="170" t="n"/>
      <x:c r="J7" s="170" t="n"/>
      <x:c r="K7" s="170" t="n"/>
      <x:c r="L7" s="170" t="n"/>
      <x:c r="M7" s="170" t="n"/>
      <x:c r="N7" s="170" t="n"/>
      <x:c r="O7" s="170" t="n">
        <x:v>10</x:v>
      </x:c>
      <x:c r="P7" s="59" t="inlineStr">
        <x:is>
          <x:t xml:space="preserve">local_aux</x:t>
        </x:is>
      </x:c>
      <x:c r="Q7" s="59" t="n"/>
    </x:row>
    <x:row r="8">
      <x:c r="A8" s="167" t="n">
        <x:v>46271</x:v>
      </x:c>
      <x:c r="B8" s="59" t="inlineStr">
        <x:is>
          <x:t xml:space="preserve">Chưa chạy</x:t>
        </x:is>
      </x:c>
      <x:c r="C8" s="59" t="n"/>
      <x:c r="D8" s="168" t="n"/>
      <x:c r="E8" s="168" t="n"/>
      <x:c r="F8" s="169" t="str">
        <x:f>IF(AND(D8&lt;&gt;"",E8&lt;&gt;""),(E8-D8)*24,"")</x:f>
      </x:c>
      <x:c r="G8" s="170" t="n"/>
      <x:c r="H8" s="170" t="n"/>
      <x:c r="I8" s="170" t="n"/>
      <x:c r="J8" s="170" t="n"/>
      <x:c r="K8" s="170" t="n"/>
      <x:c r="L8" s="170" t="n"/>
      <x:c r="M8" s="170" t="n"/>
      <x:c r="N8" s="170" t="n"/>
      <x:c r="O8" s="170" t="n">
        <x:v>10</x:v>
      </x:c>
      <x:c r="P8" s="59" t="inlineStr">
        <x:is>
          <x:t xml:space="preserve">local_aux</x:t>
        </x:is>
      </x:c>
      <x:c r="Q8" s="59" t="n"/>
    </x:row>
    <x:row r="9">
      <x:c r="A9" s="167" t="n">
        <x:v>46272</x:v>
      </x:c>
      <x:c r="B9" s="59" t="inlineStr">
        <x:is>
          <x:t xml:space="preserve">Chưa chạy</x:t>
        </x:is>
      </x:c>
      <x:c r="C9" s="59" t="n"/>
      <x:c r="D9" s="168" t="n"/>
      <x:c r="E9" s="168" t="n"/>
      <x:c r="F9" s="169" t="str">
        <x:f>IF(AND(D9&lt;&gt;"",E9&lt;&gt;""),(E9-D9)*24,"")</x:f>
      </x:c>
      <x:c r="G9" s="170" t="n"/>
      <x:c r="H9" s="170" t="n"/>
      <x:c r="I9" s="170" t="n"/>
      <x:c r="J9" s="170" t="n"/>
      <x:c r="K9" s="170" t="n"/>
      <x:c r="L9" s="170" t="n"/>
      <x:c r="M9" s="170" t="n"/>
      <x:c r="N9" s="170" t="n"/>
      <x:c r="O9" s="170" t="n">
        <x:v>10</x:v>
      </x:c>
      <x:c r="P9" s="59" t="inlineStr">
        <x:is>
          <x:t xml:space="preserve">local_aux</x:t>
        </x:is>
      </x:c>
      <x:c r="Q9" s="59" t="n"/>
    </x:row>
    <x:row r="10">
      <x:c r="A10" s="167" t="n">
        <x:v>46273</x:v>
      </x:c>
      <x:c r="B10" s="59" t="inlineStr">
        <x:is>
          <x:t xml:space="preserve">Chưa chạy</x:t>
        </x:is>
      </x:c>
      <x:c r="C10" s="59" t="n"/>
      <x:c r="D10" s="168" t="n"/>
      <x:c r="E10" s="168" t="n"/>
      <x:c r="F10" s="169" t="str">
        <x:f>IF(AND(D10&lt;&gt;"",E10&lt;&gt;""),(E10-D10)*24,"")</x:f>
      </x:c>
      <x:c r="G10" s="170" t="n"/>
      <x:c r="H10" s="170" t="n"/>
      <x:c r="I10" s="170" t="n"/>
      <x:c r="J10" s="170" t="n"/>
      <x:c r="K10" s="170" t="n"/>
      <x:c r="L10" s="170" t="n"/>
      <x:c r="M10" s="170" t="n"/>
      <x:c r="N10" s="170" t="n"/>
      <x:c r="O10" s="170" t="n">
        <x:v>10</x:v>
      </x:c>
      <x:c r="P10" s="59" t="inlineStr">
        <x:is>
          <x:t xml:space="preserve">local_aux</x:t>
        </x:is>
      </x:c>
      <x:c r="Q10" s="59" t="n"/>
    </x:row>
    <x:row r="11">
      <x:c r="A11" s="167" t="n">
        <x:v>46274</x:v>
      </x:c>
      <x:c r="B11" s="59" t="inlineStr">
        <x:is>
          <x:t xml:space="preserve">Chưa chạy</x:t>
        </x:is>
      </x:c>
      <x:c r="C11" s="59" t="n"/>
      <x:c r="D11" s="168" t="n"/>
      <x:c r="E11" s="168" t="n"/>
      <x:c r="F11" s="169" t="str">
        <x:f>IF(AND(D11&lt;&gt;"",E11&lt;&gt;""),(E11-D11)*24,"")</x:f>
      </x:c>
      <x:c r="G11" s="170" t="n"/>
      <x:c r="H11" s="170" t="n"/>
      <x:c r="I11" s="170" t="n"/>
      <x:c r="J11" s="170" t="n"/>
      <x:c r="K11" s="170" t="n"/>
      <x:c r="L11" s="170" t="n"/>
      <x:c r="M11" s="170" t="n"/>
      <x:c r="N11" s="170" t="n"/>
      <x:c r="O11" s="170" t="n">
        <x:v>10</x:v>
      </x:c>
      <x:c r="P11" s="59" t="inlineStr">
        <x:is>
          <x:t xml:space="preserve">local_aux</x:t>
        </x:is>
      </x:c>
      <x:c r="Q11" s="59" t="n"/>
    </x:row>
    <x:row r="12">
      <x:c r="A12" s="167" t="n">
        <x:v>46275</x:v>
      </x:c>
      <x:c r="B12" s="59" t="inlineStr">
        <x:is>
          <x:t xml:space="preserve">Chưa chạy</x:t>
        </x:is>
      </x:c>
      <x:c r="C12" s="59" t="n"/>
      <x:c r="D12" s="168" t="n"/>
      <x:c r="E12" s="168" t="n"/>
      <x:c r="F12" s="169" t="str">
        <x:f>IF(AND(D12&lt;&gt;"",E12&lt;&gt;""),(E12-D12)*24,"")</x:f>
      </x:c>
      <x:c r="G12" s="170" t="n"/>
      <x:c r="H12" s="170" t="n"/>
      <x:c r="I12" s="170" t="n"/>
      <x:c r="J12" s="170" t="n"/>
      <x:c r="K12" s="170" t="n"/>
      <x:c r="L12" s="170" t="n"/>
      <x:c r="M12" s="170" t="n"/>
      <x:c r="N12" s="170" t="n"/>
      <x:c r="O12" s="170" t="n">
        <x:v>10</x:v>
      </x:c>
      <x:c r="P12" s="59" t="inlineStr">
        <x:is>
          <x:t xml:space="preserve">local_aux</x:t>
        </x:is>
      </x:c>
      <x:c r="Q12" s="59" t="n"/>
    </x:row>
    <x:row r="13">
      <x:c r="A13" s="167" t="n">
        <x:v>46276</x:v>
      </x:c>
      <x:c r="B13" s="59" t="inlineStr">
        <x:is>
          <x:t xml:space="preserve">Chưa chạy</x:t>
        </x:is>
      </x:c>
      <x:c r="C13" s="59" t="n"/>
      <x:c r="D13" s="168" t="n"/>
      <x:c r="E13" s="168" t="n"/>
      <x:c r="F13" s="169" t="str">
        <x:f>IF(AND(D13&lt;&gt;"",E13&lt;&gt;""),(E13-D13)*24,"")</x:f>
      </x:c>
      <x:c r="G13" s="170" t="n"/>
      <x:c r="H13" s="170" t="n"/>
      <x:c r="I13" s="170" t="n"/>
      <x:c r="J13" s="170" t="n"/>
      <x:c r="K13" s="170" t="n"/>
      <x:c r="L13" s="170" t="n"/>
      <x:c r="M13" s="170" t="n"/>
      <x:c r="N13" s="170" t="n"/>
      <x:c r="O13" s="170" t="n">
        <x:v>10</x:v>
      </x:c>
      <x:c r="P13" s="59" t="inlineStr">
        <x:is>
          <x:t xml:space="preserve">local_aux</x:t>
        </x:is>
      </x:c>
      <x:c r="Q13" s="59" t="n"/>
    </x:row>
    <x:row r="14">
      <x:c r="A14" s="167" t="n">
        <x:v>46277</x:v>
      </x:c>
      <x:c r="B14" s="59" t="inlineStr">
        <x:is>
          <x:t xml:space="preserve">Chưa chạy</x:t>
        </x:is>
      </x:c>
      <x:c r="C14" s="59" t="n"/>
      <x:c r="D14" s="168" t="n"/>
      <x:c r="E14" s="168" t="n"/>
      <x:c r="F14" s="169" t="str">
        <x:f>IF(AND(D14&lt;&gt;"",E14&lt;&gt;""),(E14-D14)*24,"")</x:f>
      </x:c>
      <x:c r="G14" s="170" t="n"/>
      <x:c r="H14" s="170" t="n"/>
      <x:c r="I14" s="170" t="n"/>
      <x:c r="J14" s="170" t="n"/>
      <x:c r="K14" s="170" t="n"/>
      <x:c r="L14" s="170" t="n"/>
      <x:c r="M14" s="170" t="n"/>
      <x:c r="N14" s="170" t="n"/>
      <x:c r="O14" s="170" t="n">
        <x:v>10</x:v>
      </x:c>
      <x:c r="P14" s="59" t="inlineStr">
        <x:is>
          <x:t xml:space="preserve">local_aux</x:t>
        </x:is>
      </x:c>
      <x:c r="Q14" s="59" t="n"/>
    </x:row>
    <x:row r="15">
      <x:c r="A15" s="167" t="n">
        <x:v>46278</x:v>
      </x:c>
      <x:c r="B15" s="59" t="inlineStr">
        <x:is>
          <x:t xml:space="preserve">Chưa chạy</x:t>
        </x:is>
      </x:c>
      <x:c r="C15" s="59" t="n"/>
      <x:c r="D15" s="168" t="n"/>
      <x:c r="E15" s="168" t="n"/>
      <x:c r="F15" s="169" t="str">
        <x:f>IF(AND(D15&lt;&gt;"",E15&lt;&gt;""),(E15-D15)*24,"")</x:f>
      </x:c>
      <x:c r="G15" s="170" t="n"/>
      <x:c r="H15" s="170" t="n"/>
      <x:c r="I15" s="170" t="n"/>
      <x:c r="J15" s="170" t="n"/>
      <x:c r="K15" s="170" t="n"/>
      <x:c r="L15" s="170" t="n"/>
      <x:c r="M15" s="170" t="n"/>
      <x:c r="N15" s="170" t="n"/>
      <x:c r="O15" s="170" t="n">
        <x:v>10</x:v>
      </x:c>
      <x:c r="P15" s="59" t="inlineStr">
        <x:is>
          <x:t xml:space="preserve">local_aux</x:t>
        </x:is>
      </x:c>
      <x:c r="Q15" s="59" t="n"/>
    </x:row>
    <x:row r="16">
      <x:c r="A16" s="167" t="n">
        <x:v>46279</x:v>
      </x:c>
      <x:c r="B16" s="59" t="inlineStr">
        <x:is>
          <x:t xml:space="preserve">Chưa chạy</x:t>
        </x:is>
      </x:c>
      <x:c r="C16" s="59" t="n"/>
      <x:c r="D16" s="168" t="n"/>
      <x:c r="E16" s="168" t="n"/>
      <x:c r="F16" s="169" t="str">
        <x:f>IF(AND(D16&lt;&gt;"",E16&lt;&gt;""),(E16-D16)*24,"")</x:f>
      </x:c>
      <x:c r="G16" s="170" t="n"/>
      <x:c r="H16" s="170" t="n"/>
      <x:c r="I16" s="170" t="n"/>
      <x:c r="J16" s="170" t="n"/>
      <x:c r="K16" s="170" t="n"/>
      <x:c r="L16" s="170" t="n"/>
      <x:c r="M16" s="170" t="n"/>
      <x:c r="N16" s="170" t="n"/>
      <x:c r="O16" s="170" t="n">
        <x:v>10</x:v>
      </x:c>
      <x:c r="P16" s="59" t="inlineStr">
        <x:is>
          <x:t xml:space="preserve">local_aux</x:t>
        </x:is>
      </x:c>
      <x:c r="Q16" s="59" t="n"/>
    </x:row>
    <x:row r="17">
      <x:c r="A17" s="167" t="n">
        <x:v>46280</x:v>
      </x:c>
      <x:c r="B17" s="59" t="inlineStr">
        <x:is>
          <x:t xml:space="preserve">Chưa chạy</x:t>
        </x:is>
      </x:c>
      <x:c r="C17" s="59" t="n"/>
      <x:c r="D17" s="168" t="n"/>
      <x:c r="E17" s="168" t="n"/>
      <x:c r="F17" s="169" t="str">
        <x:f>IF(AND(D17&lt;&gt;"",E17&lt;&gt;""),(E17-D17)*24,"")</x:f>
      </x:c>
      <x:c r="G17" s="170" t="n"/>
      <x:c r="H17" s="170" t="n"/>
      <x:c r="I17" s="170" t="n"/>
      <x:c r="J17" s="170" t="n"/>
      <x:c r="K17" s="170" t="n"/>
      <x:c r="L17" s="170" t="n"/>
      <x:c r="M17" s="170" t="n"/>
      <x:c r="N17" s="170" t="n"/>
      <x:c r="O17" s="170" t="n">
        <x:v>10</x:v>
      </x:c>
      <x:c r="P17" s="59" t="inlineStr">
        <x:is>
          <x:t xml:space="preserve">local_aux</x:t>
        </x:is>
      </x:c>
      <x:c r="Q17" s="59" t="n"/>
    </x:row>
    <x:row r="18">
      <x:c r="A18" s="167" t="n">
        <x:v>46281</x:v>
      </x:c>
      <x:c r="B18" s="59" t="inlineStr">
        <x:is>
          <x:t xml:space="preserve">Chưa chạy</x:t>
        </x:is>
      </x:c>
      <x:c r="C18" s="59" t="n"/>
      <x:c r="D18" s="168" t="n"/>
      <x:c r="E18" s="168" t="n"/>
      <x:c r="F18" s="169" t="str">
        <x:f>IF(AND(D18&lt;&gt;"",E18&lt;&gt;""),(E18-D18)*24,"")</x:f>
      </x:c>
      <x:c r="G18" s="170" t="n"/>
      <x:c r="H18" s="170" t="n"/>
      <x:c r="I18" s="170" t="n"/>
      <x:c r="J18" s="170" t="n"/>
      <x:c r="K18" s="170" t="n"/>
      <x:c r="L18" s="170" t="n"/>
      <x:c r="M18" s="170" t="n"/>
      <x:c r="N18" s="170" t="n"/>
      <x:c r="O18" s="170" t="n">
        <x:v>10</x:v>
      </x:c>
      <x:c r="P18" s="59" t="inlineStr">
        <x:is>
          <x:t xml:space="preserve">local_aux</x:t>
        </x:is>
      </x:c>
      <x:c r="Q18" s="59" t="n"/>
    </x:row>
    <x:row r="19">
      <x:c r="A19" s="167" t="n">
        <x:v>46282</x:v>
      </x:c>
      <x:c r="B19" s="59" t="inlineStr">
        <x:is>
          <x:t xml:space="preserve">Chưa chạy</x:t>
        </x:is>
      </x:c>
      <x:c r="C19" s="59" t="n"/>
      <x:c r="D19" s="168" t="n"/>
      <x:c r="E19" s="168" t="n"/>
      <x:c r="F19" s="169" t="str">
        <x:f>IF(AND(D19&lt;&gt;"",E19&lt;&gt;""),(E19-D19)*24,"")</x:f>
      </x:c>
      <x:c r="G19" s="170" t="n"/>
      <x:c r="H19" s="170" t="n"/>
      <x:c r="I19" s="170" t="n"/>
      <x:c r="J19" s="170" t="n"/>
      <x:c r="K19" s="170" t="n"/>
      <x:c r="L19" s="170" t="n"/>
      <x:c r="M19" s="170" t="n"/>
      <x:c r="N19" s="170" t="n"/>
      <x:c r="O19" s="170" t="n">
        <x:v>10</x:v>
      </x:c>
      <x:c r="P19" s="59" t="inlineStr">
        <x:is>
          <x:t xml:space="preserve">local_aux</x:t>
        </x:is>
      </x:c>
      <x:c r="Q19" s="59" t="n"/>
    </x:row>
    <x:row r="20">
      <x:c r="A20" s="167" t="n">
        <x:v>46283</x:v>
      </x:c>
      <x:c r="B20" s="59" t="inlineStr">
        <x:is>
          <x:t xml:space="preserve">Chưa chạy</x:t>
        </x:is>
      </x:c>
      <x:c r="C20" s="59" t="n"/>
      <x:c r="D20" s="168" t="n"/>
      <x:c r="E20" s="168" t="n"/>
      <x:c r="F20" s="169" t="str">
        <x:f>IF(AND(D20&lt;&gt;"",E20&lt;&gt;""),(E20-D20)*24,"")</x:f>
      </x:c>
      <x:c r="G20" s="170" t="n"/>
      <x:c r="H20" s="170" t="n"/>
      <x:c r="I20" s="170" t="n"/>
      <x:c r="J20" s="170" t="n"/>
      <x:c r="K20" s="170" t="n"/>
      <x:c r="L20" s="170" t="n"/>
      <x:c r="M20" s="170" t="n"/>
      <x:c r="N20" s="170" t="n"/>
      <x:c r="O20" s="170" t="n">
        <x:v>10</x:v>
      </x:c>
      <x:c r="P20" s="59" t="inlineStr">
        <x:is>
          <x:t xml:space="preserve">local_aux</x:t>
        </x:is>
      </x:c>
      <x:c r="Q20" s="59" t="n"/>
    </x:row>
    <x:row r="21">
      <x:c r="A21" s="167" t="n">
        <x:v>46284</x:v>
      </x:c>
      <x:c r="B21" s="59" t="inlineStr">
        <x:is>
          <x:t xml:space="preserve">Chưa chạy</x:t>
        </x:is>
      </x:c>
      <x:c r="C21" s="59" t="n"/>
      <x:c r="D21" s="168" t="n"/>
      <x:c r="E21" s="168" t="n"/>
      <x:c r="F21" s="169" t="str">
        <x:f>IF(AND(D21&lt;&gt;"",E21&lt;&gt;""),(E21-D21)*24,"")</x:f>
      </x:c>
      <x:c r="G21" s="170" t="n"/>
      <x:c r="H21" s="170" t="n"/>
      <x:c r="I21" s="170" t="n"/>
      <x:c r="J21" s="170" t="n"/>
      <x:c r="K21" s="170" t="n"/>
      <x:c r="L21" s="170" t="n"/>
      <x:c r="M21" s="170" t="n"/>
      <x:c r="N21" s="170" t="n"/>
      <x:c r="O21" s="170" t="n">
        <x:v>10</x:v>
      </x:c>
      <x:c r="P21" s="59" t="inlineStr">
        <x:is>
          <x:t xml:space="preserve">local_aux</x:t>
        </x:is>
      </x:c>
      <x:c r="Q21" s="59" t="n"/>
    </x:row>
    <x:row r="22">
      <x:c r="A22" s="167" t="n">
        <x:v>46285</x:v>
      </x:c>
      <x:c r="B22" s="59" t="inlineStr">
        <x:is>
          <x:t xml:space="preserve">Chưa chạy</x:t>
        </x:is>
      </x:c>
      <x:c r="C22" s="59" t="n"/>
      <x:c r="D22" s="168" t="n"/>
      <x:c r="E22" s="168" t="n"/>
      <x:c r="F22" s="169" t="str">
        <x:f>IF(AND(D22&lt;&gt;"",E22&lt;&gt;""),(E22-D22)*24,"")</x:f>
      </x:c>
      <x:c r="G22" s="170" t="n"/>
      <x:c r="H22" s="170" t="n"/>
      <x:c r="I22" s="170" t="n"/>
      <x:c r="J22" s="170" t="n"/>
      <x:c r="K22" s="170" t="n"/>
      <x:c r="L22" s="170" t="n"/>
      <x:c r="M22" s="170" t="n"/>
      <x:c r="N22" s="170" t="n"/>
      <x:c r="O22" s="170" t="n">
        <x:v>10</x:v>
      </x:c>
      <x:c r="P22" s="59" t="inlineStr">
        <x:is>
          <x:t xml:space="preserve">local_aux</x:t>
        </x:is>
      </x:c>
      <x:c r="Q22" s="59" t="n"/>
    </x:row>
    <x:row r="23">
      <x:c r="A23" s="167" t="n">
        <x:v>46286</x:v>
      </x:c>
      <x:c r="B23" s="59" t="inlineStr">
        <x:is>
          <x:t xml:space="preserve">Chưa chạy</x:t>
        </x:is>
      </x:c>
      <x:c r="C23" s="59" t="n"/>
      <x:c r="D23" s="168" t="n"/>
      <x:c r="E23" s="168" t="n"/>
      <x:c r="F23" s="169" t="str">
        <x:f>IF(AND(D23&lt;&gt;"",E23&lt;&gt;""),(E23-D23)*24,"")</x:f>
      </x:c>
      <x:c r="G23" s="170" t="n"/>
      <x:c r="H23" s="170" t="n"/>
      <x:c r="I23" s="170" t="n"/>
      <x:c r="J23" s="170" t="n"/>
      <x:c r="K23" s="170" t="n"/>
      <x:c r="L23" s="170" t="n"/>
      <x:c r="M23" s="170" t="n"/>
      <x:c r="N23" s="170" t="n"/>
      <x:c r="O23" s="170" t="n">
        <x:v>10</x:v>
      </x:c>
      <x:c r="P23" s="59" t="inlineStr">
        <x:is>
          <x:t xml:space="preserve">local_aux</x:t>
        </x:is>
      </x:c>
      <x:c r="Q23" s="59" t="n"/>
    </x:row>
    <x:row r="24">
      <x:c r="A24" s="167" t="n">
        <x:v>46287</x:v>
      </x:c>
      <x:c r="B24" s="59" t="inlineStr">
        <x:is>
          <x:t xml:space="preserve">Chưa chạy</x:t>
        </x:is>
      </x:c>
      <x:c r="C24" s="59" t="n"/>
      <x:c r="D24" s="168" t="n"/>
      <x:c r="E24" s="168" t="n"/>
      <x:c r="F24" s="169" t="str">
        <x:f>IF(AND(D24&lt;&gt;"",E24&lt;&gt;""),(E24-D24)*24,"")</x:f>
      </x:c>
      <x:c r="G24" s="170" t="n"/>
      <x:c r="H24" s="170" t="n"/>
      <x:c r="I24" s="170" t="n"/>
      <x:c r="J24" s="170" t="n"/>
      <x:c r="K24" s="170" t="n"/>
      <x:c r="L24" s="170" t="n"/>
      <x:c r="M24" s="170" t="n"/>
      <x:c r="N24" s="170" t="n"/>
      <x:c r="O24" s="170" t="n">
        <x:v>10</x:v>
      </x:c>
      <x:c r="P24" s="59" t="inlineStr">
        <x:is>
          <x:t xml:space="preserve">local_aux</x:t>
        </x:is>
      </x:c>
      <x:c r="Q24" s="59" t="n"/>
    </x:row>
    <x:row r="25">
      <x:c r="A25" s="167" t="n">
        <x:v>46288</x:v>
      </x:c>
      <x:c r="B25" s="59" t="inlineStr">
        <x:is>
          <x:t xml:space="preserve">Chưa chạy</x:t>
        </x:is>
      </x:c>
      <x:c r="C25" s="59" t="n"/>
      <x:c r="D25" s="168" t="n"/>
      <x:c r="E25" s="168" t="n"/>
      <x:c r="F25" s="169" t="str">
        <x:f>IF(AND(D25&lt;&gt;"",E25&lt;&gt;""),(E25-D25)*24,"")</x:f>
      </x:c>
      <x:c r="G25" s="170" t="n"/>
      <x:c r="H25" s="170" t="n"/>
      <x:c r="I25" s="170" t="n"/>
      <x:c r="J25" s="170" t="n"/>
      <x:c r="K25" s="170" t="n"/>
      <x:c r="L25" s="170" t="n"/>
      <x:c r="M25" s="170" t="n"/>
      <x:c r="N25" s="170" t="n"/>
      <x:c r="O25" s="170" t="n">
        <x:v>10</x:v>
      </x:c>
      <x:c r="P25" s="59" t="inlineStr">
        <x:is>
          <x:t xml:space="preserve">local_aux</x:t>
        </x:is>
      </x:c>
      <x:c r="Q25" s="59" t="n"/>
    </x:row>
    <x:row r="26">
      <x:c r="A26" s="167" t="n">
        <x:v>46289</x:v>
      </x:c>
      <x:c r="B26" s="59" t="inlineStr">
        <x:is>
          <x:t xml:space="preserve">Chưa chạy</x:t>
        </x:is>
      </x:c>
      <x:c r="C26" s="59" t="n"/>
      <x:c r="D26" s="168" t="n"/>
      <x:c r="E26" s="168" t="n"/>
      <x:c r="F26" s="169" t="str">
        <x:f>IF(AND(D26&lt;&gt;"",E26&lt;&gt;""),(E26-D26)*24,"")</x:f>
      </x:c>
      <x:c r="G26" s="170" t="n"/>
      <x:c r="H26" s="170" t="n"/>
      <x:c r="I26" s="170" t="n"/>
      <x:c r="J26" s="170" t="n"/>
      <x:c r="K26" s="170" t="n"/>
      <x:c r="L26" s="170" t="n"/>
      <x:c r="M26" s="170" t="n"/>
      <x:c r="N26" s="170" t="n"/>
      <x:c r="O26" s="170" t="n">
        <x:v>10</x:v>
      </x:c>
      <x:c r="P26" s="59" t="inlineStr">
        <x:is>
          <x:t xml:space="preserve">local_aux</x:t>
        </x:is>
      </x:c>
      <x:c r="Q26" s="59" t="n"/>
    </x:row>
    <x:row r="27">
      <x:c r="A27" s="167" t="n">
        <x:v>46290</x:v>
      </x:c>
      <x:c r="B27" s="59" t="inlineStr">
        <x:is>
          <x:t xml:space="preserve">Chưa chạy</x:t>
        </x:is>
      </x:c>
      <x:c r="C27" s="59" t="n"/>
      <x:c r="D27" s="168" t="n"/>
      <x:c r="E27" s="168" t="n"/>
      <x:c r="F27" s="169" t="str">
        <x:f>IF(AND(D27&lt;&gt;"",E27&lt;&gt;""),(E27-D27)*24,"")</x:f>
      </x:c>
      <x:c r="G27" s="170" t="n"/>
      <x:c r="H27" s="170" t="n"/>
      <x:c r="I27" s="170" t="n"/>
      <x:c r="J27" s="170" t="n"/>
      <x:c r="K27" s="170" t="n"/>
      <x:c r="L27" s="170" t="n"/>
      <x:c r="M27" s="170" t="n"/>
      <x:c r="N27" s="170" t="n"/>
      <x:c r="O27" s="170" t="n">
        <x:v>10</x:v>
      </x:c>
      <x:c r="P27" s="59" t="inlineStr">
        <x:is>
          <x:t xml:space="preserve">local_aux</x:t>
        </x:is>
      </x:c>
      <x:c r="Q27" s="59" t="n"/>
    </x:row>
    <x:row r="28">
      <x:c r="A28" s="167" t="n">
        <x:v>46291</x:v>
      </x:c>
      <x:c r="B28" s="59" t="inlineStr">
        <x:is>
          <x:t xml:space="preserve">Chưa chạy</x:t>
        </x:is>
      </x:c>
      <x:c r="C28" s="59" t="n"/>
      <x:c r="D28" s="168" t="n"/>
      <x:c r="E28" s="168" t="n"/>
      <x:c r="F28" s="169" t="str">
        <x:f>IF(AND(D28&lt;&gt;"",E28&lt;&gt;""),(E28-D28)*24,"")</x:f>
      </x:c>
      <x:c r="G28" s="170" t="n"/>
      <x:c r="H28" s="170" t="n"/>
      <x:c r="I28" s="170" t="n"/>
      <x:c r="J28" s="170" t="n"/>
      <x:c r="K28" s="170" t="n"/>
      <x:c r="L28" s="170" t="n"/>
      <x:c r="M28" s="170" t="n"/>
      <x:c r="N28" s="170" t="n"/>
      <x:c r="O28" s="170" t="n">
        <x:v>10</x:v>
      </x:c>
      <x:c r="P28" s="59" t="inlineStr">
        <x:is>
          <x:t xml:space="preserve">local_aux</x:t>
        </x:is>
      </x:c>
      <x:c r="Q28" s="59" t="n"/>
    </x:row>
    <x:row r="29">
      <x:c r="A29" s="167" t="n">
        <x:v>46292</x:v>
      </x:c>
      <x:c r="B29" s="59" t="inlineStr">
        <x:is>
          <x:t xml:space="preserve">Chưa chạy</x:t>
        </x:is>
      </x:c>
      <x:c r="C29" s="59" t="n"/>
      <x:c r="D29" s="168" t="n"/>
      <x:c r="E29" s="168" t="n"/>
      <x:c r="F29" s="169" t="str">
        <x:f>IF(AND(D29&lt;&gt;"",E29&lt;&gt;""),(E29-D29)*24,"")</x:f>
      </x:c>
      <x:c r="G29" s="170" t="n"/>
      <x:c r="H29" s="170" t="n"/>
      <x:c r="I29" s="170" t="n"/>
      <x:c r="J29" s="170" t="n"/>
      <x:c r="K29" s="170" t="n"/>
      <x:c r="L29" s="170" t="n"/>
      <x:c r="M29" s="170" t="n"/>
      <x:c r="N29" s="170" t="n"/>
      <x:c r="O29" s="170" t="n">
        <x:v>10</x:v>
      </x:c>
      <x:c r="P29" s="59" t="inlineStr">
        <x:is>
          <x:t xml:space="preserve">local_aux</x:t>
        </x:is>
      </x:c>
      <x:c r="Q29" s="59" t="n"/>
    </x:row>
    <x:row r="30">
      <x:c r="A30" s="167" t="n">
        <x:v>46293</x:v>
      </x:c>
      <x:c r="B30" s="59" t="inlineStr">
        <x:is>
          <x:t xml:space="preserve">Chưa chạy</x:t>
        </x:is>
      </x:c>
      <x:c r="C30" s="59" t="n"/>
      <x:c r="D30" s="168" t="n"/>
      <x:c r="E30" s="168" t="n"/>
      <x:c r="F30" s="169" t="str">
        <x:f>IF(AND(D30&lt;&gt;"",E30&lt;&gt;""),(E30-D30)*24,"")</x:f>
      </x:c>
      <x:c r="G30" s="170" t="n"/>
      <x:c r="H30" s="170" t="n"/>
      <x:c r="I30" s="170" t="n"/>
      <x:c r="J30" s="170" t="n"/>
      <x:c r="K30" s="170" t="n"/>
      <x:c r="L30" s="170" t="n"/>
      <x:c r="M30" s="170" t="n"/>
      <x:c r="N30" s="170" t="n"/>
      <x:c r="O30" s="170" t="n">
        <x:v>10</x:v>
      </x:c>
      <x:c r="P30" s="59" t="inlineStr">
        <x:is>
          <x:t xml:space="preserve">local_aux</x:t>
        </x:is>
      </x:c>
      <x:c r="Q30" s="59" t="n"/>
    </x:row>
    <x:row r="31">
      <x:c r="A31" s="167" t="n">
        <x:v>46294</x:v>
      </x:c>
      <x:c r="B31" s="59" t="inlineStr">
        <x:is>
          <x:t xml:space="preserve">Chưa chạy</x:t>
        </x:is>
      </x:c>
      <x:c r="C31" s="59" t="n"/>
      <x:c r="D31" s="168" t="n"/>
      <x:c r="E31" s="168" t="n"/>
      <x:c r="F31" s="169" t="str">
        <x:f>IF(AND(D31&lt;&gt;"",E31&lt;&gt;""),(E31-D31)*24,"")</x:f>
      </x:c>
      <x:c r="G31" s="170" t="n"/>
      <x:c r="H31" s="170" t="n"/>
      <x:c r="I31" s="170" t="n"/>
      <x:c r="J31" s="170" t="n"/>
      <x:c r="K31" s="170" t="n"/>
      <x:c r="L31" s="170" t="n"/>
      <x:c r="M31" s="170" t="n"/>
      <x:c r="N31" s="170" t="n"/>
      <x:c r="O31" s="170" t="n">
        <x:v>10</x:v>
      </x:c>
      <x:c r="P31" s="59" t="inlineStr">
        <x:is>
          <x:t xml:space="preserve">local_aux</x:t>
        </x:is>
      </x:c>
      <x:c r="Q31" s="59" t="n"/>
    </x:row>
    <x:row r="32">
      <x:c r="A32" s="167" t="n">
        <x:v>46295</x:v>
      </x:c>
      <x:c r="B32" s="59" t="inlineStr">
        <x:is>
          <x:t xml:space="preserve">Chưa chạy</x:t>
        </x:is>
      </x:c>
      <x:c r="C32" s="59" t="n"/>
      <x:c r="D32" s="168" t="n"/>
      <x:c r="E32" s="168" t="n"/>
      <x:c r="F32" s="169" t="str">
        <x:f>IF(AND(D32&lt;&gt;"",E32&lt;&gt;""),(E32-D32)*24,"")</x:f>
      </x:c>
      <x:c r="G32" s="170" t="n"/>
      <x:c r="H32" s="170" t="n"/>
      <x:c r="I32" s="170" t="n"/>
      <x:c r="J32" s="170" t="n"/>
      <x:c r="K32" s="170" t="n"/>
      <x:c r="L32" s="170" t="n"/>
      <x:c r="M32" s="170" t="n"/>
      <x:c r="N32" s="170" t="n"/>
      <x:c r="O32" s="170" t="n">
        <x:v>10</x:v>
      </x:c>
      <x:c r="P32" s="59" t="inlineStr">
        <x:is>
          <x:t xml:space="preserve">local_aux</x:t>
        </x:is>
      </x:c>
      <x:c r="Q32" s="59" t="n"/>
    </x:row>
    <x:row r="33">
      <x:c r="A33" s="167" t="n">
        <x:v>46296</x:v>
      </x:c>
      <x:c r="B33" s="59" t="inlineStr">
        <x:is>
          <x:t xml:space="preserve">Chưa chạy</x:t>
        </x:is>
      </x:c>
      <x:c r="C33" s="59" t="n"/>
      <x:c r="D33" s="168" t="n"/>
      <x:c r="E33" s="168" t="n"/>
      <x:c r="F33" s="169" t="str">
        <x:f>IF(AND(D33&lt;&gt;"",E33&lt;&gt;""),(E33-D33)*24,"")</x:f>
      </x:c>
      <x:c r="G33" s="170" t="n"/>
      <x:c r="H33" s="170" t="n"/>
      <x:c r="I33" s="170" t="n"/>
      <x:c r="J33" s="170" t="n"/>
      <x:c r="K33" s="170" t="n"/>
      <x:c r="L33" s="170" t="n"/>
      <x:c r="M33" s="170" t="n"/>
      <x:c r="N33" s="170" t="n"/>
      <x:c r="O33" s="170" t="n">
        <x:v>10</x:v>
      </x:c>
      <x:c r="P33" s="59" t="inlineStr">
        <x:is>
          <x:t xml:space="preserve">local_aux</x:t>
        </x:is>
      </x:c>
      <x:c r="Q33" s="59" t="n"/>
    </x:row>
    <x:row r="34">
      <x:c r="A34" s="167" t="n">
        <x:v>46297</x:v>
      </x:c>
      <x:c r="B34" s="59" t="inlineStr">
        <x:is>
          <x:t xml:space="preserve">Chưa chạy</x:t>
        </x:is>
      </x:c>
      <x:c r="C34" s="59" t="n"/>
      <x:c r="D34" s="168" t="n"/>
      <x:c r="E34" s="168" t="n"/>
      <x:c r="F34" s="169" t="str">
        <x:f>IF(AND(D34&lt;&gt;"",E34&lt;&gt;""),(E34-D34)*24,"")</x:f>
      </x:c>
      <x:c r="G34" s="170" t="n"/>
      <x:c r="H34" s="170" t="n"/>
      <x:c r="I34" s="170" t="n"/>
      <x:c r="J34" s="170" t="n"/>
      <x:c r="K34" s="170" t="n"/>
      <x:c r="L34" s="170" t="n"/>
      <x:c r="M34" s="170" t="n"/>
      <x:c r="N34" s="170" t="n"/>
      <x:c r="O34" s="170" t="n">
        <x:v>10</x:v>
      </x:c>
      <x:c r="P34" s="59" t="inlineStr">
        <x:is>
          <x:t xml:space="preserve">local_aux</x:t>
        </x:is>
      </x:c>
      <x:c r="Q34" s="59" t="n"/>
    </x:row>
    <x:row r="35">
      <x:c r="A35" s="167" t="n">
        <x:v>46298</x:v>
      </x:c>
      <x:c r="B35" s="59" t="inlineStr">
        <x:is>
          <x:t xml:space="preserve">Chưa chạy</x:t>
        </x:is>
      </x:c>
      <x:c r="C35" s="59" t="n"/>
      <x:c r="D35" s="168" t="n"/>
      <x:c r="E35" s="168" t="n"/>
      <x:c r="F35" s="169" t="str">
        <x:f>IF(AND(D35&lt;&gt;"",E35&lt;&gt;""),(E35-D35)*24,"")</x:f>
      </x:c>
      <x:c r="G35" s="170" t="n"/>
      <x:c r="H35" s="170" t="n"/>
      <x:c r="I35" s="170" t="n"/>
      <x:c r="J35" s="170" t="n"/>
      <x:c r="K35" s="170" t="n"/>
      <x:c r="L35" s="170" t="n"/>
      <x:c r="M35" s="170" t="n"/>
      <x:c r="N35" s="170" t="n"/>
      <x:c r="O35" s="170" t="n">
        <x:v>10</x:v>
      </x:c>
      <x:c r="P35" s="59" t="inlineStr">
        <x:is>
          <x:t xml:space="preserve">local_aux</x:t>
        </x:is>
      </x:c>
      <x:c r="Q35" s="59" t="n"/>
    </x:row>
    <x:row r="36">
      <x:c r="A36" s="167" t="n">
        <x:v>46299</x:v>
      </x:c>
      <x:c r="B36" s="59" t="inlineStr">
        <x:is>
          <x:t xml:space="preserve">Chưa chạy</x:t>
        </x:is>
      </x:c>
      <x:c r="C36" s="59" t="n"/>
      <x:c r="D36" s="168" t="n"/>
      <x:c r="E36" s="168" t="n"/>
      <x:c r="F36" s="169" t="str">
        <x:f>IF(AND(D36&lt;&gt;"",E36&lt;&gt;""),(E36-D36)*24,"")</x:f>
      </x:c>
      <x:c r="G36" s="170" t="n"/>
      <x:c r="H36" s="170" t="n"/>
      <x:c r="I36" s="170" t="n"/>
      <x:c r="J36" s="170" t="n"/>
      <x:c r="K36" s="170" t="n"/>
      <x:c r="L36" s="170" t="n"/>
      <x:c r="M36" s="170" t="n"/>
      <x:c r="N36" s="170" t="n"/>
      <x:c r="O36" s="170" t="n">
        <x:v>10</x:v>
      </x:c>
      <x:c r="P36" s="59" t="inlineStr">
        <x:is>
          <x:t xml:space="preserve">local_aux</x:t>
        </x:is>
      </x:c>
      <x:c r="Q36" s="59" t="n"/>
    </x:row>
    <x:row r="37">
      <x:c r="A37" s="167" t="n">
        <x:v>46300</x:v>
      </x:c>
      <x:c r="B37" s="59" t="inlineStr">
        <x:is>
          <x:t xml:space="preserve">Chưa chạy</x:t>
        </x:is>
      </x:c>
      <x:c r="C37" s="59" t="n"/>
      <x:c r="D37" s="168" t="n"/>
      <x:c r="E37" s="168" t="n"/>
      <x:c r="F37" s="169" t="str">
        <x:f>IF(AND(D37&lt;&gt;"",E37&lt;&gt;""),(E37-D37)*24,"")</x:f>
      </x:c>
      <x:c r="G37" s="170" t="n"/>
      <x:c r="H37" s="170" t="n"/>
      <x:c r="I37" s="170" t="n"/>
      <x:c r="J37" s="170" t="n"/>
      <x:c r="K37" s="170" t="n"/>
      <x:c r="L37" s="170" t="n"/>
      <x:c r="M37" s="170" t="n"/>
      <x:c r="N37" s="170" t="n"/>
      <x:c r="O37" s="170" t="n">
        <x:v>10</x:v>
      </x:c>
      <x:c r="P37" s="59" t="inlineStr">
        <x:is>
          <x:t xml:space="preserve">local_aux</x:t>
        </x:is>
      </x:c>
      <x:c r="Q37" s="59" t="n"/>
    </x:row>
    <x:row r="38">
      <x:c r="A38" s="167" t="n">
        <x:v>46301</x:v>
      </x:c>
      <x:c r="B38" s="59" t="inlineStr">
        <x:is>
          <x:t xml:space="preserve">Chưa chạy</x:t>
        </x:is>
      </x:c>
      <x:c r="C38" s="59" t="n"/>
      <x:c r="D38" s="168" t="n"/>
      <x:c r="E38" s="168" t="n"/>
      <x:c r="F38" s="169" t="str">
        <x:f>IF(AND(D38&lt;&gt;"",E38&lt;&gt;""),(E38-D38)*24,"")</x:f>
      </x:c>
      <x:c r="G38" s="170" t="n"/>
      <x:c r="H38" s="170" t="n"/>
      <x:c r="I38" s="170" t="n"/>
      <x:c r="J38" s="170" t="n"/>
      <x:c r="K38" s="170" t="n"/>
      <x:c r="L38" s="170" t="n"/>
      <x:c r="M38" s="170" t="n"/>
      <x:c r="N38" s="170" t="n"/>
      <x:c r="O38" s="170" t="n">
        <x:v>10</x:v>
      </x:c>
      <x:c r="P38" s="59" t="inlineStr">
        <x:is>
          <x:t xml:space="preserve">local_aux</x:t>
        </x:is>
      </x:c>
      <x:c r="Q38" s="59" t="n"/>
    </x:row>
    <x:row r="39">
      <x:c r="A39" s="167" t="n">
        <x:v>46302</x:v>
      </x:c>
      <x:c r="B39" s="59" t="inlineStr">
        <x:is>
          <x:t xml:space="preserve">Chưa chạy</x:t>
        </x:is>
      </x:c>
      <x:c r="C39" s="59" t="n"/>
      <x:c r="D39" s="168" t="n"/>
      <x:c r="E39" s="168" t="n"/>
      <x:c r="F39" s="169" t="str">
        <x:f>IF(AND(D39&lt;&gt;"",E39&lt;&gt;""),(E39-D39)*24,"")</x:f>
      </x:c>
      <x:c r="G39" s="170" t="n"/>
      <x:c r="H39" s="170" t="n"/>
      <x:c r="I39" s="170" t="n"/>
      <x:c r="J39" s="170" t="n"/>
      <x:c r="K39" s="170" t="n"/>
      <x:c r="L39" s="170" t="n"/>
      <x:c r="M39" s="170" t="n"/>
      <x:c r="N39" s="170" t="n"/>
      <x:c r="O39" s="170" t="n">
        <x:v>10</x:v>
      </x:c>
      <x:c r="P39" s="59" t="inlineStr">
        <x:is>
          <x:t xml:space="preserve">local_aux</x:t>
        </x:is>
      </x:c>
      <x:c r="Q39" s="59" t="n"/>
    </x:row>
    <x:row r="40">
      <x:c r="A40" s="167" t="n">
        <x:v>46303</x:v>
      </x:c>
      <x:c r="B40" s="59" t="inlineStr">
        <x:is>
          <x:t xml:space="preserve">Chưa chạy</x:t>
        </x:is>
      </x:c>
      <x:c r="C40" s="59" t="n"/>
      <x:c r="D40" s="168" t="n"/>
      <x:c r="E40" s="168" t="n"/>
      <x:c r="F40" s="169" t="str">
        <x:f>IF(AND(D40&lt;&gt;"",E40&lt;&gt;""),(E40-D40)*24,"")</x:f>
      </x:c>
      <x:c r="G40" s="170" t="n"/>
      <x:c r="H40" s="170" t="n"/>
      <x:c r="I40" s="170" t="n"/>
      <x:c r="J40" s="170" t="n"/>
      <x:c r="K40" s="170" t="n"/>
      <x:c r="L40" s="170" t="n"/>
      <x:c r="M40" s="170" t="n"/>
      <x:c r="N40" s="170" t="n"/>
      <x:c r="O40" s="170" t="n">
        <x:v>10</x:v>
      </x:c>
      <x:c r="P40" s="59" t="inlineStr">
        <x:is>
          <x:t xml:space="preserve">local_aux</x:t>
        </x:is>
      </x:c>
      <x:c r="Q40" s="59" t="n"/>
    </x:row>
    <x:row r="41">
      <x:c r="A41" s="167" t="n">
        <x:v>46304</x:v>
      </x:c>
      <x:c r="B41" s="59" t="inlineStr">
        <x:is>
          <x:t xml:space="preserve">Chưa chạy</x:t>
        </x:is>
      </x:c>
      <x:c r="C41" s="59" t="n"/>
      <x:c r="D41" s="168" t="n"/>
      <x:c r="E41" s="168" t="n"/>
      <x:c r="F41" s="169" t="str">
        <x:f>IF(AND(D41&lt;&gt;"",E41&lt;&gt;""),(E41-D41)*24,"")</x:f>
      </x:c>
      <x:c r="G41" s="170" t="n"/>
      <x:c r="H41" s="170" t="n"/>
      <x:c r="I41" s="170" t="n"/>
      <x:c r="J41" s="170" t="n"/>
      <x:c r="K41" s="170" t="n"/>
      <x:c r="L41" s="170" t="n"/>
      <x:c r="M41" s="170" t="n"/>
      <x:c r="N41" s="170" t="n"/>
      <x:c r="O41" s="170" t="n">
        <x:v>10</x:v>
      </x:c>
      <x:c r="P41" s="59" t="inlineStr">
        <x:is>
          <x:t xml:space="preserve">local_aux</x:t>
        </x:is>
      </x:c>
      <x:c r="Q41" s="59" t="n"/>
    </x:row>
    <x:row r="42">
      <x:c r="A42" s="167" t="n">
        <x:v>46305</x:v>
      </x:c>
      <x:c r="B42" s="59" t="inlineStr">
        <x:is>
          <x:t xml:space="preserve">Chưa chạy</x:t>
        </x:is>
      </x:c>
      <x:c r="C42" s="59" t="n"/>
      <x:c r="D42" s="168" t="n"/>
      <x:c r="E42" s="168" t="n"/>
      <x:c r="F42" s="169" t="str">
        <x:f>IF(AND(D42&lt;&gt;"",E42&lt;&gt;""),(E42-D42)*24,"")</x:f>
      </x:c>
      <x:c r="G42" s="170" t="n"/>
      <x:c r="H42" s="170" t="n"/>
      <x:c r="I42" s="170" t="n"/>
      <x:c r="J42" s="170" t="n"/>
      <x:c r="K42" s="170" t="n"/>
      <x:c r="L42" s="170" t="n"/>
      <x:c r="M42" s="170" t="n"/>
      <x:c r="N42" s="170" t="n"/>
      <x:c r="O42" s="170" t="n">
        <x:v>10</x:v>
      </x:c>
      <x:c r="P42" s="59" t="inlineStr">
        <x:is>
          <x:t xml:space="preserve">local_aux</x:t>
        </x:is>
      </x:c>
      <x:c r="Q42" s="59" t="n"/>
    </x:row>
    <x:row r="43">
      <x:c r="A43" s="167" t="n">
        <x:v>46306</x:v>
      </x:c>
      <x:c r="B43" s="59" t="inlineStr">
        <x:is>
          <x:t xml:space="preserve">Chưa chạy</x:t>
        </x:is>
      </x:c>
      <x:c r="C43" s="59" t="n"/>
      <x:c r="D43" s="168" t="n"/>
      <x:c r="E43" s="168" t="n"/>
      <x:c r="F43" s="169" t="str">
        <x:f>IF(AND(D43&lt;&gt;"",E43&lt;&gt;""),(E43-D43)*24,"")</x:f>
      </x:c>
      <x:c r="G43" s="170" t="n"/>
      <x:c r="H43" s="170" t="n"/>
      <x:c r="I43" s="170" t="n"/>
      <x:c r="J43" s="170" t="n"/>
      <x:c r="K43" s="170" t="n"/>
      <x:c r="L43" s="170" t="n"/>
      <x:c r="M43" s="170" t="n"/>
      <x:c r="N43" s="170" t="n"/>
      <x:c r="O43" s="170" t="n">
        <x:v>10</x:v>
      </x:c>
      <x:c r="P43" s="59" t="inlineStr">
        <x:is>
          <x:t xml:space="preserve">local_aux</x:t>
        </x:is>
      </x:c>
      <x:c r="Q43" s="59" t="n"/>
    </x:row>
    <x:row r="44">
      <x:c r="A44" s="167" t="n">
        <x:v>46307</x:v>
      </x:c>
      <x:c r="B44" s="59" t="inlineStr">
        <x:is>
          <x:t xml:space="preserve">Chưa chạy</x:t>
        </x:is>
      </x:c>
      <x:c r="C44" s="59" t="n"/>
      <x:c r="D44" s="168" t="n"/>
      <x:c r="E44" s="168" t="n"/>
      <x:c r="F44" s="169" t="str">
        <x:f>IF(AND(D44&lt;&gt;"",E44&lt;&gt;""),(E44-D44)*24,"")</x:f>
      </x:c>
      <x:c r="G44" s="170" t="n"/>
      <x:c r="H44" s="170" t="n"/>
      <x:c r="I44" s="170" t="n"/>
      <x:c r="J44" s="170" t="n"/>
      <x:c r="K44" s="170" t="n"/>
      <x:c r="L44" s="170" t="n"/>
      <x:c r="M44" s="170" t="n"/>
      <x:c r="N44" s="170" t="n"/>
      <x:c r="O44" s="170" t="n">
        <x:v>10</x:v>
      </x:c>
      <x:c r="P44" s="59" t="inlineStr">
        <x:is>
          <x:t xml:space="preserve">local_aux</x:t>
        </x:is>
      </x:c>
      <x:c r="Q44" s="59" t="n"/>
    </x:row>
    <x:row r="45">
      <x:c r="A45" s="167" t="n">
        <x:v>46308</x:v>
      </x:c>
      <x:c r="B45" s="59" t="inlineStr">
        <x:is>
          <x:t xml:space="preserve">Chưa chạy</x:t>
        </x:is>
      </x:c>
      <x:c r="C45" s="59" t="n"/>
      <x:c r="D45" s="168" t="n"/>
      <x:c r="E45" s="168" t="n"/>
      <x:c r="F45" s="169" t="str">
        <x:f>IF(AND(D45&lt;&gt;"",E45&lt;&gt;""),(E45-D45)*24,"")</x:f>
      </x:c>
      <x:c r="G45" s="170" t="n"/>
      <x:c r="H45" s="170" t="n"/>
      <x:c r="I45" s="170" t="n"/>
      <x:c r="J45" s="170" t="n"/>
      <x:c r="K45" s="170" t="n"/>
      <x:c r="L45" s="170" t="n"/>
      <x:c r="M45" s="170" t="n"/>
      <x:c r="N45" s="170" t="n"/>
      <x:c r="O45" s="170" t="n">
        <x:v>10</x:v>
      </x:c>
      <x:c r="P45" s="59" t="inlineStr">
        <x:is>
          <x:t xml:space="preserve">local_aux</x:t>
        </x:is>
      </x:c>
      <x:c r="Q45" s="59" t="n"/>
    </x:row>
    <x:row r="46">
      <x:c r="A46" s="167" t="n">
        <x:v>46309</x:v>
      </x:c>
      <x:c r="B46" s="59" t="inlineStr">
        <x:is>
          <x:t xml:space="preserve">Chưa chạy</x:t>
        </x:is>
      </x:c>
      <x:c r="C46" s="59" t="n"/>
      <x:c r="D46" s="168" t="n"/>
      <x:c r="E46" s="168" t="n"/>
      <x:c r="F46" s="169" t="str">
        <x:f>IF(AND(D46&lt;&gt;"",E46&lt;&gt;""),(E46-D46)*24,"")</x:f>
      </x:c>
      <x:c r="G46" s="170" t="n"/>
      <x:c r="H46" s="170" t="n"/>
      <x:c r="I46" s="170" t="n"/>
      <x:c r="J46" s="170" t="n"/>
      <x:c r="K46" s="170" t="n"/>
      <x:c r="L46" s="170" t="n"/>
      <x:c r="M46" s="170" t="n"/>
      <x:c r="N46" s="170" t="n"/>
      <x:c r="O46" s="170" t="n">
        <x:v>10</x:v>
      </x:c>
      <x:c r="P46" s="59" t="inlineStr">
        <x:is>
          <x:t xml:space="preserve">local_aux</x:t>
        </x:is>
      </x:c>
      <x:c r="Q46" s="59" t="n"/>
    </x:row>
    <x:row r="47">
      <x:c r="A47" s="167" t="n">
        <x:v>46310</x:v>
      </x:c>
      <x:c r="B47" s="59" t="inlineStr">
        <x:is>
          <x:t xml:space="preserve">Chưa chạy</x:t>
        </x:is>
      </x:c>
      <x:c r="C47" s="59" t="n"/>
      <x:c r="D47" s="168" t="n"/>
      <x:c r="E47" s="168" t="n"/>
      <x:c r="F47" s="169" t="str">
        <x:f>IF(AND(D47&lt;&gt;"",E47&lt;&gt;""),(E47-D47)*24,"")</x:f>
      </x:c>
      <x:c r="G47" s="170" t="n"/>
      <x:c r="H47" s="170" t="n"/>
      <x:c r="I47" s="170" t="n"/>
      <x:c r="J47" s="170" t="n"/>
      <x:c r="K47" s="170" t="n"/>
      <x:c r="L47" s="170" t="n"/>
      <x:c r="M47" s="170" t="n"/>
      <x:c r="N47" s="170" t="n"/>
      <x:c r="O47" s="170" t="n">
        <x:v>10</x:v>
      </x:c>
      <x:c r="P47" s="59" t="inlineStr">
        <x:is>
          <x:t xml:space="preserve">local_aux</x:t>
        </x:is>
      </x:c>
      <x:c r="Q47" s="59" t="n"/>
    </x:row>
    <x:row r="48">
      <x:c r="A48" s="167" t="n">
        <x:v>46311</x:v>
      </x:c>
      <x:c r="B48" s="59" t="inlineStr">
        <x:is>
          <x:t xml:space="preserve">Chưa chạy</x:t>
        </x:is>
      </x:c>
      <x:c r="C48" s="59" t="n"/>
      <x:c r="D48" s="168" t="n"/>
      <x:c r="E48" s="168" t="n"/>
      <x:c r="F48" s="169" t="str">
        <x:f>IF(AND(D48&lt;&gt;"",E48&lt;&gt;""),(E48-D48)*24,"")</x:f>
      </x:c>
      <x:c r="G48" s="170" t="n"/>
      <x:c r="H48" s="170" t="n"/>
      <x:c r="I48" s="170" t="n"/>
      <x:c r="J48" s="170" t="n"/>
      <x:c r="K48" s="170" t="n"/>
      <x:c r="L48" s="170" t="n"/>
      <x:c r="M48" s="170" t="n"/>
      <x:c r="N48" s="170" t="n"/>
      <x:c r="O48" s="170" t="n">
        <x:v>10</x:v>
      </x:c>
      <x:c r="P48" s="59" t="inlineStr">
        <x:is>
          <x:t xml:space="preserve">local_aux</x:t>
        </x:is>
      </x:c>
      <x:c r="Q48" s="59" t="n"/>
    </x:row>
    <x:row r="49">
      <x:c r="A49" s="167" t="n">
        <x:v>46312</x:v>
      </x:c>
      <x:c r="B49" s="59" t="inlineStr">
        <x:is>
          <x:t xml:space="preserve">Chưa chạy</x:t>
        </x:is>
      </x:c>
      <x:c r="C49" s="59" t="n"/>
      <x:c r="D49" s="168" t="n"/>
      <x:c r="E49" s="168" t="n"/>
      <x:c r="F49" s="169" t="str">
        <x:f>IF(AND(D49&lt;&gt;"",E49&lt;&gt;""),(E49-D49)*24,"")</x:f>
      </x:c>
      <x:c r="G49" s="170" t="n"/>
      <x:c r="H49" s="170" t="n"/>
      <x:c r="I49" s="170" t="n"/>
      <x:c r="J49" s="170" t="n"/>
      <x:c r="K49" s="170" t="n"/>
      <x:c r="L49" s="170" t="n"/>
      <x:c r="M49" s="170" t="n"/>
      <x:c r="N49" s="170" t="n"/>
      <x:c r="O49" s="170" t="n">
        <x:v>10</x:v>
      </x:c>
      <x:c r="P49" s="59" t="inlineStr">
        <x:is>
          <x:t xml:space="preserve">local_aux</x:t>
        </x:is>
      </x:c>
      <x:c r="Q49" s="59" t="n"/>
    </x:row>
    <x:row r="50">
      <x:c r="A50" s="167" t="n">
        <x:v>46313</x:v>
      </x:c>
      <x:c r="B50" s="59" t="inlineStr">
        <x:is>
          <x:t xml:space="preserve">Chưa chạy</x:t>
        </x:is>
      </x:c>
      <x:c r="C50" s="59" t="n"/>
      <x:c r="D50" s="168" t="n"/>
      <x:c r="E50" s="168" t="n"/>
      <x:c r="F50" s="169" t="str">
        <x:f>IF(AND(D50&lt;&gt;"",E50&lt;&gt;""),(E50-D50)*24,"")</x:f>
      </x:c>
      <x:c r="G50" s="170" t="n"/>
      <x:c r="H50" s="170" t="n"/>
      <x:c r="I50" s="170" t="n"/>
      <x:c r="J50" s="170" t="n"/>
      <x:c r="K50" s="170" t="n"/>
      <x:c r="L50" s="170" t="n"/>
      <x:c r="M50" s="170" t="n"/>
      <x:c r="N50" s="170" t="n"/>
      <x:c r="O50" s="170" t="n">
        <x:v>10</x:v>
      </x:c>
      <x:c r="P50" s="59" t="inlineStr">
        <x:is>
          <x:t xml:space="preserve">local_aux</x:t>
        </x:is>
      </x:c>
      <x:c r="Q50" s="59" t="n"/>
    </x:row>
    <x:row r="51">
      <x:c r="A51" s="167" t="n">
        <x:v>46314</x:v>
      </x:c>
      <x:c r="B51" s="59" t="inlineStr">
        <x:is>
          <x:t xml:space="preserve">Chưa chạy</x:t>
        </x:is>
      </x:c>
      <x:c r="C51" s="59" t="n"/>
      <x:c r="D51" s="168" t="n"/>
      <x:c r="E51" s="168" t="n"/>
      <x:c r="F51" s="169" t="str">
        <x:f>IF(AND(D51&lt;&gt;"",E51&lt;&gt;""),(E51-D51)*24,"")</x:f>
      </x:c>
      <x:c r="G51" s="170" t="n"/>
      <x:c r="H51" s="170" t="n"/>
      <x:c r="I51" s="170" t="n"/>
      <x:c r="J51" s="170" t="n"/>
      <x:c r="K51" s="170" t="n"/>
      <x:c r="L51" s="170" t="n"/>
      <x:c r="M51" s="170" t="n"/>
      <x:c r="N51" s="170" t="n"/>
      <x:c r="O51" s="170" t="n">
        <x:v>10</x:v>
      </x:c>
      <x:c r="P51" s="59" t="inlineStr">
        <x:is>
          <x:t xml:space="preserve">local_aux</x:t>
        </x:is>
      </x:c>
      <x:c r="Q51" s="59" t="n"/>
    </x:row>
    <x:row r="52">
      <x:c r="A52" s="167" t="n">
        <x:v>46315</x:v>
      </x:c>
      <x:c r="B52" s="59" t="inlineStr">
        <x:is>
          <x:t xml:space="preserve">Chưa chạy</x:t>
        </x:is>
      </x:c>
      <x:c r="C52" s="59" t="n"/>
      <x:c r="D52" s="168" t="n"/>
      <x:c r="E52" s="168" t="n"/>
      <x:c r="F52" s="169" t="str">
        <x:f>IF(AND(D52&lt;&gt;"",E52&lt;&gt;""),(E52-D52)*24,"")</x:f>
      </x:c>
      <x:c r="G52" s="170" t="n"/>
      <x:c r="H52" s="170" t="n"/>
      <x:c r="I52" s="170" t="n"/>
      <x:c r="J52" s="170" t="n"/>
      <x:c r="K52" s="170" t="n"/>
      <x:c r="L52" s="170" t="n"/>
      <x:c r="M52" s="170" t="n"/>
      <x:c r="N52" s="170" t="n"/>
      <x:c r="O52" s="170" t="n">
        <x:v>10</x:v>
      </x:c>
      <x:c r="P52" s="59" t="inlineStr">
        <x:is>
          <x:t xml:space="preserve">local_aux</x:t>
        </x:is>
      </x:c>
      <x:c r="Q52" s="59" t="n"/>
    </x:row>
    <x:row r="53">
      <x:c r="A53" s="167" t="n">
        <x:v>46316</x:v>
      </x:c>
      <x:c r="B53" s="59" t="inlineStr">
        <x:is>
          <x:t xml:space="preserve">Chưa chạy</x:t>
        </x:is>
      </x:c>
      <x:c r="C53" s="59" t="n"/>
      <x:c r="D53" s="168" t="n"/>
      <x:c r="E53" s="168" t="n"/>
      <x:c r="F53" s="169" t="str">
        <x:f>IF(AND(D53&lt;&gt;"",E53&lt;&gt;""),(E53-D53)*24,"")</x:f>
      </x:c>
      <x:c r="G53" s="170" t="n"/>
      <x:c r="H53" s="170" t="n"/>
      <x:c r="I53" s="170" t="n"/>
      <x:c r="J53" s="170" t="n"/>
      <x:c r="K53" s="170" t="n"/>
      <x:c r="L53" s="170" t="n"/>
      <x:c r="M53" s="170" t="n"/>
      <x:c r="N53" s="170" t="n"/>
      <x:c r="O53" s="170" t="n">
        <x:v>10</x:v>
      </x:c>
      <x:c r="P53" s="59" t="inlineStr">
        <x:is>
          <x:t xml:space="preserve">local_aux</x:t>
        </x:is>
      </x:c>
      <x:c r="Q53" s="59" t="n"/>
    </x:row>
    <x:row r="54">
      <x:c r="A54" s="167" t="n">
        <x:v>46317</x:v>
      </x:c>
      <x:c r="B54" s="59" t="inlineStr">
        <x:is>
          <x:t xml:space="preserve">Chưa chạy</x:t>
        </x:is>
      </x:c>
      <x:c r="C54" s="59" t="n"/>
      <x:c r="D54" s="168" t="n"/>
      <x:c r="E54" s="168" t="n"/>
      <x:c r="F54" s="169" t="str">
        <x:f>IF(AND(D54&lt;&gt;"",E54&lt;&gt;""),(E54-D54)*24,"")</x:f>
      </x:c>
      <x:c r="G54" s="170" t="n"/>
      <x:c r="H54" s="170" t="n"/>
      <x:c r="I54" s="170" t="n"/>
      <x:c r="J54" s="170" t="n"/>
      <x:c r="K54" s="170" t="n"/>
      <x:c r="L54" s="170" t="n"/>
      <x:c r="M54" s="170" t="n"/>
      <x:c r="N54" s="170" t="n"/>
      <x:c r="O54" s="170" t="n">
        <x:v>10</x:v>
      </x:c>
      <x:c r="P54" s="59" t="inlineStr">
        <x:is>
          <x:t xml:space="preserve">local_aux</x:t>
        </x:is>
      </x:c>
      <x:c r="Q54" s="59" t="n"/>
    </x:row>
    <x:row r="55">
      <x:c r="A55" s="167" t="n">
        <x:v>46318</x:v>
      </x:c>
      <x:c r="B55" s="59" t="inlineStr">
        <x:is>
          <x:t xml:space="preserve">Chưa chạy</x:t>
        </x:is>
      </x:c>
      <x:c r="C55" s="59" t="n"/>
      <x:c r="D55" s="168" t="n"/>
      <x:c r="E55" s="168" t="n"/>
      <x:c r="F55" s="169" t="str">
        <x:f>IF(AND(D55&lt;&gt;"",E55&lt;&gt;""),(E55-D55)*24,"")</x:f>
      </x:c>
      <x:c r="G55" s="170" t="n"/>
      <x:c r="H55" s="170" t="n"/>
      <x:c r="I55" s="170" t="n"/>
      <x:c r="J55" s="170" t="n"/>
      <x:c r="K55" s="170" t="n"/>
      <x:c r="L55" s="170" t="n"/>
      <x:c r="M55" s="170" t="n"/>
      <x:c r="N55" s="170" t="n"/>
      <x:c r="O55" s="170" t="n">
        <x:v>10</x:v>
      </x:c>
      <x:c r="P55" s="59" t="inlineStr">
        <x:is>
          <x:t xml:space="preserve">local_aux</x:t>
        </x:is>
      </x:c>
      <x:c r="Q55" s="59" t="n"/>
    </x:row>
    <x:row r="56">
      <x:c r="A56" s="167" t="n">
        <x:v>46319</x:v>
      </x:c>
      <x:c r="B56" s="59" t="inlineStr">
        <x:is>
          <x:t xml:space="preserve">Chưa chạy</x:t>
        </x:is>
      </x:c>
      <x:c r="C56" s="59" t="n"/>
      <x:c r="D56" s="168" t="n"/>
      <x:c r="E56" s="168" t="n"/>
      <x:c r="F56" s="169" t="str">
        <x:f>IF(AND(D56&lt;&gt;"",E56&lt;&gt;""),(E56-D56)*24,"")</x:f>
      </x:c>
      <x:c r="G56" s="170" t="n"/>
      <x:c r="H56" s="170" t="n"/>
      <x:c r="I56" s="170" t="n"/>
      <x:c r="J56" s="170" t="n"/>
      <x:c r="K56" s="170" t="n"/>
      <x:c r="L56" s="170" t="n"/>
      <x:c r="M56" s="170" t="n"/>
      <x:c r="N56" s="170" t="n"/>
      <x:c r="O56" s="170" t="n">
        <x:v>10</x:v>
      </x:c>
      <x:c r="P56" s="59" t="inlineStr">
        <x:is>
          <x:t xml:space="preserve">local_aux</x:t>
        </x:is>
      </x:c>
      <x:c r="Q56" s="59" t="n"/>
    </x:row>
    <x:row r="57">
      <x:c r="A57" s="167" t="n">
        <x:v>46320</x:v>
      </x:c>
      <x:c r="B57" s="59" t="inlineStr">
        <x:is>
          <x:t xml:space="preserve">Chưa chạy</x:t>
        </x:is>
      </x:c>
      <x:c r="C57" s="59" t="n"/>
      <x:c r="D57" s="168" t="n"/>
      <x:c r="E57" s="168" t="n"/>
      <x:c r="F57" s="169" t="str">
        <x:f>IF(AND(D57&lt;&gt;"",E57&lt;&gt;""),(E57-D57)*24,"")</x:f>
      </x:c>
      <x:c r="G57" s="170" t="n"/>
      <x:c r="H57" s="170" t="n"/>
      <x:c r="I57" s="170" t="n"/>
      <x:c r="J57" s="170" t="n"/>
      <x:c r="K57" s="170" t="n"/>
      <x:c r="L57" s="170" t="n"/>
      <x:c r="M57" s="170" t="n"/>
      <x:c r="N57" s="170" t="n"/>
      <x:c r="O57" s="170" t="n">
        <x:v>10</x:v>
      </x:c>
      <x:c r="P57" s="59" t="inlineStr">
        <x:is>
          <x:t xml:space="preserve">local_aux</x:t>
        </x:is>
      </x:c>
      <x:c r="Q57" s="59" t="n"/>
    </x:row>
    <x:row r="58">
      <x:c r="A58" s="167" t="n">
        <x:v>46321</x:v>
      </x:c>
      <x:c r="B58" s="59" t="inlineStr">
        <x:is>
          <x:t xml:space="preserve">Chưa chạy</x:t>
        </x:is>
      </x:c>
      <x:c r="C58" s="59" t="n"/>
      <x:c r="D58" s="168" t="n"/>
      <x:c r="E58" s="168" t="n"/>
      <x:c r="F58" s="169" t="str">
        <x:f>IF(AND(D58&lt;&gt;"",E58&lt;&gt;""),(E58-D58)*24,"")</x:f>
      </x:c>
      <x:c r="G58" s="170" t="n"/>
      <x:c r="H58" s="170" t="n"/>
      <x:c r="I58" s="170" t="n"/>
      <x:c r="J58" s="170" t="n"/>
      <x:c r="K58" s="170" t="n"/>
      <x:c r="L58" s="170" t="n"/>
      <x:c r="M58" s="170" t="n"/>
      <x:c r="N58" s="170" t="n"/>
      <x:c r="O58" s="170" t="n">
        <x:v>10</x:v>
      </x:c>
      <x:c r="P58" s="59" t="inlineStr">
        <x:is>
          <x:t xml:space="preserve">local_aux</x:t>
        </x:is>
      </x:c>
      <x:c r="Q58" s="59" t="n"/>
    </x:row>
    <x:row r="59">
      <x:c r="A59" s="167" t="n">
        <x:v>46322</x:v>
      </x:c>
      <x:c r="B59" s="59" t="inlineStr">
        <x:is>
          <x:t xml:space="preserve">Chưa chạy</x:t>
        </x:is>
      </x:c>
      <x:c r="C59" s="59" t="n"/>
      <x:c r="D59" s="168" t="n"/>
      <x:c r="E59" s="168" t="n"/>
      <x:c r="F59" s="169" t="str">
        <x:f>IF(AND(D59&lt;&gt;"",E59&lt;&gt;""),(E59-D59)*24,"")</x:f>
      </x:c>
      <x:c r="G59" s="170" t="n"/>
      <x:c r="H59" s="170" t="n"/>
      <x:c r="I59" s="170" t="n"/>
      <x:c r="J59" s="170" t="n"/>
      <x:c r="K59" s="170" t="n"/>
      <x:c r="L59" s="170" t="n"/>
      <x:c r="M59" s="170" t="n"/>
      <x:c r="N59" s="170" t="n"/>
      <x:c r="O59" s="170" t="n">
        <x:v>10</x:v>
      </x:c>
      <x:c r="P59" s="59" t="inlineStr">
        <x:is>
          <x:t xml:space="preserve">local_aux</x:t>
        </x:is>
      </x:c>
      <x:c r="Q59" s="59" t="n"/>
    </x:row>
    <x:row r="60">
      <x:c r="A60" s="167" t="n">
        <x:v>46323</x:v>
      </x:c>
      <x:c r="B60" s="59" t="inlineStr">
        <x:is>
          <x:t xml:space="preserve">Chưa chạy</x:t>
        </x:is>
      </x:c>
      <x:c r="C60" s="59" t="n"/>
      <x:c r="D60" s="168" t="n"/>
      <x:c r="E60" s="168" t="n"/>
      <x:c r="F60" s="169" t="str">
        <x:f>IF(AND(D60&lt;&gt;"",E60&lt;&gt;""),(E60-D60)*24,"")</x:f>
      </x:c>
      <x:c r="G60" s="170" t="n"/>
      <x:c r="H60" s="170" t="n"/>
      <x:c r="I60" s="170" t="n"/>
      <x:c r="J60" s="170" t="n"/>
      <x:c r="K60" s="170" t="n"/>
      <x:c r="L60" s="170" t="n"/>
      <x:c r="M60" s="170" t="n"/>
      <x:c r="N60" s="170" t="n"/>
      <x:c r="O60" s="170" t="n">
        <x:v>10</x:v>
      </x:c>
      <x:c r="P60" s="59" t="inlineStr">
        <x:is>
          <x:t xml:space="preserve">local_aux</x:t>
        </x:is>
      </x:c>
      <x:c r="Q60" s="59" t="n"/>
    </x:row>
    <x:row r="61">
      <x:c r="A61" s="167" t="n">
        <x:v>46324</x:v>
      </x:c>
      <x:c r="B61" s="59" t="inlineStr">
        <x:is>
          <x:t xml:space="preserve">Chưa chạy</x:t>
        </x:is>
      </x:c>
      <x:c r="C61" s="59" t="n"/>
      <x:c r="D61" s="168" t="n"/>
      <x:c r="E61" s="168" t="n"/>
      <x:c r="F61" s="169" t="str">
        <x:f>IF(AND(D61&lt;&gt;"",E61&lt;&gt;""),(E61-D61)*24,"")</x:f>
      </x:c>
      <x:c r="G61" s="170" t="n"/>
      <x:c r="H61" s="170" t="n"/>
      <x:c r="I61" s="170" t="n"/>
      <x:c r="J61" s="170" t="n"/>
      <x:c r="K61" s="170" t="n"/>
      <x:c r="L61" s="170" t="n"/>
      <x:c r="M61" s="170" t="n"/>
      <x:c r="N61" s="170" t="n"/>
      <x:c r="O61" s="170" t="n">
        <x:v>10</x:v>
      </x:c>
      <x:c r="P61" s="59" t="inlineStr">
        <x:is>
          <x:t xml:space="preserve">local_aux</x:t>
        </x:is>
      </x:c>
      <x:c r="Q61" s="59" t="n"/>
    </x:row>
    <x:row r="62">
      <x:c r="A62" s="167" t="n">
        <x:v>46325</x:v>
      </x:c>
      <x:c r="B62" s="59" t="inlineStr">
        <x:is>
          <x:t xml:space="preserve">Chưa chạy</x:t>
        </x:is>
      </x:c>
      <x:c r="C62" s="59" t="n"/>
      <x:c r="D62" s="168" t="n"/>
      <x:c r="E62" s="168" t="n"/>
      <x:c r="F62" s="169" t="str">
        <x:f>IF(AND(D62&lt;&gt;"",E62&lt;&gt;""),(E62-D62)*24,"")</x:f>
      </x:c>
      <x:c r="G62" s="170" t="n"/>
      <x:c r="H62" s="170" t="n"/>
      <x:c r="I62" s="170" t="n"/>
      <x:c r="J62" s="170" t="n"/>
      <x:c r="K62" s="170" t="n"/>
      <x:c r="L62" s="170" t="n"/>
      <x:c r="M62" s="170" t="n"/>
      <x:c r="N62" s="170" t="n"/>
      <x:c r="O62" s="170" t="n">
        <x:v>10</x:v>
      </x:c>
      <x:c r="P62" s="59" t="inlineStr">
        <x:is>
          <x:t xml:space="preserve">local_aux</x:t>
        </x:is>
      </x:c>
      <x:c r="Q62" s="59" t="n"/>
    </x:row>
    <x:row r="63">
      <x:c r="A63" s="167" t="n">
        <x:v>46326</x:v>
      </x:c>
      <x:c r="B63" s="59" t="inlineStr">
        <x:is>
          <x:t xml:space="preserve">Chưa chạy</x:t>
        </x:is>
      </x:c>
      <x:c r="C63" s="59" t="n"/>
      <x:c r="D63" s="168" t="n"/>
      <x:c r="E63" s="168" t="n"/>
      <x:c r="F63" s="169" t="str">
        <x:f>IF(AND(D63&lt;&gt;"",E63&lt;&gt;""),(E63-D63)*24,"")</x:f>
      </x:c>
      <x:c r="G63" s="170" t="n"/>
      <x:c r="H63" s="170" t="n"/>
      <x:c r="I63" s="170" t="n"/>
      <x:c r="J63" s="170" t="n"/>
      <x:c r="K63" s="170" t="n"/>
      <x:c r="L63" s="170" t="n"/>
      <x:c r="M63" s="170" t="n"/>
      <x:c r="N63" s="170" t="n"/>
      <x:c r="O63" s="170" t="n">
        <x:v>10</x:v>
      </x:c>
      <x:c r="P63" s="59" t="inlineStr">
        <x:is>
          <x:t xml:space="preserve">local_aux</x:t>
        </x:is>
      </x:c>
      <x:c r="Q63" s="59" t="n"/>
    </x:row>
    <x:row r="64">
      <x:c r="A64" s="167" t="n">
        <x:v>46327</x:v>
      </x:c>
      <x:c r="B64" s="59" t="inlineStr">
        <x:is>
          <x:t xml:space="preserve">Chưa chạy</x:t>
        </x:is>
      </x:c>
      <x:c r="C64" s="59" t="n"/>
      <x:c r="D64" s="168" t="n"/>
      <x:c r="E64" s="168" t="n"/>
      <x:c r="F64" s="169" t="str">
        <x:f>IF(AND(D64&lt;&gt;"",E64&lt;&gt;""),(E64-D64)*24,"")</x:f>
      </x:c>
      <x:c r="G64" s="170" t="n"/>
      <x:c r="H64" s="170" t="n"/>
      <x:c r="I64" s="170" t="n"/>
      <x:c r="J64" s="170" t="n"/>
      <x:c r="K64" s="170" t="n"/>
      <x:c r="L64" s="170" t="n"/>
      <x:c r="M64" s="170" t="n"/>
      <x:c r="N64" s="170" t="n"/>
      <x:c r="O64" s="170" t="n">
        <x:v>10</x:v>
      </x:c>
      <x:c r="P64" s="59" t="inlineStr">
        <x:is>
          <x:t xml:space="preserve">local_aux</x:t>
        </x:is>
      </x:c>
      <x:c r="Q64" s="59" t="n"/>
    </x:row>
    <x:row r="65">
      <x:c r="A65" s="167" t="n">
        <x:v>46328</x:v>
      </x:c>
      <x:c r="B65" s="59" t="inlineStr">
        <x:is>
          <x:t xml:space="preserve">Chưa chạy</x:t>
        </x:is>
      </x:c>
      <x:c r="C65" s="59" t="n"/>
      <x:c r="D65" s="168" t="n"/>
      <x:c r="E65" s="168" t="n"/>
      <x:c r="F65" s="169" t="str">
        <x:f>IF(AND(D65&lt;&gt;"",E65&lt;&gt;""),(E65-D65)*24,"")</x:f>
      </x:c>
      <x:c r="G65" s="170" t="n"/>
      <x:c r="H65" s="170" t="n"/>
      <x:c r="I65" s="170" t="n"/>
      <x:c r="J65" s="170" t="n"/>
      <x:c r="K65" s="170" t="n"/>
      <x:c r="L65" s="170" t="n"/>
      <x:c r="M65" s="170" t="n"/>
      <x:c r="N65" s="170" t="n"/>
      <x:c r="O65" s="170" t="n">
        <x:v>10</x:v>
      </x:c>
      <x:c r="P65" s="59" t="inlineStr">
        <x:is>
          <x:t xml:space="preserve">local_aux</x:t>
        </x:is>
      </x:c>
      <x:c r="Q65" s="59" t="n"/>
    </x:row>
    <x:row r="66">
      <x:c r="A66" s="167" t="n">
        <x:v>46329</x:v>
      </x:c>
      <x:c r="B66" s="59" t="inlineStr">
        <x:is>
          <x:t xml:space="preserve">Chưa chạy</x:t>
        </x:is>
      </x:c>
      <x:c r="C66" s="59" t="n"/>
      <x:c r="D66" s="168" t="n"/>
      <x:c r="E66" s="168" t="n"/>
      <x:c r="F66" s="169" t="str">
        <x:f>IF(AND(D66&lt;&gt;"",E66&lt;&gt;""),(E66-D66)*24,"")</x:f>
      </x:c>
      <x:c r="G66" s="170" t="n"/>
      <x:c r="H66" s="170" t="n"/>
      <x:c r="I66" s="170" t="n"/>
      <x:c r="J66" s="170" t="n"/>
      <x:c r="K66" s="170" t="n"/>
      <x:c r="L66" s="170" t="n"/>
      <x:c r="M66" s="170" t="n"/>
      <x:c r="N66" s="170" t="n"/>
      <x:c r="O66" s="170" t="n">
        <x:v>10</x:v>
      </x:c>
      <x:c r="P66" s="59" t="inlineStr">
        <x:is>
          <x:t xml:space="preserve">local_aux</x:t>
        </x:is>
      </x:c>
      <x:c r="Q66" s="59" t="n"/>
    </x:row>
    <x:row r="67">
      <x:c r="A67" s="167" t="n">
        <x:v>46330</x:v>
      </x:c>
      <x:c r="B67" s="59" t="inlineStr">
        <x:is>
          <x:t xml:space="preserve">Chưa chạy</x:t>
        </x:is>
      </x:c>
      <x:c r="C67" s="59" t="n"/>
      <x:c r="D67" s="168" t="n"/>
      <x:c r="E67" s="168" t="n"/>
      <x:c r="F67" s="169" t="str">
        <x:f>IF(AND(D67&lt;&gt;"",E67&lt;&gt;""),(E67-D67)*24,"")</x:f>
      </x:c>
      <x:c r="G67" s="170" t="n"/>
      <x:c r="H67" s="170" t="n"/>
      <x:c r="I67" s="170" t="n"/>
      <x:c r="J67" s="170" t="n"/>
      <x:c r="K67" s="170" t="n"/>
      <x:c r="L67" s="170" t="n"/>
      <x:c r="M67" s="170" t="n"/>
      <x:c r="N67" s="170" t="n"/>
      <x:c r="O67" s="170" t="n">
        <x:v>10</x:v>
      </x:c>
      <x:c r="P67" s="59" t="inlineStr">
        <x:is>
          <x:t xml:space="preserve">local_aux</x:t>
        </x:is>
      </x:c>
      <x:c r="Q67" s="59" t="n"/>
    </x:row>
    <x:row r="68">
      <x:c r="A68" s="167" t="n">
        <x:v>46331</x:v>
      </x:c>
      <x:c r="B68" s="59" t="inlineStr">
        <x:is>
          <x:t xml:space="preserve">Chưa chạy</x:t>
        </x:is>
      </x:c>
      <x:c r="C68" s="59" t="n"/>
      <x:c r="D68" s="168" t="n"/>
      <x:c r="E68" s="168" t="n"/>
      <x:c r="F68" s="169" t="str">
        <x:f>IF(AND(D68&lt;&gt;"",E68&lt;&gt;""),(E68-D68)*24,"")</x:f>
      </x:c>
      <x:c r="G68" s="170" t="n"/>
      <x:c r="H68" s="170" t="n"/>
      <x:c r="I68" s="170" t="n"/>
      <x:c r="J68" s="170" t="n"/>
      <x:c r="K68" s="170" t="n"/>
      <x:c r="L68" s="170" t="n"/>
      <x:c r="M68" s="170" t="n"/>
      <x:c r="N68" s="170" t="n"/>
      <x:c r="O68" s="170" t="n">
        <x:v>10</x:v>
      </x:c>
      <x:c r="P68" s="59" t="inlineStr">
        <x:is>
          <x:t xml:space="preserve">local_aux</x:t>
        </x:is>
      </x:c>
      <x:c r="Q68" s="59" t="n"/>
    </x:row>
    <x:row r="69">
      <x:c r="A69" s="167" t="n">
        <x:v>46332</x:v>
      </x:c>
      <x:c r="B69" s="59" t="inlineStr">
        <x:is>
          <x:t xml:space="preserve">Chưa chạy</x:t>
        </x:is>
      </x:c>
      <x:c r="C69" s="59" t="n"/>
      <x:c r="D69" s="168" t="n"/>
      <x:c r="E69" s="168" t="n"/>
      <x:c r="F69" s="169" t="str">
        <x:f>IF(AND(D69&lt;&gt;"",E69&lt;&gt;""),(E69-D69)*24,"")</x:f>
      </x:c>
      <x:c r="G69" s="170" t="n"/>
      <x:c r="H69" s="170" t="n"/>
      <x:c r="I69" s="170" t="n"/>
      <x:c r="J69" s="170" t="n"/>
      <x:c r="K69" s="170" t="n"/>
      <x:c r="L69" s="170" t="n"/>
      <x:c r="M69" s="170" t="n"/>
      <x:c r="N69" s="170" t="n"/>
      <x:c r="O69" s="170" t="n">
        <x:v>10</x:v>
      </x:c>
      <x:c r="P69" s="59" t="inlineStr">
        <x:is>
          <x:t xml:space="preserve">local_aux</x:t>
        </x:is>
      </x:c>
      <x:c r="Q69" s="59" t="n"/>
    </x:row>
    <x:row r="70">
      <x:c r="A70" s="167" t="n">
        <x:v>46333</x:v>
      </x:c>
      <x:c r="B70" s="59" t="inlineStr">
        <x:is>
          <x:t xml:space="preserve">Chưa chạy</x:t>
        </x:is>
      </x:c>
      <x:c r="C70" s="59" t="n"/>
      <x:c r="D70" s="168" t="n"/>
      <x:c r="E70" s="168" t="n"/>
      <x:c r="F70" s="169" t="str">
        <x:f>IF(AND(D70&lt;&gt;"",E70&lt;&gt;""),(E70-D70)*24,"")</x:f>
      </x:c>
      <x:c r="G70" s="170" t="n"/>
      <x:c r="H70" s="170" t="n"/>
      <x:c r="I70" s="170" t="n"/>
      <x:c r="J70" s="170" t="n"/>
      <x:c r="K70" s="170" t="n"/>
      <x:c r="L70" s="170" t="n"/>
      <x:c r="M70" s="170" t="n"/>
      <x:c r="N70" s="170" t="n"/>
      <x:c r="O70" s="170" t="n">
        <x:v>10</x:v>
      </x:c>
      <x:c r="P70" s="59" t="inlineStr">
        <x:is>
          <x:t xml:space="preserve">local_aux</x:t>
        </x:is>
      </x:c>
      <x:c r="Q70" s="59" t="n"/>
    </x:row>
    <x:row r="71">
      <x:c r="A71" s="167" t="n">
        <x:v>46334</x:v>
      </x:c>
      <x:c r="B71" s="59" t="inlineStr">
        <x:is>
          <x:t xml:space="preserve">Chưa chạy</x:t>
        </x:is>
      </x:c>
      <x:c r="C71" s="59" t="n"/>
      <x:c r="D71" s="168" t="n"/>
      <x:c r="E71" s="168" t="n"/>
      <x:c r="F71" s="169" t="str">
        <x:f>IF(AND(D71&lt;&gt;"",E71&lt;&gt;""),(E71-D71)*24,"")</x:f>
      </x:c>
      <x:c r="G71" s="170" t="n"/>
      <x:c r="H71" s="170" t="n"/>
      <x:c r="I71" s="170" t="n"/>
      <x:c r="J71" s="170" t="n"/>
      <x:c r="K71" s="170" t="n"/>
      <x:c r="L71" s="170" t="n"/>
      <x:c r="M71" s="170" t="n"/>
      <x:c r="N71" s="170" t="n"/>
      <x:c r="O71" s="170" t="n">
        <x:v>10</x:v>
      </x:c>
      <x:c r="P71" s="59" t="inlineStr">
        <x:is>
          <x:t xml:space="preserve">local_aux</x:t>
        </x:is>
      </x:c>
      <x:c r="Q71" s="59" t="n"/>
    </x:row>
    <x:row r="72">
      <x:c r="A72" s="167" t="n">
        <x:v>46335</x:v>
      </x:c>
      <x:c r="B72" s="59" t="inlineStr">
        <x:is>
          <x:t xml:space="preserve">Chưa chạy</x:t>
        </x:is>
      </x:c>
      <x:c r="C72" s="59" t="n"/>
      <x:c r="D72" s="168" t="n"/>
      <x:c r="E72" s="168" t="n"/>
      <x:c r="F72" s="169" t="str">
        <x:f>IF(AND(D72&lt;&gt;"",E72&lt;&gt;""),(E72-D72)*24,"")</x:f>
      </x:c>
      <x:c r="G72" s="170" t="n"/>
      <x:c r="H72" s="170" t="n"/>
      <x:c r="I72" s="170" t="n"/>
      <x:c r="J72" s="170" t="n"/>
      <x:c r="K72" s="170" t="n"/>
      <x:c r="L72" s="170" t="n"/>
      <x:c r="M72" s="170" t="n"/>
      <x:c r="N72" s="170" t="n"/>
      <x:c r="O72" s="170" t="n">
        <x:v>10</x:v>
      </x:c>
      <x:c r="P72" s="59" t="inlineStr">
        <x:is>
          <x:t xml:space="preserve">local_aux</x:t>
        </x:is>
      </x:c>
      <x:c r="Q72" s="59" t="n"/>
    </x:row>
    <x:row r="73">
      <x:c r="A73" s="167" t="n">
        <x:v>46336</x:v>
      </x:c>
      <x:c r="B73" s="59" t="inlineStr">
        <x:is>
          <x:t xml:space="preserve">Chưa chạy</x:t>
        </x:is>
      </x:c>
      <x:c r="C73" s="59" t="n"/>
      <x:c r="D73" s="168" t="n"/>
      <x:c r="E73" s="168" t="n"/>
      <x:c r="F73" s="169" t="str">
        <x:f>IF(AND(D73&lt;&gt;"",E73&lt;&gt;""),(E73-D73)*24,"")</x:f>
      </x:c>
      <x:c r="G73" s="170" t="n"/>
      <x:c r="H73" s="170" t="n"/>
      <x:c r="I73" s="170" t="n"/>
      <x:c r="J73" s="170" t="n"/>
      <x:c r="K73" s="170" t="n"/>
      <x:c r="L73" s="170" t="n"/>
      <x:c r="M73" s="170" t="n"/>
      <x:c r="N73" s="170" t="n"/>
      <x:c r="O73" s="170" t="n">
        <x:v>10</x:v>
      </x:c>
      <x:c r="P73" s="59" t="inlineStr">
        <x:is>
          <x:t xml:space="preserve">local_aux</x:t>
        </x:is>
      </x:c>
      <x:c r="Q73" s="59" t="n"/>
    </x:row>
    <x:row r="74">
      <x:c r="A74" s="167" t="n">
        <x:v>46337</x:v>
      </x:c>
      <x:c r="B74" s="59" t="inlineStr">
        <x:is>
          <x:t xml:space="preserve">Chưa chạy</x:t>
        </x:is>
      </x:c>
      <x:c r="C74" s="59" t="n"/>
      <x:c r="D74" s="168" t="n"/>
      <x:c r="E74" s="168" t="n"/>
      <x:c r="F74" s="169" t="str">
        <x:f>IF(AND(D74&lt;&gt;"",E74&lt;&gt;""),(E74-D74)*24,"")</x:f>
      </x:c>
      <x:c r="G74" s="170" t="n"/>
      <x:c r="H74" s="170" t="n"/>
      <x:c r="I74" s="170" t="n"/>
      <x:c r="J74" s="170" t="n"/>
      <x:c r="K74" s="170" t="n"/>
      <x:c r="L74" s="170" t="n"/>
      <x:c r="M74" s="170" t="n"/>
      <x:c r="N74" s="170" t="n"/>
      <x:c r="O74" s="170" t="n">
        <x:v>10</x:v>
      </x:c>
      <x:c r="P74" s="59" t="inlineStr">
        <x:is>
          <x:t xml:space="preserve">local_aux</x:t>
        </x:is>
      </x:c>
      <x:c r="Q74" s="59" t="n"/>
    </x:row>
    <x:row r="75">
      <x:c r="A75" s="167" t="n">
        <x:v>46338</x:v>
      </x:c>
      <x:c r="B75" s="59" t="inlineStr">
        <x:is>
          <x:t xml:space="preserve">Chưa chạy</x:t>
        </x:is>
      </x:c>
      <x:c r="C75" s="59" t="n"/>
      <x:c r="D75" s="168" t="n"/>
      <x:c r="E75" s="168" t="n"/>
      <x:c r="F75" s="169" t="str">
        <x:f>IF(AND(D75&lt;&gt;"",E75&lt;&gt;""),(E75-D75)*24,"")</x:f>
      </x:c>
      <x:c r="G75" s="170" t="n"/>
      <x:c r="H75" s="170" t="n"/>
      <x:c r="I75" s="170" t="n"/>
      <x:c r="J75" s="170" t="n"/>
      <x:c r="K75" s="170" t="n"/>
      <x:c r="L75" s="170" t="n"/>
      <x:c r="M75" s="170" t="n"/>
      <x:c r="N75" s="170" t="n"/>
      <x:c r="O75" s="170" t="n">
        <x:v>10</x:v>
      </x:c>
      <x:c r="P75" s="59" t="inlineStr">
        <x:is>
          <x:t xml:space="preserve">local_aux</x:t>
        </x:is>
      </x:c>
      <x:c r="Q75" s="59" t="n"/>
    </x:row>
    <x:row r="76">
      <x:c r="A76" s="167" t="n">
        <x:v>46339</x:v>
      </x:c>
      <x:c r="B76" s="59" t="inlineStr">
        <x:is>
          <x:t xml:space="preserve">Chưa chạy</x:t>
        </x:is>
      </x:c>
      <x:c r="C76" s="59" t="n"/>
      <x:c r="D76" s="168" t="n"/>
      <x:c r="E76" s="168" t="n"/>
      <x:c r="F76" s="169" t="str">
        <x:f>IF(AND(D76&lt;&gt;"",E76&lt;&gt;""),(E76-D76)*24,"")</x:f>
      </x:c>
      <x:c r="G76" s="170" t="n"/>
      <x:c r="H76" s="170" t="n"/>
      <x:c r="I76" s="170" t="n"/>
      <x:c r="J76" s="170" t="n"/>
      <x:c r="K76" s="170" t="n"/>
      <x:c r="L76" s="170" t="n"/>
      <x:c r="M76" s="170" t="n"/>
      <x:c r="N76" s="170" t="n"/>
      <x:c r="O76" s="170" t="n">
        <x:v>10</x:v>
      </x:c>
      <x:c r="P76" s="59" t="inlineStr">
        <x:is>
          <x:t xml:space="preserve">local_aux</x:t>
        </x:is>
      </x:c>
      <x:c r="Q76" s="59" t="n"/>
    </x:row>
    <x:row r="77">
      <x:c r="A77" s="167" t="n">
        <x:v>46340</x:v>
      </x:c>
      <x:c r="B77" s="59" t="inlineStr">
        <x:is>
          <x:t xml:space="preserve">Chưa chạy</x:t>
        </x:is>
      </x:c>
      <x:c r="C77" s="59" t="n"/>
      <x:c r="D77" s="168" t="n"/>
      <x:c r="E77" s="168" t="n"/>
      <x:c r="F77" s="169" t="str">
        <x:f>IF(AND(D77&lt;&gt;"",E77&lt;&gt;""),(E77-D77)*24,"")</x:f>
      </x:c>
      <x:c r="G77" s="170" t="n"/>
      <x:c r="H77" s="170" t="n"/>
      <x:c r="I77" s="170" t="n"/>
      <x:c r="J77" s="170" t="n"/>
      <x:c r="K77" s="170" t="n"/>
      <x:c r="L77" s="170" t="n"/>
      <x:c r="M77" s="170" t="n"/>
      <x:c r="N77" s="170" t="n"/>
      <x:c r="O77" s="170" t="n">
        <x:v>10</x:v>
      </x:c>
      <x:c r="P77" s="59" t="inlineStr">
        <x:is>
          <x:t xml:space="preserve">local_aux</x:t>
        </x:is>
      </x:c>
      <x:c r="Q77" s="59" t="n"/>
    </x:row>
    <x:row r="78">
      <x:c r="A78" s="167" t="n">
        <x:v>46341</x:v>
      </x:c>
      <x:c r="B78" s="59" t="inlineStr">
        <x:is>
          <x:t xml:space="preserve">Chưa chạy</x:t>
        </x:is>
      </x:c>
      <x:c r="C78" s="59" t="n"/>
      <x:c r="D78" s="168" t="n"/>
      <x:c r="E78" s="168" t="n"/>
      <x:c r="F78" s="169" t="str">
        <x:f>IF(AND(D78&lt;&gt;"",E78&lt;&gt;""),(E78-D78)*24,"")</x:f>
      </x:c>
      <x:c r="G78" s="170" t="n"/>
      <x:c r="H78" s="170" t="n"/>
      <x:c r="I78" s="170" t="n"/>
      <x:c r="J78" s="170" t="n"/>
      <x:c r="K78" s="170" t="n"/>
      <x:c r="L78" s="170" t="n"/>
      <x:c r="M78" s="170" t="n"/>
      <x:c r="N78" s="170" t="n"/>
      <x:c r="O78" s="170" t="n">
        <x:v>10</x:v>
      </x:c>
      <x:c r="P78" s="59" t="inlineStr">
        <x:is>
          <x:t xml:space="preserve">local_aux</x:t>
        </x:is>
      </x:c>
      <x:c r="Q78" s="59" t="n"/>
    </x:row>
    <x:row r="79">
      <x:c r="A79" s="167" t="n">
        <x:v>46342</x:v>
      </x:c>
      <x:c r="B79" s="59" t="inlineStr">
        <x:is>
          <x:t xml:space="preserve">Chưa chạy</x:t>
        </x:is>
      </x:c>
      <x:c r="C79" s="59" t="n"/>
      <x:c r="D79" s="168" t="n"/>
      <x:c r="E79" s="168" t="n"/>
      <x:c r="F79" s="169" t="str">
        <x:f>IF(AND(D79&lt;&gt;"",E79&lt;&gt;""),(E79-D79)*24,"")</x:f>
      </x:c>
      <x:c r="G79" s="170" t="n"/>
      <x:c r="H79" s="170" t="n"/>
      <x:c r="I79" s="170" t="n"/>
      <x:c r="J79" s="170" t="n"/>
      <x:c r="K79" s="170" t="n"/>
      <x:c r="L79" s="170" t="n"/>
      <x:c r="M79" s="170" t="n"/>
      <x:c r="N79" s="170" t="n"/>
      <x:c r="O79" s="170" t="n">
        <x:v>10</x:v>
      </x:c>
      <x:c r="P79" s="59" t="inlineStr">
        <x:is>
          <x:t xml:space="preserve">local_aux</x:t>
        </x:is>
      </x:c>
      <x:c r="Q79" s="59" t="n"/>
    </x:row>
    <x:row r="80">
      <x:c r="A80" s="167" t="n">
        <x:v>46343</x:v>
      </x:c>
      <x:c r="B80" s="59" t="inlineStr">
        <x:is>
          <x:t xml:space="preserve">Chưa chạy</x:t>
        </x:is>
      </x:c>
      <x:c r="C80" s="59" t="n"/>
      <x:c r="D80" s="168" t="n"/>
      <x:c r="E80" s="168" t="n"/>
      <x:c r="F80" s="169" t="str">
        <x:f>IF(AND(D80&lt;&gt;"",E80&lt;&gt;""),(E80-D80)*24,"")</x:f>
      </x:c>
      <x:c r="G80" s="170" t="n"/>
      <x:c r="H80" s="170" t="n"/>
      <x:c r="I80" s="170" t="n"/>
      <x:c r="J80" s="170" t="n"/>
      <x:c r="K80" s="170" t="n"/>
      <x:c r="L80" s="170" t="n"/>
      <x:c r="M80" s="170" t="n"/>
      <x:c r="N80" s="170" t="n"/>
      <x:c r="O80" s="170" t="n">
        <x:v>10</x:v>
      </x:c>
      <x:c r="P80" s="59" t="inlineStr">
        <x:is>
          <x:t xml:space="preserve">local_aux</x:t>
        </x:is>
      </x:c>
      <x:c r="Q80" s="59" t="n"/>
    </x:row>
    <x:row r="81">
      <x:c r="A81" s="167" t="n">
        <x:v>46344</x:v>
      </x:c>
      <x:c r="B81" s="59" t="inlineStr">
        <x:is>
          <x:t xml:space="preserve">Chưa chạy</x:t>
        </x:is>
      </x:c>
      <x:c r="C81" s="59" t="n"/>
      <x:c r="D81" s="168" t="n"/>
      <x:c r="E81" s="168" t="n"/>
      <x:c r="F81" s="169" t="str">
        <x:f>IF(AND(D81&lt;&gt;"",E81&lt;&gt;""),(E81-D81)*24,"")</x:f>
      </x:c>
      <x:c r="G81" s="170" t="n"/>
      <x:c r="H81" s="170" t="n"/>
      <x:c r="I81" s="170" t="n"/>
      <x:c r="J81" s="170" t="n"/>
      <x:c r="K81" s="170" t="n"/>
      <x:c r="L81" s="170" t="n"/>
      <x:c r="M81" s="170" t="n"/>
      <x:c r="N81" s="170" t="n"/>
      <x:c r="O81" s="170" t="n">
        <x:v>10</x:v>
      </x:c>
      <x:c r="P81" s="59" t="inlineStr">
        <x:is>
          <x:t xml:space="preserve">local_aux</x:t>
        </x:is>
      </x:c>
      <x:c r="Q81" s="59" t="n"/>
    </x:row>
    <x:row r="82">
      <x:c r="A82" s="167" t="n">
        <x:v>46345</x:v>
      </x:c>
      <x:c r="B82" s="59" t="inlineStr">
        <x:is>
          <x:t xml:space="preserve">Chưa chạy</x:t>
        </x:is>
      </x:c>
      <x:c r="C82" s="59" t="n"/>
      <x:c r="D82" s="168" t="n"/>
      <x:c r="E82" s="168" t="n"/>
      <x:c r="F82" s="169" t="str">
        <x:f>IF(AND(D82&lt;&gt;"",E82&lt;&gt;""),(E82-D82)*24,"")</x:f>
      </x:c>
      <x:c r="G82" s="170" t="n"/>
      <x:c r="H82" s="170" t="n"/>
      <x:c r="I82" s="170" t="n"/>
      <x:c r="J82" s="170" t="n"/>
      <x:c r="K82" s="170" t="n"/>
      <x:c r="L82" s="170" t="n"/>
      <x:c r="M82" s="170" t="n"/>
      <x:c r="N82" s="170" t="n"/>
      <x:c r="O82" s="170" t="n">
        <x:v>10</x:v>
      </x:c>
      <x:c r="P82" s="59" t="inlineStr">
        <x:is>
          <x:t xml:space="preserve">local_aux</x:t>
        </x:is>
      </x:c>
      <x:c r="Q82" s="59" t="n"/>
    </x:row>
    <x:row r="83">
      <x:c r="A83" s="167" t="n">
        <x:v>46346</x:v>
      </x:c>
      <x:c r="B83" s="59" t="inlineStr">
        <x:is>
          <x:t xml:space="preserve">Chưa chạy</x:t>
        </x:is>
      </x:c>
      <x:c r="C83" s="59" t="n"/>
      <x:c r="D83" s="168" t="n"/>
      <x:c r="E83" s="168" t="n"/>
      <x:c r="F83" s="169" t="str">
        <x:f>IF(AND(D83&lt;&gt;"",E83&lt;&gt;""),(E83-D83)*24,"")</x:f>
      </x:c>
      <x:c r="G83" s="170" t="n"/>
      <x:c r="H83" s="170" t="n"/>
      <x:c r="I83" s="170" t="n"/>
      <x:c r="J83" s="170" t="n"/>
      <x:c r="K83" s="170" t="n"/>
      <x:c r="L83" s="170" t="n"/>
      <x:c r="M83" s="170" t="n"/>
      <x:c r="N83" s="170" t="n"/>
      <x:c r="O83" s="170" t="n">
        <x:v>10</x:v>
      </x:c>
      <x:c r="P83" s="59" t="inlineStr">
        <x:is>
          <x:t xml:space="preserve">local_aux</x:t>
        </x:is>
      </x:c>
      <x:c r="Q83" s="59" t="n"/>
    </x:row>
    <x:row r="84">
      <x:c r="A84" s="167" t="n">
        <x:v>46347</x:v>
      </x:c>
      <x:c r="B84" s="59" t="inlineStr">
        <x:is>
          <x:t xml:space="preserve">Chưa chạy</x:t>
        </x:is>
      </x:c>
      <x:c r="C84" s="59" t="n"/>
      <x:c r="D84" s="168" t="n"/>
      <x:c r="E84" s="168" t="n"/>
      <x:c r="F84" s="169" t="str">
        <x:f>IF(AND(D84&lt;&gt;"",E84&lt;&gt;""),(E84-D84)*24,"")</x:f>
      </x:c>
      <x:c r="G84" s="170" t="n"/>
      <x:c r="H84" s="170" t="n"/>
      <x:c r="I84" s="170" t="n"/>
      <x:c r="J84" s="170" t="n"/>
      <x:c r="K84" s="170" t="n"/>
      <x:c r="L84" s="170" t="n"/>
      <x:c r="M84" s="170" t="n"/>
      <x:c r="N84" s="170" t="n"/>
      <x:c r="O84" s="170" t="n">
        <x:v>10</x:v>
      </x:c>
      <x:c r="P84" s="59" t="inlineStr">
        <x:is>
          <x:t xml:space="preserve">local_aux</x:t>
        </x:is>
      </x:c>
      <x:c r="Q84" s="59" t="n"/>
    </x:row>
    <x:row r="85">
      <x:c r="A85" s="167" t="n">
        <x:v>46348</x:v>
      </x:c>
      <x:c r="B85" s="59" t="inlineStr">
        <x:is>
          <x:t xml:space="preserve">Chưa chạy</x:t>
        </x:is>
      </x:c>
      <x:c r="C85" s="59" t="n"/>
      <x:c r="D85" s="168" t="n"/>
      <x:c r="E85" s="168" t="n"/>
      <x:c r="F85" s="169" t="str">
        <x:f>IF(AND(D85&lt;&gt;"",E85&lt;&gt;""),(E85-D85)*24,"")</x:f>
      </x:c>
      <x:c r="G85" s="170" t="n"/>
      <x:c r="H85" s="170" t="n"/>
      <x:c r="I85" s="170" t="n"/>
      <x:c r="J85" s="170" t="n"/>
      <x:c r="K85" s="170" t="n"/>
      <x:c r="L85" s="170" t="n"/>
      <x:c r="M85" s="170" t="n"/>
      <x:c r="N85" s="170" t="n"/>
      <x:c r="O85" s="170" t="n">
        <x:v>10</x:v>
      </x:c>
      <x:c r="P85" s="59" t="inlineStr">
        <x:is>
          <x:t xml:space="preserve">local_aux</x:t>
        </x:is>
      </x:c>
      <x:c r="Q85" s="59" t="n"/>
    </x:row>
    <x:row r="86">
      <x:c r="A86" s="167" t="n">
        <x:v>46349</x:v>
      </x:c>
      <x:c r="B86" s="59" t="inlineStr">
        <x:is>
          <x:t xml:space="preserve">Chưa chạy</x:t>
        </x:is>
      </x:c>
      <x:c r="C86" s="59" t="n"/>
      <x:c r="D86" s="168" t="n"/>
      <x:c r="E86" s="168" t="n"/>
      <x:c r="F86" s="169" t="str">
        <x:f>IF(AND(D86&lt;&gt;"",E86&lt;&gt;""),(E86-D86)*24,"")</x:f>
      </x:c>
      <x:c r="G86" s="170" t="n"/>
      <x:c r="H86" s="170" t="n"/>
      <x:c r="I86" s="170" t="n"/>
      <x:c r="J86" s="170" t="n"/>
      <x:c r="K86" s="170" t="n"/>
      <x:c r="L86" s="170" t="n"/>
      <x:c r="M86" s="170" t="n"/>
      <x:c r="N86" s="170" t="n"/>
      <x:c r="O86" s="170" t="n">
        <x:v>10</x:v>
      </x:c>
      <x:c r="P86" s="59" t="inlineStr">
        <x:is>
          <x:t xml:space="preserve">local_aux</x:t>
        </x:is>
      </x:c>
      <x:c r="Q86" s="59" t="n"/>
    </x:row>
    <x:row r="87">
      <x:c r="A87" s="167" t="n">
        <x:v>46350</x:v>
      </x:c>
      <x:c r="B87" s="59" t="inlineStr">
        <x:is>
          <x:t xml:space="preserve">Chưa chạy</x:t>
        </x:is>
      </x:c>
      <x:c r="C87" s="59" t="n"/>
      <x:c r="D87" s="168" t="n"/>
      <x:c r="E87" s="168" t="n"/>
      <x:c r="F87" s="169" t="str">
        <x:f>IF(AND(D87&lt;&gt;"",E87&lt;&gt;""),(E87-D87)*24,"")</x:f>
      </x:c>
      <x:c r="G87" s="170" t="n"/>
      <x:c r="H87" s="170" t="n"/>
      <x:c r="I87" s="170" t="n"/>
      <x:c r="J87" s="170" t="n"/>
      <x:c r="K87" s="170" t="n"/>
      <x:c r="L87" s="170" t="n"/>
      <x:c r="M87" s="170" t="n"/>
      <x:c r="N87" s="170" t="n"/>
      <x:c r="O87" s="170" t="n">
        <x:v>10</x:v>
      </x:c>
      <x:c r="P87" s="59" t="inlineStr">
        <x:is>
          <x:t xml:space="preserve">local_aux</x:t>
        </x:is>
      </x:c>
      <x:c r="Q87" s="59" t="n"/>
    </x:row>
    <x:row r="88">
      <x:c r="A88" s="167" t="n">
        <x:v>46351</x:v>
      </x:c>
      <x:c r="B88" s="59" t="inlineStr">
        <x:is>
          <x:t xml:space="preserve">Chưa chạy</x:t>
        </x:is>
      </x:c>
      <x:c r="C88" s="59" t="n"/>
      <x:c r="D88" s="168" t="n"/>
      <x:c r="E88" s="168" t="n"/>
      <x:c r="F88" s="169" t="str">
        <x:f>IF(AND(D88&lt;&gt;"",E88&lt;&gt;""),(E88-D88)*24,"")</x:f>
      </x:c>
      <x:c r="G88" s="170" t="n"/>
      <x:c r="H88" s="170" t="n"/>
      <x:c r="I88" s="170" t="n"/>
      <x:c r="J88" s="170" t="n"/>
      <x:c r="K88" s="170" t="n"/>
      <x:c r="L88" s="170" t="n"/>
      <x:c r="M88" s="170" t="n"/>
      <x:c r="N88" s="170" t="n"/>
      <x:c r="O88" s="170" t="n">
        <x:v>10</x:v>
      </x:c>
      <x:c r="P88" s="59" t="inlineStr">
        <x:is>
          <x:t xml:space="preserve">local_aux</x:t>
        </x:is>
      </x:c>
      <x:c r="Q88" s="59" t="n"/>
    </x:row>
    <x:row r="89">
      <x:c r="A89" s="167" t="n">
        <x:v>46352</x:v>
      </x:c>
      <x:c r="B89" s="59" t="inlineStr">
        <x:is>
          <x:t xml:space="preserve">Chưa chạy</x:t>
        </x:is>
      </x:c>
      <x:c r="C89" s="59" t="n"/>
      <x:c r="D89" s="168" t="n"/>
      <x:c r="E89" s="168" t="n"/>
      <x:c r="F89" s="169" t="str">
        <x:f>IF(AND(D89&lt;&gt;"",E89&lt;&gt;""),(E89-D89)*24,"")</x:f>
      </x:c>
      <x:c r="G89" s="170" t="n"/>
      <x:c r="H89" s="170" t="n"/>
      <x:c r="I89" s="170" t="n"/>
      <x:c r="J89" s="170" t="n"/>
      <x:c r="K89" s="170" t="n"/>
      <x:c r="L89" s="170" t="n"/>
      <x:c r="M89" s="170" t="n"/>
      <x:c r="N89" s="170" t="n"/>
      <x:c r="O89" s="170" t="n">
        <x:v>10</x:v>
      </x:c>
      <x:c r="P89" s="59" t="inlineStr">
        <x:is>
          <x:t xml:space="preserve">local_aux</x:t>
        </x:is>
      </x:c>
      <x:c r="Q89" s="59" t="n"/>
    </x:row>
    <x:row r="90">
      <x:c r="A90" s="167" t="n">
        <x:v>46353</x:v>
      </x:c>
      <x:c r="B90" s="59" t="inlineStr">
        <x:is>
          <x:t xml:space="preserve">Chưa chạy</x:t>
        </x:is>
      </x:c>
      <x:c r="C90" s="59" t="n"/>
      <x:c r="D90" s="168" t="n"/>
      <x:c r="E90" s="168" t="n"/>
      <x:c r="F90" s="169" t="str">
        <x:f>IF(AND(D90&lt;&gt;"",E90&lt;&gt;""),(E90-D90)*24,"")</x:f>
      </x:c>
      <x:c r="G90" s="170" t="n"/>
      <x:c r="H90" s="170" t="n"/>
      <x:c r="I90" s="170" t="n"/>
      <x:c r="J90" s="170" t="n"/>
      <x:c r="K90" s="170" t="n"/>
      <x:c r="L90" s="170" t="n"/>
      <x:c r="M90" s="170" t="n"/>
      <x:c r="N90" s="170" t="n"/>
      <x:c r="O90" s="170" t="n">
        <x:v>10</x:v>
      </x:c>
      <x:c r="P90" s="59" t="inlineStr">
        <x:is>
          <x:t xml:space="preserve">local_aux</x:t>
        </x:is>
      </x:c>
      <x:c r="Q90" s="59" t="n"/>
    </x:row>
    <x:row r="91">
      <x:c r="A91" s="167" t="n">
        <x:v>46354</x:v>
      </x:c>
      <x:c r="B91" s="59" t="inlineStr">
        <x:is>
          <x:t xml:space="preserve">Chưa chạy</x:t>
        </x:is>
      </x:c>
      <x:c r="C91" s="59" t="n"/>
      <x:c r="D91" s="168" t="n"/>
      <x:c r="E91" s="168" t="n"/>
      <x:c r="F91" s="169" t="str">
        <x:f>IF(AND(D91&lt;&gt;"",E91&lt;&gt;""),(E91-D91)*24,"")</x:f>
      </x:c>
      <x:c r="G91" s="170" t="n"/>
      <x:c r="H91" s="170" t="n"/>
      <x:c r="I91" s="170" t="n"/>
      <x:c r="J91" s="170" t="n"/>
      <x:c r="K91" s="170" t="n"/>
      <x:c r="L91" s="170" t="n"/>
      <x:c r="M91" s="170" t="n"/>
      <x:c r="N91" s="170" t="n"/>
      <x:c r="O91" s="170" t="n">
        <x:v>10</x:v>
      </x:c>
      <x:c r="P91" s="59" t="inlineStr">
        <x:is>
          <x:t xml:space="preserve">local_aux</x:t>
        </x:is>
      </x:c>
      <x:c r="Q91" s="59" t="n"/>
    </x:row>
    <x:row r="92">
      <x:c r="A92" s="167" t="n">
        <x:v>46355</x:v>
      </x:c>
      <x:c r="B92" s="59" t="inlineStr">
        <x:is>
          <x:t xml:space="preserve">Chưa chạy</x:t>
        </x:is>
      </x:c>
      <x:c r="C92" s="59" t="n"/>
      <x:c r="D92" s="168" t="n"/>
      <x:c r="E92" s="168" t="n"/>
      <x:c r="F92" s="169" t="str">
        <x:f>IF(AND(D92&lt;&gt;"",E92&lt;&gt;""),(E92-D92)*24,"")</x:f>
      </x:c>
      <x:c r="G92" s="170" t="n"/>
      <x:c r="H92" s="170" t="n"/>
      <x:c r="I92" s="170" t="n"/>
      <x:c r="J92" s="170" t="n"/>
      <x:c r="K92" s="170" t="n"/>
      <x:c r="L92" s="170" t="n"/>
      <x:c r="M92" s="170" t="n"/>
      <x:c r="N92" s="170" t="n"/>
      <x:c r="O92" s="170" t="n">
        <x:v>10</x:v>
      </x:c>
      <x:c r="P92" s="59" t="inlineStr">
        <x:is>
          <x:t xml:space="preserve">local_aux</x:t>
        </x:is>
      </x:c>
      <x:c r="Q92" s="59" t="n"/>
    </x:row>
    <x:row r="93">
      <x:c r="A93" s="171" t="n">
        <x:v>46356</x:v>
      </x:c>
      <x:c r="B93" s="63" t="inlineStr">
        <x:is>
          <x:t xml:space="preserve">Chưa chạy</x:t>
        </x:is>
      </x:c>
      <x:c r="C93" s="63" t="n"/>
      <x:c r="D93" s="172" t="n"/>
      <x:c r="E93" s="172" t="n"/>
      <x:c r="F93" s="173" t="str">
        <x:f>IF(AND(D93&lt;&gt;"",E93&lt;&gt;""),(E93-D93)*24,"")</x:f>
      </x:c>
      <x:c r="G93" s="174" t="n"/>
      <x:c r="H93" s="174" t="n"/>
      <x:c r="I93" s="174" t="n"/>
      <x:c r="J93" s="174" t="n"/>
      <x:c r="K93" s="174" t="n"/>
      <x:c r="L93" s="174" t="n"/>
      <x:c r="M93" s="174" t="n"/>
      <x:c r="N93" s="174" t="n"/>
      <x:c r="O93" s="174" t="n">
        <x:v>10</x:v>
      </x:c>
      <x:c r="P93" s="63" t="inlineStr">
        <x:is>
          <x:t xml:space="preserve">local_aux</x:t>
        </x:is>
      </x:c>
      <x:c r="Q93" s="63" t="n"/>
    </x:row>
  </x:sheetData>
  <x:mergeCells>
    <x:mergeCell ref="A2:Q2"/>
    <x:mergeCell ref="A1:Q1"/>
  </x:mergeCells>
  <x:conditionalFormatting sqref="B4:B93">
    <x:cfRule type="containsText" dxfId="0" priority="1" operator="containsText" text="Hoàn thành"/>
    <x:cfRule type="containsText" dxfId="1" priority="2" operator="containsText" text="Thất bại"/>
  </x:conditionalFormatting>
  <x:dataValidations count="1">
    <x:dataValidation type="list" allowBlank="0" showDropDown="0" showInputMessage="0" showErrorMessage="0" sqref="B4:B93">
      <x:formula1>"Chưa chạy,Đang chạy,Hoàn thành,Hoàn thành có lỗi,Thất bại,Bỏ qua"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customWidth="1"/>
    <x:col min="2" max="2" width="13" customWidth="1"/>
    <x:col min="3" max="3" width="13" customWidth="1"/>
    <x:col min="4" max="4" width="13" customWidth="1"/>
    <x:col min="5" max="5" width="13" customWidth="1"/>
    <x:col min="6" max="6" width="13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30" customWidth="1"/>
  </x:cols>
  <x:sheetData>
    <x:row r="1" ht="30" customHeight="1">
      <x:c r="A1" s="3" t="inlineStr">
        <x:is>
          <x:t xml:space="preserve">LOCAL PRIMARY REFERENCE — 12 CHECK-IN DÙNG ĐỂ LOẠI TRÙNG</x:t>
        </x:is>
      </x:c>
    </x:row>
    <x:row r="2">
      <x:c r="A2" s="35" t="inlineStr">
        <x:is>
          <x:t xml:space="preserve">Nguồn: D:/MSE/CAPSTONE/outputs/crawl-data-planner-20260816/crawl_sampling_master.xlsx. Snapshot 02/09–30/11/2026; không sửa bằng tay.</x:t>
        </x:is>
      </x:c>
    </x:row>
    <x:row r="3" ht="30" customHeight="1">
      <x:c r="A3" s="9" t="inlineStr">
        <x:is>
          <x:t xml:space="preserve">Crawl date</x:t>
        </x:is>
      </x:c>
      <x:c r="B3" s="9" t="inlineStr">
        <x:is>
          <x:t xml:space="preserve">Thứ</x:t>
        </x:is>
      </x:c>
      <x:c r="C3" s="9" t="inlineStr">
        <x:is>
          <x:t xml:space="preserve">Start time</x:t>
        </x:is>
      </x:c>
      <x:c r="D3" s="9" t="inlineStr">
        <x:is>
          <x:t xml:space="preserve">N1</x:t>
        </x:is>
      </x:c>
      <x:c r="E3" s="9" t="inlineStr">
        <x:is>
          <x:t xml:space="preserve">N2</x:t>
        </x:is>
      </x:c>
      <x:c r="F3" s="9" t="inlineStr">
        <x:is>
          <x:t xml:space="preserve">N3</x:t>
        </x:is>
      </x:c>
      <x:c r="G3" s="9" t="inlineStr">
        <x:is>
          <x:t xml:space="preserve">N4</x:t>
        </x:is>
      </x:c>
      <x:c r="H3" s="9" t="inlineStr">
        <x:is>
          <x:t xml:space="preserve">N5</x:t>
        </x:is>
      </x:c>
      <x:c r="I3" s="9" t="inlineStr">
        <x:is>
          <x:t xml:space="preserve">N6</x:t>
        </x:is>
      </x:c>
      <x:c r="J3" s="9" t="inlineStr">
        <x:is>
          <x:t xml:space="preserve">N7</x:t>
        </x:is>
      </x:c>
      <x:c r="K3" s="9" t="inlineStr">
        <x:is>
          <x:t xml:space="preserve">N8</x:t>
        </x:is>
      </x:c>
      <x:c r="L3" s="9" t="inlineStr">
        <x:is>
          <x:t xml:space="preserve">N9</x:t>
        </x:is>
      </x:c>
      <x:c r="M3" s="9" t="inlineStr">
        <x:is>
          <x:t xml:space="preserve">F1</x:t>
        </x:is>
      </x:c>
      <x:c r="N3" s="9" t="inlineStr">
        <x:is>
          <x:t xml:space="preserve">F2</x:t>
        </x:is>
      </x:c>
      <x:c r="O3" s="9" t="inlineStr">
        <x:is>
          <x:t xml:space="preserve">F3</x:t>
        </x:is>
      </x:c>
      <x:c r="P3" s="9" t="inlineStr">
        <x:is>
          <x:t xml:space="preserve">Source file</x:t>
        </x:is>
      </x:c>
    </x:row>
    <x:row r="4">
      <x:c r="A4" s="163" t="n">
        <x:v>46267</x:v>
      </x:c>
      <x:c r="B4" s="55" t="inlineStr">
        <x:is>
          <x:t xml:space="preserve">Thứ Tư</x:t>
        </x:is>
      </x:c>
      <x:c r="C4" s="55" t="inlineStr">
        <x:is>
          <x:t xml:space="preserve">00:30</x:t>
        </x:is>
      </x:c>
      <x:c r="D4" s="163" t="n">
        <x:v>46282</x:v>
      </x:c>
      <x:c r="E4" s="163" t="n">
        <x:v>46284</x:v>
      </x:c>
      <x:c r="F4" s="163" t="n">
        <x:v>46287</x:v>
      </x:c>
      <x:c r="G4" s="163" t="n">
        <x:v>46291</x:v>
      </x:c>
      <x:c r="H4" s="163" t="n">
        <x:v>46267</x:v>
      </x:c>
      <x:c r="I4" s="163" t="n">
        <x:v>46271</x:v>
      </x:c>
      <x:c r="J4" s="163" t="n">
        <x:v>46274</x:v>
      </x:c>
      <x:c r="K4" s="163" t="n">
        <x:v>46277</x:v>
      </x:c>
      <x:c r="L4" s="163" t="n">
        <x:v>46279</x:v>
      </x:c>
      <x:c r="M4" s="163" t="n">
        <x:v>46306</x:v>
      </x:c>
      <x:c r="N4" s="163" t="n">
        <x:v>46344</x:v>
      </x:c>
      <x:c r="O4" s="163" t="n">
        <x:v>46388</x:v>
      </x:c>
      <x:c r="P4" s="55" t="inlineStr">
        <x:is>
          <x:t xml:space="preserve">crawl_sampling_master.xlsx</x:t>
        </x:is>
      </x:c>
    </x:row>
    <x:row r="5">
      <x:c r="A5" s="167" t="n">
        <x:v>46268</x:v>
      </x:c>
      <x:c r="B5" s="59" t="inlineStr">
        <x:is>
          <x:t xml:space="preserve">Thứ Năm</x:t>
        </x:is>
      </x:c>
      <x:c r="C5" s="59" t="inlineStr">
        <x:is>
          <x:t xml:space="preserve">00:30</x:t>
        </x:is>
      </x:c>
      <x:c r="D5" s="167" t="n">
        <x:v>46282</x:v>
      </x:c>
      <x:c r="E5" s="167" t="n">
        <x:v>46284</x:v>
      </x:c>
      <x:c r="F5" s="167" t="n">
        <x:v>46287</x:v>
      </x:c>
      <x:c r="G5" s="167" t="n">
        <x:v>46291</x:v>
      </x:c>
      <x:c r="H5" s="167" t="n">
        <x:v>46295</x:v>
      </x:c>
      <x:c r="I5" s="167" t="n">
        <x:v>46271</x:v>
      </x:c>
      <x:c r="J5" s="167" t="n">
        <x:v>46274</x:v>
      </x:c>
      <x:c r="K5" s="167" t="n">
        <x:v>46277</x:v>
      </x:c>
      <x:c r="L5" s="167" t="n">
        <x:v>46279</x:v>
      </x:c>
      <x:c r="M5" s="167" t="n">
        <x:v>46306</x:v>
      </x:c>
      <x:c r="N5" s="167" t="n">
        <x:v>46344</x:v>
      </x:c>
      <x:c r="O5" s="167" t="n">
        <x:v>46388</x:v>
      </x:c>
      <x:c r="P5" s="59" t="inlineStr">
        <x:is>
          <x:t xml:space="preserve">crawl_sampling_master.xlsx</x:t>
        </x:is>
      </x:c>
    </x:row>
    <x:row r="6">
      <x:c r="A6" s="167" t="n">
        <x:v>46269</x:v>
      </x:c>
      <x:c r="B6" s="59" t="inlineStr">
        <x:is>
          <x:t xml:space="preserve">Thứ Sáu</x:t>
        </x:is>
      </x:c>
      <x:c r="C6" s="59" t="inlineStr">
        <x:is>
          <x:t xml:space="preserve">00:30</x:t>
        </x:is>
      </x:c>
      <x:c r="D6" s="167" t="n">
        <x:v>46282</x:v>
      </x:c>
      <x:c r="E6" s="167" t="n">
        <x:v>46284</x:v>
      </x:c>
      <x:c r="F6" s="167" t="n">
        <x:v>46287</x:v>
      </x:c>
      <x:c r="G6" s="167" t="n">
        <x:v>46291</x:v>
      </x:c>
      <x:c r="H6" s="167" t="n">
        <x:v>46295</x:v>
      </x:c>
      <x:c r="I6" s="167" t="n">
        <x:v>46271</x:v>
      </x:c>
      <x:c r="J6" s="167" t="n">
        <x:v>46274</x:v>
      </x:c>
      <x:c r="K6" s="167" t="n">
        <x:v>46277</x:v>
      </x:c>
      <x:c r="L6" s="167" t="n">
        <x:v>46279</x:v>
      </x:c>
      <x:c r="M6" s="167" t="n">
        <x:v>46306</x:v>
      </x:c>
      <x:c r="N6" s="167" t="n">
        <x:v>46344</x:v>
      </x:c>
      <x:c r="O6" s="167" t="n">
        <x:v>46388</x:v>
      </x:c>
      <x:c r="P6" s="59" t="inlineStr">
        <x:is>
          <x:t xml:space="preserve">crawl_sampling_master.xlsx</x:t>
        </x:is>
      </x:c>
    </x:row>
    <x:row r="7">
      <x:c r="A7" s="167" t="n">
        <x:v>46270</x:v>
      </x:c>
      <x:c r="B7" s="59" t="inlineStr">
        <x:is>
          <x:t xml:space="preserve">Thứ Bảy</x:t>
        </x:is>
      </x:c>
      <x:c r="C7" s="59" t="inlineStr">
        <x:is>
          <x:t xml:space="preserve">00:30</x:t>
        </x:is>
      </x:c>
      <x:c r="D7" s="167" t="n">
        <x:v>46282</x:v>
      </x:c>
      <x:c r="E7" s="167" t="n">
        <x:v>46284</x:v>
      </x:c>
      <x:c r="F7" s="167" t="n">
        <x:v>46287</x:v>
      </x:c>
      <x:c r="G7" s="167" t="n">
        <x:v>46291</x:v>
      </x:c>
      <x:c r="H7" s="167" t="n">
        <x:v>46295</x:v>
      </x:c>
      <x:c r="I7" s="167" t="n">
        <x:v>46271</x:v>
      </x:c>
      <x:c r="J7" s="167" t="n">
        <x:v>46274</x:v>
      </x:c>
      <x:c r="K7" s="167" t="n">
        <x:v>46277</x:v>
      </x:c>
      <x:c r="L7" s="167" t="n">
        <x:v>46279</x:v>
      </x:c>
      <x:c r="M7" s="167" t="n">
        <x:v>46306</x:v>
      </x:c>
      <x:c r="N7" s="167" t="n">
        <x:v>46344</x:v>
      </x:c>
      <x:c r="O7" s="167" t="n">
        <x:v>46388</x:v>
      </x:c>
      <x:c r="P7" s="59" t="inlineStr">
        <x:is>
          <x:t xml:space="preserve">crawl_sampling_master.xlsx</x:t>
        </x:is>
      </x:c>
    </x:row>
    <x:row r="8">
      <x:c r="A8" s="167" t="n">
        <x:v>46271</x:v>
      </x:c>
      <x:c r="B8" s="59" t="inlineStr">
        <x:is>
          <x:t xml:space="preserve">Chủ Nhật</x:t>
        </x:is>
      </x:c>
      <x:c r="C8" s="59" t="inlineStr">
        <x:is>
          <x:t xml:space="preserve">00:30</x:t>
        </x:is>
      </x:c>
      <x:c r="D8" s="167" t="n">
        <x:v>46282</x:v>
      </x:c>
      <x:c r="E8" s="167" t="n">
        <x:v>46284</x:v>
      </x:c>
      <x:c r="F8" s="167" t="n">
        <x:v>46287</x:v>
      </x:c>
      <x:c r="G8" s="167" t="n">
        <x:v>46291</x:v>
      </x:c>
      <x:c r="H8" s="167" t="n">
        <x:v>46295</x:v>
      </x:c>
      <x:c r="I8" s="167" t="n">
        <x:v>46271</x:v>
      </x:c>
      <x:c r="J8" s="167" t="n">
        <x:v>46274</x:v>
      </x:c>
      <x:c r="K8" s="167" t="n">
        <x:v>46277</x:v>
      </x:c>
      <x:c r="L8" s="167" t="n">
        <x:v>46279</x:v>
      </x:c>
      <x:c r="M8" s="167" t="n">
        <x:v>46306</x:v>
      </x:c>
      <x:c r="N8" s="167" t="n">
        <x:v>46344</x:v>
      </x:c>
      <x:c r="O8" s="167" t="n">
        <x:v>46388</x:v>
      </x:c>
      <x:c r="P8" s="59" t="inlineStr">
        <x:is>
          <x:t xml:space="preserve">crawl_sampling_master.xlsx</x:t>
        </x:is>
      </x:c>
    </x:row>
    <x:row r="9">
      <x:c r="A9" s="167" t="n">
        <x:v>46272</x:v>
      </x:c>
      <x:c r="B9" s="59" t="inlineStr">
        <x:is>
          <x:t xml:space="preserve">Thứ Hai</x:t>
        </x:is>
      </x:c>
      <x:c r="C9" s="59" t="inlineStr">
        <x:is>
          <x:t xml:space="preserve">00:30</x:t>
        </x:is>
      </x:c>
      <x:c r="D9" s="167" t="n">
        <x:v>46282</x:v>
      </x:c>
      <x:c r="E9" s="167" t="n">
        <x:v>46284</x:v>
      </x:c>
      <x:c r="F9" s="167" t="n">
        <x:v>46287</x:v>
      </x:c>
      <x:c r="G9" s="167" t="n">
        <x:v>46291</x:v>
      </x:c>
      <x:c r="H9" s="167" t="n">
        <x:v>46295</x:v>
      </x:c>
      <x:c r="I9" s="167" t="n">
        <x:v>46299</x:v>
      </x:c>
      <x:c r="J9" s="167" t="n">
        <x:v>46274</x:v>
      </x:c>
      <x:c r="K9" s="167" t="n">
        <x:v>46277</x:v>
      </x:c>
      <x:c r="L9" s="167" t="n">
        <x:v>46279</x:v>
      </x:c>
      <x:c r="M9" s="167" t="n">
        <x:v>46306</x:v>
      </x:c>
      <x:c r="N9" s="167" t="n">
        <x:v>46344</x:v>
      </x:c>
      <x:c r="O9" s="167" t="n">
        <x:v>46388</x:v>
      </x:c>
      <x:c r="P9" s="59" t="inlineStr">
        <x:is>
          <x:t xml:space="preserve">crawl_sampling_master.xlsx</x:t>
        </x:is>
      </x:c>
    </x:row>
    <x:row r="10">
      <x:c r="A10" s="167" t="n">
        <x:v>46273</x:v>
      </x:c>
      <x:c r="B10" s="59" t="inlineStr">
        <x:is>
          <x:t xml:space="preserve">Thứ Ba</x:t>
        </x:is>
      </x:c>
      <x:c r="C10" s="59" t="inlineStr">
        <x:is>
          <x:t xml:space="preserve">00:30</x:t>
        </x:is>
      </x:c>
      <x:c r="D10" s="167" t="n">
        <x:v>46282</x:v>
      </x:c>
      <x:c r="E10" s="167" t="n">
        <x:v>46284</x:v>
      </x:c>
      <x:c r="F10" s="167" t="n">
        <x:v>46287</x:v>
      </x:c>
      <x:c r="G10" s="167" t="n">
        <x:v>46291</x:v>
      </x:c>
      <x:c r="H10" s="167" t="n">
        <x:v>46295</x:v>
      </x:c>
      <x:c r="I10" s="167" t="n">
        <x:v>46299</x:v>
      </x:c>
      <x:c r="J10" s="167" t="n">
        <x:v>46274</x:v>
      </x:c>
      <x:c r="K10" s="167" t="n">
        <x:v>46277</x:v>
      </x:c>
      <x:c r="L10" s="167" t="n">
        <x:v>46279</x:v>
      </x:c>
      <x:c r="M10" s="167" t="n">
        <x:v>46306</x:v>
      </x:c>
      <x:c r="N10" s="167" t="n">
        <x:v>46344</x:v>
      </x:c>
      <x:c r="O10" s="167" t="n">
        <x:v>46388</x:v>
      </x:c>
      <x:c r="P10" s="59" t="inlineStr">
        <x:is>
          <x:t xml:space="preserve">crawl_sampling_master.xlsx</x:t>
        </x:is>
      </x:c>
    </x:row>
    <x:row r="11">
      <x:c r="A11" s="167" t="n">
        <x:v>46274</x:v>
      </x:c>
      <x:c r="B11" s="59" t="inlineStr">
        <x:is>
          <x:t xml:space="preserve">Thứ Tư</x:t>
        </x:is>
      </x:c>
      <x:c r="C11" s="59" t="inlineStr">
        <x:is>
          <x:t xml:space="preserve">00:30</x:t>
        </x:is>
      </x:c>
      <x:c r="D11" s="167" t="n">
        <x:v>46282</x:v>
      </x:c>
      <x:c r="E11" s="167" t="n">
        <x:v>46284</x:v>
      </x:c>
      <x:c r="F11" s="167" t="n">
        <x:v>46287</x:v>
      </x:c>
      <x:c r="G11" s="167" t="n">
        <x:v>46291</x:v>
      </x:c>
      <x:c r="H11" s="167" t="n">
        <x:v>46295</x:v>
      </x:c>
      <x:c r="I11" s="167" t="n">
        <x:v>46299</x:v>
      </x:c>
      <x:c r="J11" s="167" t="n">
        <x:v>46274</x:v>
      </x:c>
      <x:c r="K11" s="167" t="n">
        <x:v>46277</x:v>
      </x:c>
      <x:c r="L11" s="167" t="n">
        <x:v>46279</x:v>
      </x:c>
      <x:c r="M11" s="167" t="n">
        <x:v>46306</x:v>
      </x:c>
      <x:c r="N11" s="167" t="n">
        <x:v>46344</x:v>
      </x:c>
      <x:c r="O11" s="167" t="n">
        <x:v>46388</x:v>
      </x:c>
      <x:c r="P11" s="59" t="inlineStr">
        <x:is>
          <x:t xml:space="preserve">crawl_sampling_master.xlsx</x:t>
        </x:is>
      </x:c>
    </x:row>
    <x:row r="12">
      <x:c r="A12" s="167" t="n">
        <x:v>46275</x:v>
      </x:c>
      <x:c r="B12" s="59" t="inlineStr">
        <x:is>
          <x:t xml:space="preserve">Thứ Năm</x:t>
        </x:is>
      </x:c>
      <x:c r="C12" s="59" t="inlineStr">
        <x:is>
          <x:t xml:space="preserve">00:30</x:t>
        </x:is>
      </x:c>
      <x:c r="D12" s="167" t="n">
        <x:v>46282</x:v>
      </x:c>
      <x:c r="E12" s="167" t="n">
        <x:v>46284</x:v>
      </x:c>
      <x:c r="F12" s="167" t="n">
        <x:v>46287</x:v>
      </x:c>
      <x:c r="G12" s="167" t="n">
        <x:v>46291</x:v>
      </x:c>
      <x:c r="H12" s="167" t="n">
        <x:v>46295</x:v>
      </x:c>
      <x:c r="I12" s="167" t="n">
        <x:v>46299</x:v>
      </x:c>
      <x:c r="J12" s="167" t="n">
        <x:v>46302</x:v>
      </x:c>
      <x:c r="K12" s="167" t="n">
        <x:v>46277</x:v>
      </x:c>
      <x:c r="L12" s="167" t="n">
        <x:v>46279</x:v>
      </x:c>
      <x:c r="M12" s="167" t="n">
        <x:v>46306</x:v>
      </x:c>
      <x:c r="N12" s="167" t="n">
        <x:v>46344</x:v>
      </x:c>
      <x:c r="O12" s="167" t="n">
        <x:v>46388</x:v>
      </x:c>
      <x:c r="P12" s="59" t="inlineStr">
        <x:is>
          <x:t xml:space="preserve">crawl_sampling_master.xlsx</x:t>
        </x:is>
      </x:c>
    </x:row>
    <x:row r="13">
      <x:c r="A13" s="167" t="n">
        <x:v>46276</x:v>
      </x:c>
      <x:c r="B13" s="59" t="inlineStr">
        <x:is>
          <x:t xml:space="preserve">Thứ Sáu</x:t>
        </x:is>
      </x:c>
      <x:c r="C13" s="59" t="inlineStr">
        <x:is>
          <x:t xml:space="preserve">00:30</x:t>
        </x:is>
      </x:c>
      <x:c r="D13" s="167" t="n">
        <x:v>46282</x:v>
      </x:c>
      <x:c r="E13" s="167" t="n">
        <x:v>46284</x:v>
      </x:c>
      <x:c r="F13" s="167" t="n">
        <x:v>46287</x:v>
      </x:c>
      <x:c r="G13" s="167" t="n">
        <x:v>46291</x:v>
      </x:c>
      <x:c r="H13" s="167" t="n">
        <x:v>46295</x:v>
      </x:c>
      <x:c r="I13" s="167" t="n">
        <x:v>46299</x:v>
      </x:c>
      <x:c r="J13" s="167" t="n">
        <x:v>46302</x:v>
      </x:c>
      <x:c r="K13" s="167" t="n">
        <x:v>46277</x:v>
      </x:c>
      <x:c r="L13" s="167" t="n">
        <x:v>46279</x:v>
      </x:c>
      <x:c r="M13" s="167" t="n">
        <x:v>46306</x:v>
      </x:c>
      <x:c r="N13" s="167" t="n">
        <x:v>46344</x:v>
      </x:c>
      <x:c r="O13" s="167" t="n">
        <x:v>46388</x:v>
      </x:c>
      <x:c r="P13" s="59" t="inlineStr">
        <x:is>
          <x:t xml:space="preserve">crawl_sampling_master.xlsx</x:t>
        </x:is>
      </x:c>
    </x:row>
    <x:row r="14">
      <x:c r="A14" s="167" t="n">
        <x:v>46277</x:v>
      </x:c>
      <x:c r="B14" s="59" t="inlineStr">
        <x:is>
          <x:t xml:space="preserve">Thứ Bảy</x:t>
        </x:is>
      </x:c>
      <x:c r="C14" s="59" t="inlineStr">
        <x:is>
          <x:t xml:space="preserve">00:30</x:t>
        </x:is>
      </x:c>
      <x:c r="D14" s="167" t="n">
        <x:v>46282</x:v>
      </x:c>
      <x:c r="E14" s="167" t="n">
        <x:v>46284</x:v>
      </x:c>
      <x:c r="F14" s="167" t="n">
        <x:v>46287</x:v>
      </x:c>
      <x:c r="G14" s="167" t="n">
        <x:v>46291</x:v>
      </x:c>
      <x:c r="H14" s="167" t="n">
        <x:v>46295</x:v>
      </x:c>
      <x:c r="I14" s="167" t="n">
        <x:v>46299</x:v>
      </x:c>
      <x:c r="J14" s="167" t="n">
        <x:v>46302</x:v>
      </x:c>
      <x:c r="K14" s="167" t="n">
        <x:v>46277</x:v>
      </x:c>
      <x:c r="L14" s="167" t="n">
        <x:v>46279</x:v>
      </x:c>
      <x:c r="M14" s="167" t="n">
        <x:v>46306</x:v>
      </x:c>
      <x:c r="N14" s="167" t="n">
        <x:v>46344</x:v>
      </x:c>
      <x:c r="O14" s="167" t="n">
        <x:v>46388</x:v>
      </x:c>
      <x:c r="P14" s="59" t="inlineStr">
        <x:is>
          <x:t xml:space="preserve">crawl_sampling_master.xlsx</x:t>
        </x:is>
      </x:c>
    </x:row>
    <x:row r="15">
      <x:c r="A15" s="167" t="n">
        <x:v>46278</x:v>
      </x:c>
      <x:c r="B15" s="59" t="inlineStr">
        <x:is>
          <x:t xml:space="preserve">Chủ Nhật</x:t>
        </x:is>
      </x:c>
      <x:c r="C15" s="59" t="inlineStr">
        <x:is>
          <x:t xml:space="preserve">00:30</x:t>
        </x:is>
      </x:c>
      <x:c r="D15" s="167" t="n">
        <x:v>46282</x:v>
      </x:c>
      <x:c r="E15" s="167" t="n">
        <x:v>46284</x:v>
      </x:c>
      <x:c r="F15" s="167" t="n">
        <x:v>46287</x:v>
      </x:c>
      <x:c r="G15" s="167" t="n">
        <x:v>46291</x:v>
      </x:c>
      <x:c r="H15" s="167" t="n">
        <x:v>46295</x:v>
      </x:c>
      <x:c r="I15" s="167" t="n">
        <x:v>46299</x:v>
      </x:c>
      <x:c r="J15" s="167" t="n">
        <x:v>46302</x:v>
      </x:c>
      <x:c r="K15" s="167" t="n">
        <x:v>46305</x:v>
      </x:c>
      <x:c r="L15" s="167" t="n">
        <x:v>46279</x:v>
      </x:c>
      <x:c r="M15" s="167" t="n">
        <x:v>46306</x:v>
      </x:c>
      <x:c r="N15" s="167" t="n">
        <x:v>46344</x:v>
      </x:c>
      <x:c r="O15" s="167" t="n">
        <x:v>46388</x:v>
      </x:c>
      <x:c r="P15" s="59" t="inlineStr">
        <x:is>
          <x:t xml:space="preserve">crawl_sampling_master.xlsx</x:t>
        </x:is>
      </x:c>
    </x:row>
    <x:row r="16">
      <x:c r="A16" s="167" t="n">
        <x:v>46279</x:v>
      </x:c>
      <x:c r="B16" s="59" t="inlineStr">
        <x:is>
          <x:t xml:space="preserve">Thứ Hai</x:t>
        </x:is>
      </x:c>
      <x:c r="C16" s="59" t="inlineStr">
        <x:is>
          <x:t xml:space="preserve">00:30</x:t>
        </x:is>
      </x:c>
      <x:c r="D16" s="167" t="n">
        <x:v>46282</x:v>
      </x:c>
      <x:c r="E16" s="167" t="n">
        <x:v>46284</x:v>
      </x:c>
      <x:c r="F16" s="167" t="n">
        <x:v>46287</x:v>
      </x:c>
      <x:c r="G16" s="167" t="n">
        <x:v>46291</x:v>
      </x:c>
      <x:c r="H16" s="167" t="n">
        <x:v>46295</x:v>
      </x:c>
      <x:c r="I16" s="167" t="n">
        <x:v>46299</x:v>
      </x:c>
      <x:c r="J16" s="167" t="n">
        <x:v>46302</x:v>
      </x:c>
      <x:c r="K16" s="167" t="n">
        <x:v>46305</x:v>
      </x:c>
      <x:c r="L16" s="167" t="n">
        <x:v>46279</x:v>
      </x:c>
      <x:c r="M16" s="167" t="n">
        <x:v>46306</x:v>
      </x:c>
      <x:c r="N16" s="167" t="n">
        <x:v>46344</x:v>
      </x:c>
      <x:c r="O16" s="167" t="n">
        <x:v>46388</x:v>
      </x:c>
      <x:c r="P16" s="59" t="inlineStr">
        <x:is>
          <x:t xml:space="preserve">crawl_sampling_master.xlsx</x:t>
        </x:is>
      </x:c>
    </x:row>
    <x:row r="17">
      <x:c r="A17" s="167" t="n">
        <x:v>46280</x:v>
      </x:c>
      <x:c r="B17" s="59" t="inlineStr">
        <x:is>
          <x:t xml:space="preserve">Thứ Ba</x:t>
        </x:is>
      </x:c>
      <x:c r="C17" s="59" t="inlineStr">
        <x:is>
          <x:t xml:space="preserve">00:30</x:t>
        </x:is>
      </x:c>
      <x:c r="D17" s="167" t="n">
        <x:v>46282</x:v>
      </x:c>
      <x:c r="E17" s="167" t="n">
        <x:v>46284</x:v>
      </x:c>
      <x:c r="F17" s="167" t="n">
        <x:v>46287</x:v>
      </x:c>
      <x:c r="G17" s="167" t="n">
        <x:v>46291</x:v>
      </x:c>
      <x:c r="H17" s="167" t="n">
        <x:v>46295</x:v>
      </x:c>
      <x:c r="I17" s="167" t="n">
        <x:v>46299</x:v>
      </x:c>
      <x:c r="J17" s="167" t="n">
        <x:v>46302</x:v>
      </x:c>
      <x:c r="K17" s="167" t="n">
        <x:v>46305</x:v>
      </x:c>
      <x:c r="L17" s="167" t="n">
        <x:v>46307</x:v>
      </x:c>
      <x:c r="M17" s="167" t="n">
        <x:v>46306</x:v>
      </x:c>
      <x:c r="N17" s="167" t="n">
        <x:v>46344</x:v>
      </x:c>
      <x:c r="O17" s="167" t="n">
        <x:v>46388</x:v>
      </x:c>
      <x:c r="P17" s="59" t="inlineStr">
        <x:is>
          <x:t xml:space="preserve">crawl_sampling_master.xlsx</x:t>
        </x:is>
      </x:c>
    </x:row>
    <x:row r="18">
      <x:c r="A18" s="167" t="n">
        <x:v>46281</x:v>
      </x:c>
      <x:c r="B18" s="59" t="inlineStr">
        <x:is>
          <x:t xml:space="preserve">Thứ Tư</x:t>
        </x:is>
      </x:c>
      <x:c r="C18" s="59" t="inlineStr">
        <x:is>
          <x:t xml:space="preserve">00:30</x:t>
        </x:is>
      </x:c>
      <x:c r="D18" s="167" t="n">
        <x:v>46282</x:v>
      </x:c>
      <x:c r="E18" s="167" t="n">
        <x:v>46284</x:v>
      </x:c>
      <x:c r="F18" s="167" t="n">
        <x:v>46287</x:v>
      </x:c>
      <x:c r="G18" s="167" t="n">
        <x:v>46291</x:v>
      </x:c>
      <x:c r="H18" s="167" t="n">
        <x:v>46295</x:v>
      </x:c>
      <x:c r="I18" s="167" t="n">
        <x:v>46299</x:v>
      </x:c>
      <x:c r="J18" s="167" t="n">
        <x:v>46302</x:v>
      </x:c>
      <x:c r="K18" s="167" t="n">
        <x:v>46305</x:v>
      </x:c>
      <x:c r="L18" s="167" t="n">
        <x:v>46307</x:v>
      </x:c>
      <x:c r="M18" s="167" t="n">
        <x:v>46306</x:v>
      </x:c>
      <x:c r="N18" s="167" t="n">
        <x:v>46344</x:v>
      </x:c>
      <x:c r="O18" s="167" t="n">
        <x:v>46388</x:v>
      </x:c>
      <x:c r="P18" s="59" t="inlineStr">
        <x:is>
          <x:t xml:space="preserve">crawl_sampling_master.xlsx</x:t>
        </x:is>
      </x:c>
    </x:row>
    <x:row r="19">
      <x:c r="A19" s="167" t="n">
        <x:v>46282</x:v>
      </x:c>
      <x:c r="B19" s="59" t="inlineStr">
        <x:is>
          <x:t xml:space="preserve">Thứ Năm</x:t>
        </x:is>
      </x:c>
      <x:c r="C19" s="59" t="inlineStr">
        <x:is>
          <x:t xml:space="preserve">00:30</x:t>
        </x:is>
      </x:c>
      <x:c r="D19" s="167" t="n">
        <x:v>46282</x:v>
      </x:c>
      <x:c r="E19" s="167" t="n">
        <x:v>46284</x:v>
      </x:c>
      <x:c r="F19" s="167" t="n">
        <x:v>46287</x:v>
      </x:c>
      <x:c r="G19" s="167" t="n">
        <x:v>46291</x:v>
      </x:c>
      <x:c r="H19" s="167" t="n">
        <x:v>46295</x:v>
      </x:c>
      <x:c r="I19" s="167" t="n">
        <x:v>46299</x:v>
      </x:c>
      <x:c r="J19" s="167" t="n">
        <x:v>46302</x:v>
      </x:c>
      <x:c r="K19" s="167" t="n">
        <x:v>46305</x:v>
      </x:c>
      <x:c r="L19" s="167" t="n">
        <x:v>46307</x:v>
      </x:c>
      <x:c r="M19" s="167" t="n">
        <x:v>46306</x:v>
      </x:c>
      <x:c r="N19" s="167" t="n">
        <x:v>46344</x:v>
      </x:c>
      <x:c r="O19" s="167" t="n">
        <x:v>46388</x:v>
      </x:c>
      <x:c r="P19" s="59" t="inlineStr">
        <x:is>
          <x:t xml:space="preserve">crawl_sampling_master.xlsx</x:t>
        </x:is>
      </x:c>
    </x:row>
    <x:row r="20">
      <x:c r="A20" s="167" t="n">
        <x:v>46283</x:v>
      </x:c>
      <x:c r="B20" s="59" t="inlineStr">
        <x:is>
          <x:t xml:space="preserve">Thứ Sáu</x:t>
        </x:is>
      </x:c>
      <x:c r="C20" s="59" t="inlineStr">
        <x:is>
          <x:t xml:space="preserve">00:30</x:t>
        </x:is>
      </x:c>
      <x:c r="D20" s="167" t="n">
        <x:v>46310</x:v>
      </x:c>
      <x:c r="E20" s="167" t="n">
        <x:v>46284</x:v>
      </x:c>
      <x:c r="F20" s="167" t="n">
        <x:v>46287</x:v>
      </x:c>
      <x:c r="G20" s="167" t="n">
        <x:v>46291</x:v>
      </x:c>
      <x:c r="H20" s="167" t="n">
        <x:v>46295</x:v>
      </x:c>
      <x:c r="I20" s="167" t="n">
        <x:v>46299</x:v>
      </x:c>
      <x:c r="J20" s="167" t="n">
        <x:v>46302</x:v>
      </x:c>
      <x:c r="K20" s="167" t="n">
        <x:v>46305</x:v>
      </x:c>
      <x:c r="L20" s="167" t="n">
        <x:v>46307</x:v>
      </x:c>
      <x:c r="M20" s="167" t="n">
        <x:v>46306</x:v>
      </x:c>
      <x:c r="N20" s="167" t="n">
        <x:v>46344</x:v>
      </x:c>
      <x:c r="O20" s="167" t="n">
        <x:v>46388</x:v>
      </x:c>
      <x:c r="P20" s="59" t="inlineStr">
        <x:is>
          <x:t xml:space="preserve">crawl_sampling_master.xlsx</x:t>
        </x:is>
      </x:c>
    </x:row>
    <x:row r="21">
      <x:c r="A21" s="167" t="n">
        <x:v>46284</x:v>
      </x:c>
      <x:c r="B21" s="59" t="inlineStr">
        <x:is>
          <x:t xml:space="preserve">Thứ Bảy</x:t>
        </x:is>
      </x:c>
      <x:c r="C21" s="59" t="inlineStr">
        <x:is>
          <x:t xml:space="preserve">00:30</x:t>
        </x:is>
      </x:c>
      <x:c r="D21" s="167" t="n">
        <x:v>46310</x:v>
      </x:c>
      <x:c r="E21" s="167" t="n">
        <x:v>46284</x:v>
      </x:c>
      <x:c r="F21" s="167" t="n">
        <x:v>46287</x:v>
      </x:c>
      <x:c r="G21" s="167" t="n">
        <x:v>46291</x:v>
      </x:c>
      <x:c r="H21" s="167" t="n">
        <x:v>46295</x:v>
      </x:c>
      <x:c r="I21" s="167" t="n">
        <x:v>46299</x:v>
      </x:c>
      <x:c r="J21" s="167" t="n">
        <x:v>46302</x:v>
      </x:c>
      <x:c r="K21" s="167" t="n">
        <x:v>46305</x:v>
      </x:c>
      <x:c r="L21" s="167" t="n">
        <x:v>46307</x:v>
      </x:c>
      <x:c r="M21" s="167" t="n">
        <x:v>46306</x:v>
      </x:c>
      <x:c r="N21" s="167" t="n">
        <x:v>46344</x:v>
      </x:c>
      <x:c r="O21" s="167" t="n">
        <x:v>46388</x:v>
      </x:c>
      <x:c r="P21" s="59" t="inlineStr">
        <x:is>
          <x:t xml:space="preserve">crawl_sampling_master.xlsx</x:t>
        </x:is>
      </x:c>
    </x:row>
    <x:row r="22">
      <x:c r="A22" s="167" t="n">
        <x:v>46285</x:v>
      </x:c>
      <x:c r="B22" s="59" t="inlineStr">
        <x:is>
          <x:t xml:space="preserve">Chủ Nhật</x:t>
        </x:is>
      </x:c>
      <x:c r="C22" s="59" t="inlineStr">
        <x:is>
          <x:t xml:space="preserve">00:30</x:t>
        </x:is>
      </x:c>
      <x:c r="D22" s="167" t="n">
        <x:v>46310</x:v>
      </x:c>
      <x:c r="E22" s="167" t="n">
        <x:v>46312</x:v>
      </x:c>
      <x:c r="F22" s="167" t="n">
        <x:v>46287</x:v>
      </x:c>
      <x:c r="G22" s="167" t="n">
        <x:v>46291</x:v>
      </x:c>
      <x:c r="H22" s="167" t="n">
        <x:v>46295</x:v>
      </x:c>
      <x:c r="I22" s="167" t="n">
        <x:v>46299</x:v>
      </x:c>
      <x:c r="J22" s="167" t="n">
        <x:v>46302</x:v>
      </x:c>
      <x:c r="K22" s="167" t="n">
        <x:v>46305</x:v>
      </x:c>
      <x:c r="L22" s="167" t="n">
        <x:v>46307</x:v>
      </x:c>
      <x:c r="M22" s="167" t="n">
        <x:v>46306</x:v>
      </x:c>
      <x:c r="N22" s="167" t="n">
        <x:v>46344</x:v>
      </x:c>
      <x:c r="O22" s="167" t="n">
        <x:v>46388</x:v>
      </x:c>
      <x:c r="P22" s="59" t="inlineStr">
        <x:is>
          <x:t xml:space="preserve">crawl_sampling_master.xlsx</x:t>
        </x:is>
      </x:c>
    </x:row>
    <x:row r="23">
      <x:c r="A23" s="167" t="n">
        <x:v>46286</x:v>
      </x:c>
      <x:c r="B23" s="59" t="inlineStr">
        <x:is>
          <x:t xml:space="preserve">Thứ Hai</x:t>
        </x:is>
      </x:c>
      <x:c r="C23" s="59" t="inlineStr">
        <x:is>
          <x:t xml:space="preserve">00:30</x:t>
        </x:is>
      </x:c>
      <x:c r="D23" s="167" t="n">
        <x:v>46310</x:v>
      </x:c>
      <x:c r="E23" s="167" t="n">
        <x:v>46312</x:v>
      </x:c>
      <x:c r="F23" s="167" t="n">
        <x:v>46287</x:v>
      </x:c>
      <x:c r="G23" s="167" t="n">
        <x:v>46291</x:v>
      </x:c>
      <x:c r="H23" s="167" t="n">
        <x:v>46295</x:v>
      </x:c>
      <x:c r="I23" s="167" t="n">
        <x:v>46299</x:v>
      </x:c>
      <x:c r="J23" s="167" t="n">
        <x:v>46302</x:v>
      </x:c>
      <x:c r="K23" s="167" t="n">
        <x:v>46305</x:v>
      </x:c>
      <x:c r="L23" s="167" t="n">
        <x:v>46307</x:v>
      </x:c>
      <x:c r="M23" s="167" t="n">
        <x:v>46306</x:v>
      </x:c>
      <x:c r="N23" s="167" t="n">
        <x:v>46344</x:v>
      </x:c>
      <x:c r="O23" s="167" t="n">
        <x:v>46388</x:v>
      </x:c>
      <x:c r="P23" s="59" t="inlineStr">
        <x:is>
          <x:t xml:space="preserve">crawl_sampling_master.xlsx</x:t>
        </x:is>
      </x:c>
    </x:row>
    <x:row r="24">
      <x:c r="A24" s="167" t="n">
        <x:v>46287</x:v>
      </x:c>
      <x:c r="B24" s="59" t="inlineStr">
        <x:is>
          <x:t xml:space="preserve">Thứ Ba</x:t>
        </x:is>
      </x:c>
      <x:c r="C24" s="59" t="inlineStr">
        <x:is>
          <x:t xml:space="preserve">00:30</x:t>
        </x:is>
      </x:c>
      <x:c r="D24" s="167" t="n">
        <x:v>46310</x:v>
      </x:c>
      <x:c r="E24" s="167" t="n">
        <x:v>46312</x:v>
      </x:c>
      <x:c r="F24" s="167" t="n">
        <x:v>46287</x:v>
      </x:c>
      <x:c r="G24" s="167" t="n">
        <x:v>46291</x:v>
      </x:c>
      <x:c r="H24" s="167" t="n">
        <x:v>46295</x:v>
      </x:c>
      <x:c r="I24" s="167" t="n">
        <x:v>46299</x:v>
      </x:c>
      <x:c r="J24" s="167" t="n">
        <x:v>46302</x:v>
      </x:c>
      <x:c r="K24" s="167" t="n">
        <x:v>46305</x:v>
      </x:c>
      <x:c r="L24" s="167" t="n">
        <x:v>46307</x:v>
      </x:c>
      <x:c r="M24" s="167" t="n">
        <x:v>46306</x:v>
      </x:c>
      <x:c r="N24" s="167" t="n">
        <x:v>46344</x:v>
      </x:c>
      <x:c r="O24" s="167" t="n">
        <x:v>46388</x:v>
      </x:c>
      <x:c r="P24" s="59" t="inlineStr">
        <x:is>
          <x:t xml:space="preserve">crawl_sampling_master.xlsx</x:t>
        </x:is>
      </x:c>
    </x:row>
    <x:row r="25">
      <x:c r="A25" s="167" t="n">
        <x:v>46288</x:v>
      </x:c>
      <x:c r="B25" s="59" t="inlineStr">
        <x:is>
          <x:t xml:space="preserve">Thứ Tư</x:t>
        </x:is>
      </x:c>
      <x:c r="C25" s="59" t="inlineStr">
        <x:is>
          <x:t xml:space="preserve">00:30</x:t>
        </x:is>
      </x:c>
      <x:c r="D25" s="167" t="n">
        <x:v>46310</x:v>
      </x:c>
      <x:c r="E25" s="167" t="n">
        <x:v>46312</x:v>
      </x:c>
      <x:c r="F25" s="167" t="n">
        <x:v>46315</x:v>
      </x:c>
      <x:c r="G25" s="167" t="n">
        <x:v>46291</x:v>
      </x:c>
      <x:c r="H25" s="167" t="n">
        <x:v>46295</x:v>
      </x:c>
      <x:c r="I25" s="167" t="n">
        <x:v>46299</x:v>
      </x:c>
      <x:c r="J25" s="167" t="n">
        <x:v>46302</x:v>
      </x:c>
      <x:c r="K25" s="167" t="n">
        <x:v>46305</x:v>
      </x:c>
      <x:c r="L25" s="167" t="n">
        <x:v>46307</x:v>
      </x:c>
      <x:c r="M25" s="167" t="n">
        <x:v>46306</x:v>
      </x:c>
      <x:c r="N25" s="167" t="n">
        <x:v>46344</x:v>
      </x:c>
      <x:c r="O25" s="167" t="n">
        <x:v>46388</x:v>
      </x:c>
      <x:c r="P25" s="59" t="inlineStr">
        <x:is>
          <x:t xml:space="preserve">crawl_sampling_master.xlsx</x:t>
        </x:is>
      </x:c>
    </x:row>
    <x:row r="26">
      <x:c r="A26" s="167" t="n">
        <x:v>46289</x:v>
      </x:c>
      <x:c r="B26" s="59" t="inlineStr">
        <x:is>
          <x:t xml:space="preserve">Thứ Năm</x:t>
        </x:is>
      </x:c>
      <x:c r="C26" s="59" t="inlineStr">
        <x:is>
          <x:t xml:space="preserve">00:30</x:t>
        </x:is>
      </x:c>
      <x:c r="D26" s="167" t="n">
        <x:v>46310</x:v>
      </x:c>
      <x:c r="E26" s="167" t="n">
        <x:v>46312</x:v>
      </x:c>
      <x:c r="F26" s="167" t="n">
        <x:v>46315</x:v>
      </x:c>
      <x:c r="G26" s="167" t="n">
        <x:v>46291</x:v>
      </x:c>
      <x:c r="H26" s="167" t="n">
        <x:v>46295</x:v>
      </x:c>
      <x:c r="I26" s="167" t="n">
        <x:v>46299</x:v>
      </x:c>
      <x:c r="J26" s="167" t="n">
        <x:v>46302</x:v>
      </x:c>
      <x:c r="K26" s="167" t="n">
        <x:v>46305</x:v>
      </x:c>
      <x:c r="L26" s="167" t="n">
        <x:v>46307</x:v>
      </x:c>
      <x:c r="M26" s="167" t="n">
        <x:v>46306</x:v>
      </x:c>
      <x:c r="N26" s="167" t="n">
        <x:v>46344</x:v>
      </x:c>
      <x:c r="O26" s="167" t="n">
        <x:v>46388</x:v>
      </x:c>
      <x:c r="P26" s="59" t="inlineStr">
        <x:is>
          <x:t xml:space="preserve">crawl_sampling_master.xlsx</x:t>
        </x:is>
      </x:c>
    </x:row>
    <x:row r="27">
      <x:c r="A27" s="167" t="n">
        <x:v>46290</x:v>
      </x:c>
      <x:c r="B27" s="59" t="inlineStr">
        <x:is>
          <x:t xml:space="preserve">Thứ Sáu</x:t>
        </x:is>
      </x:c>
      <x:c r="C27" s="59" t="inlineStr">
        <x:is>
          <x:t xml:space="preserve">00:30</x:t>
        </x:is>
      </x:c>
      <x:c r="D27" s="167" t="n">
        <x:v>46310</x:v>
      </x:c>
      <x:c r="E27" s="167" t="n">
        <x:v>46312</x:v>
      </x:c>
      <x:c r="F27" s="167" t="n">
        <x:v>46315</x:v>
      </x:c>
      <x:c r="G27" s="167" t="n">
        <x:v>46291</x:v>
      </x:c>
      <x:c r="H27" s="167" t="n">
        <x:v>46295</x:v>
      </x:c>
      <x:c r="I27" s="167" t="n">
        <x:v>46299</x:v>
      </x:c>
      <x:c r="J27" s="167" t="n">
        <x:v>46302</x:v>
      </x:c>
      <x:c r="K27" s="167" t="n">
        <x:v>46305</x:v>
      </x:c>
      <x:c r="L27" s="167" t="n">
        <x:v>46307</x:v>
      </x:c>
      <x:c r="M27" s="167" t="n">
        <x:v>46306</x:v>
      </x:c>
      <x:c r="N27" s="167" t="n">
        <x:v>46344</x:v>
      </x:c>
      <x:c r="O27" s="167" t="n">
        <x:v>46388</x:v>
      </x:c>
      <x:c r="P27" s="59" t="inlineStr">
        <x:is>
          <x:t xml:space="preserve">crawl_sampling_master.xlsx</x:t>
        </x:is>
      </x:c>
    </x:row>
    <x:row r="28">
      <x:c r="A28" s="167" t="n">
        <x:v>46291</x:v>
      </x:c>
      <x:c r="B28" s="59" t="inlineStr">
        <x:is>
          <x:t xml:space="preserve">Thứ Bảy</x:t>
        </x:is>
      </x:c>
      <x:c r="C28" s="59" t="inlineStr">
        <x:is>
          <x:t xml:space="preserve">00:30</x:t>
        </x:is>
      </x:c>
      <x:c r="D28" s="167" t="n">
        <x:v>46310</x:v>
      </x:c>
      <x:c r="E28" s="167" t="n">
        <x:v>46312</x:v>
      </x:c>
      <x:c r="F28" s="167" t="n">
        <x:v>46315</x:v>
      </x:c>
      <x:c r="G28" s="167" t="n">
        <x:v>46291</x:v>
      </x:c>
      <x:c r="H28" s="167" t="n">
        <x:v>46295</x:v>
      </x:c>
      <x:c r="I28" s="167" t="n">
        <x:v>46299</x:v>
      </x:c>
      <x:c r="J28" s="167" t="n">
        <x:v>46302</x:v>
      </x:c>
      <x:c r="K28" s="167" t="n">
        <x:v>46305</x:v>
      </x:c>
      <x:c r="L28" s="167" t="n">
        <x:v>46307</x:v>
      </x:c>
      <x:c r="M28" s="167" t="n">
        <x:v>46306</x:v>
      </x:c>
      <x:c r="N28" s="167" t="n">
        <x:v>46344</x:v>
      </x:c>
      <x:c r="O28" s="167" t="n">
        <x:v>46388</x:v>
      </x:c>
      <x:c r="P28" s="59" t="inlineStr">
        <x:is>
          <x:t xml:space="preserve">crawl_sampling_master.xlsx</x:t>
        </x:is>
      </x:c>
    </x:row>
    <x:row r="29">
      <x:c r="A29" s="167" t="n">
        <x:v>46292</x:v>
      </x:c>
      <x:c r="B29" s="59" t="inlineStr">
        <x:is>
          <x:t xml:space="preserve">Chủ Nhật</x:t>
        </x:is>
      </x:c>
      <x:c r="C29" s="59" t="inlineStr">
        <x:is>
          <x:t xml:space="preserve">00:30</x:t>
        </x:is>
      </x:c>
      <x:c r="D29" s="167" t="n">
        <x:v>46310</x:v>
      </x:c>
      <x:c r="E29" s="167" t="n">
        <x:v>46312</x:v>
      </x:c>
      <x:c r="F29" s="167" t="n">
        <x:v>46315</x:v>
      </x:c>
      <x:c r="G29" s="167" t="n">
        <x:v>46319</x:v>
      </x:c>
      <x:c r="H29" s="167" t="n">
        <x:v>46295</x:v>
      </x:c>
      <x:c r="I29" s="167" t="n">
        <x:v>46299</x:v>
      </x:c>
      <x:c r="J29" s="167" t="n">
        <x:v>46302</x:v>
      </x:c>
      <x:c r="K29" s="167" t="n">
        <x:v>46305</x:v>
      </x:c>
      <x:c r="L29" s="167" t="n">
        <x:v>46307</x:v>
      </x:c>
      <x:c r="M29" s="167" t="n">
        <x:v>46306</x:v>
      </x:c>
      <x:c r="N29" s="167" t="n">
        <x:v>46344</x:v>
      </x:c>
      <x:c r="O29" s="167" t="n">
        <x:v>46388</x:v>
      </x:c>
      <x:c r="P29" s="59" t="inlineStr">
        <x:is>
          <x:t xml:space="preserve">crawl_sampling_master.xlsx</x:t>
        </x:is>
      </x:c>
    </x:row>
    <x:row r="30">
      <x:c r="A30" s="167" t="n">
        <x:v>46293</x:v>
      </x:c>
      <x:c r="B30" s="59" t="inlineStr">
        <x:is>
          <x:t xml:space="preserve">Thứ Hai</x:t>
        </x:is>
      </x:c>
      <x:c r="C30" s="59" t="inlineStr">
        <x:is>
          <x:t xml:space="preserve">00:30</x:t>
        </x:is>
      </x:c>
      <x:c r="D30" s="167" t="n">
        <x:v>46310</x:v>
      </x:c>
      <x:c r="E30" s="167" t="n">
        <x:v>46312</x:v>
      </x:c>
      <x:c r="F30" s="167" t="n">
        <x:v>46315</x:v>
      </x:c>
      <x:c r="G30" s="167" t="n">
        <x:v>46319</x:v>
      </x:c>
      <x:c r="H30" s="167" t="n">
        <x:v>46295</x:v>
      </x:c>
      <x:c r="I30" s="167" t="n">
        <x:v>46299</x:v>
      </x:c>
      <x:c r="J30" s="167" t="n">
        <x:v>46302</x:v>
      </x:c>
      <x:c r="K30" s="167" t="n">
        <x:v>46305</x:v>
      </x:c>
      <x:c r="L30" s="167" t="n">
        <x:v>46307</x:v>
      </x:c>
      <x:c r="M30" s="167" t="n">
        <x:v>46306</x:v>
      </x:c>
      <x:c r="N30" s="167" t="n">
        <x:v>46344</x:v>
      </x:c>
      <x:c r="O30" s="167" t="n">
        <x:v>46388</x:v>
      </x:c>
      <x:c r="P30" s="59" t="inlineStr">
        <x:is>
          <x:t xml:space="preserve">crawl_sampling_master.xlsx</x:t>
        </x:is>
      </x:c>
    </x:row>
    <x:row r="31">
      <x:c r="A31" s="167" t="n">
        <x:v>46294</x:v>
      </x:c>
      <x:c r="B31" s="59" t="inlineStr">
        <x:is>
          <x:t xml:space="preserve">Thứ Ba</x:t>
        </x:is>
      </x:c>
      <x:c r="C31" s="59" t="inlineStr">
        <x:is>
          <x:t xml:space="preserve">00:30</x:t>
        </x:is>
      </x:c>
      <x:c r="D31" s="167" t="n">
        <x:v>46310</x:v>
      </x:c>
      <x:c r="E31" s="167" t="n">
        <x:v>46312</x:v>
      </x:c>
      <x:c r="F31" s="167" t="n">
        <x:v>46315</x:v>
      </x:c>
      <x:c r="G31" s="167" t="n">
        <x:v>46319</x:v>
      </x:c>
      <x:c r="H31" s="167" t="n">
        <x:v>46295</x:v>
      </x:c>
      <x:c r="I31" s="167" t="n">
        <x:v>46299</x:v>
      </x:c>
      <x:c r="J31" s="167" t="n">
        <x:v>46302</x:v>
      </x:c>
      <x:c r="K31" s="167" t="n">
        <x:v>46305</x:v>
      </x:c>
      <x:c r="L31" s="167" t="n">
        <x:v>46307</x:v>
      </x:c>
      <x:c r="M31" s="167" t="n">
        <x:v>46306</x:v>
      </x:c>
      <x:c r="N31" s="167" t="n">
        <x:v>46344</x:v>
      </x:c>
      <x:c r="O31" s="167" t="n">
        <x:v>46388</x:v>
      </x:c>
      <x:c r="P31" s="59" t="inlineStr">
        <x:is>
          <x:t xml:space="preserve">crawl_sampling_master.xlsx</x:t>
        </x:is>
      </x:c>
    </x:row>
    <x:row r="32">
      <x:c r="A32" s="167" t="n">
        <x:v>46295</x:v>
      </x:c>
      <x:c r="B32" s="59" t="inlineStr">
        <x:is>
          <x:t xml:space="preserve">Thứ Tư</x:t>
        </x:is>
      </x:c>
      <x:c r="C32" s="59" t="inlineStr">
        <x:is>
          <x:t xml:space="preserve">00:30</x:t>
        </x:is>
      </x:c>
      <x:c r="D32" s="167" t="n">
        <x:v>46310</x:v>
      </x:c>
      <x:c r="E32" s="167" t="n">
        <x:v>46312</x:v>
      </x:c>
      <x:c r="F32" s="167" t="n">
        <x:v>46315</x:v>
      </x:c>
      <x:c r="G32" s="167" t="n">
        <x:v>46319</x:v>
      </x:c>
      <x:c r="H32" s="167" t="n">
        <x:v>46295</x:v>
      </x:c>
      <x:c r="I32" s="167" t="n">
        <x:v>46299</x:v>
      </x:c>
      <x:c r="J32" s="167" t="n">
        <x:v>46302</x:v>
      </x:c>
      <x:c r="K32" s="167" t="n">
        <x:v>46305</x:v>
      </x:c>
      <x:c r="L32" s="167" t="n">
        <x:v>46307</x:v>
      </x:c>
      <x:c r="M32" s="167" t="n">
        <x:v>46306</x:v>
      </x:c>
      <x:c r="N32" s="167" t="n">
        <x:v>46344</x:v>
      </x:c>
      <x:c r="O32" s="167" t="n">
        <x:v>46388</x:v>
      </x:c>
      <x:c r="P32" s="59" t="inlineStr">
        <x:is>
          <x:t xml:space="preserve">crawl_sampling_master.xlsx</x:t>
        </x:is>
      </x:c>
    </x:row>
    <x:row r="33">
      <x:c r="A33" s="167" t="n">
        <x:v>46296</x:v>
      </x:c>
      <x:c r="B33" s="59" t="inlineStr">
        <x:is>
          <x:t xml:space="preserve">Thứ Năm</x:t>
        </x:is>
      </x:c>
      <x:c r="C33" s="59" t="inlineStr">
        <x:is>
          <x:t xml:space="preserve">00:30</x:t>
        </x:is>
      </x:c>
      <x:c r="D33" s="167" t="n">
        <x:v>46310</x:v>
      </x:c>
      <x:c r="E33" s="167" t="n">
        <x:v>46312</x:v>
      </x:c>
      <x:c r="F33" s="167" t="n">
        <x:v>46315</x:v>
      </x:c>
      <x:c r="G33" s="167" t="n">
        <x:v>46319</x:v>
      </x:c>
      <x:c r="H33" s="167" t="n">
        <x:v>46323</x:v>
      </x:c>
      <x:c r="I33" s="167" t="n">
        <x:v>46299</x:v>
      </x:c>
      <x:c r="J33" s="167" t="n">
        <x:v>46302</x:v>
      </x:c>
      <x:c r="K33" s="167" t="n">
        <x:v>46305</x:v>
      </x:c>
      <x:c r="L33" s="167" t="n">
        <x:v>46307</x:v>
      </x:c>
      <x:c r="M33" s="167" t="n">
        <x:v>46306</x:v>
      </x:c>
      <x:c r="N33" s="167" t="n">
        <x:v>46344</x:v>
      </x:c>
      <x:c r="O33" s="167" t="n">
        <x:v>46388</x:v>
      </x:c>
      <x:c r="P33" s="59" t="inlineStr">
        <x:is>
          <x:t xml:space="preserve">crawl_sampling_master.xlsx</x:t>
        </x:is>
      </x:c>
    </x:row>
    <x:row r="34">
      <x:c r="A34" s="167" t="n">
        <x:v>46297</x:v>
      </x:c>
      <x:c r="B34" s="59" t="inlineStr">
        <x:is>
          <x:t xml:space="preserve">Thứ Sáu</x:t>
        </x:is>
      </x:c>
      <x:c r="C34" s="59" t="inlineStr">
        <x:is>
          <x:t xml:space="preserve">00:30</x:t>
        </x:is>
      </x:c>
      <x:c r="D34" s="167" t="n">
        <x:v>46310</x:v>
      </x:c>
      <x:c r="E34" s="167" t="n">
        <x:v>46312</x:v>
      </x:c>
      <x:c r="F34" s="167" t="n">
        <x:v>46315</x:v>
      </x:c>
      <x:c r="G34" s="167" t="n">
        <x:v>46319</x:v>
      </x:c>
      <x:c r="H34" s="167" t="n">
        <x:v>46323</x:v>
      </x:c>
      <x:c r="I34" s="167" t="n">
        <x:v>46299</x:v>
      </x:c>
      <x:c r="J34" s="167" t="n">
        <x:v>46302</x:v>
      </x:c>
      <x:c r="K34" s="167" t="n">
        <x:v>46305</x:v>
      </x:c>
      <x:c r="L34" s="167" t="n">
        <x:v>46307</x:v>
      </x:c>
      <x:c r="M34" s="167" t="n">
        <x:v>46306</x:v>
      </x:c>
      <x:c r="N34" s="167" t="n">
        <x:v>46344</x:v>
      </x:c>
      <x:c r="O34" s="167" t="n">
        <x:v>46388</x:v>
      </x:c>
      <x:c r="P34" s="59" t="inlineStr">
        <x:is>
          <x:t xml:space="preserve">crawl_sampling_master.xlsx</x:t>
        </x:is>
      </x:c>
    </x:row>
    <x:row r="35">
      <x:c r="A35" s="167" t="n">
        <x:v>46298</x:v>
      </x:c>
      <x:c r="B35" s="59" t="inlineStr">
        <x:is>
          <x:t xml:space="preserve">Thứ Bảy</x:t>
        </x:is>
      </x:c>
      <x:c r="C35" s="59" t="inlineStr">
        <x:is>
          <x:t xml:space="preserve">00:30</x:t>
        </x:is>
      </x:c>
      <x:c r="D35" s="167" t="n">
        <x:v>46310</x:v>
      </x:c>
      <x:c r="E35" s="167" t="n">
        <x:v>46312</x:v>
      </x:c>
      <x:c r="F35" s="167" t="n">
        <x:v>46315</x:v>
      </x:c>
      <x:c r="G35" s="167" t="n">
        <x:v>46319</x:v>
      </x:c>
      <x:c r="H35" s="167" t="n">
        <x:v>46323</x:v>
      </x:c>
      <x:c r="I35" s="167" t="n">
        <x:v>46299</x:v>
      </x:c>
      <x:c r="J35" s="167" t="n">
        <x:v>46302</x:v>
      </x:c>
      <x:c r="K35" s="167" t="n">
        <x:v>46305</x:v>
      </x:c>
      <x:c r="L35" s="167" t="n">
        <x:v>46307</x:v>
      </x:c>
      <x:c r="M35" s="167" t="n">
        <x:v>46306</x:v>
      </x:c>
      <x:c r="N35" s="167" t="n">
        <x:v>46344</x:v>
      </x:c>
      <x:c r="O35" s="167" t="n">
        <x:v>46388</x:v>
      </x:c>
      <x:c r="P35" s="59" t="inlineStr">
        <x:is>
          <x:t xml:space="preserve">crawl_sampling_master.xlsx</x:t>
        </x:is>
      </x:c>
    </x:row>
    <x:row r="36">
      <x:c r="A36" s="167" t="n">
        <x:v>46299</x:v>
      </x:c>
      <x:c r="B36" s="59" t="inlineStr">
        <x:is>
          <x:t xml:space="preserve">Chủ Nhật</x:t>
        </x:is>
      </x:c>
      <x:c r="C36" s="59" t="inlineStr">
        <x:is>
          <x:t xml:space="preserve">00:30</x:t>
        </x:is>
      </x:c>
      <x:c r="D36" s="167" t="n">
        <x:v>46310</x:v>
      </x:c>
      <x:c r="E36" s="167" t="n">
        <x:v>46312</x:v>
      </x:c>
      <x:c r="F36" s="167" t="n">
        <x:v>46315</x:v>
      </x:c>
      <x:c r="G36" s="167" t="n">
        <x:v>46319</x:v>
      </x:c>
      <x:c r="H36" s="167" t="n">
        <x:v>46323</x:v>
      </x:c>
      <x:c r="I36" s="167" t="n">
        <x:v>46299</x:v>
      </x:c>
      <x:c r="J36" s="167" t="n">
        <x:v>46302</x:v>
      </x:c>
      <x:c r="K36" s="167" t="n">
        <x:v>46305</x:v>
      </x:c>
      <x:c r="L36" s="167" t="n">
        <x:v>46307</x:v>
      </x:c>
      <x:c r="M36" s="167" t="n">
        <x:v>46306</x:v>
      </x:c>
      <x:c r="N36" s="167" t="n">
        <x:v>46344</x:v>
      </x:c>
      <x:c r="O36" s="167" t="n">
        <x:v>46388</x:v>
      </x:c>
      <x:c r="P36" s="59" t="inlineStr">
        <x:is>
          <x:t xml:space="preserve">crawl_sampling_master.xlsx</x:t>
        </x:is>
      </x:c>
    </x:row>
    <x:row r="37">
      <x:c r="A37" s="167" t="n">
        <x:v>46300</x:v>
      </x:c>
      <x:c r="B37" s="59" t="inlineStr">
        <x:is>
          <x:t xml:space="preserve">Thứ Hai</x:t>
        </x:is>
      </x:c>
      <x:c r="C37" s="59" t="inlineStr">
        <x:is>
          <x:t xml:space="preserve">00:30</x:t>
        </x:is>
      </x:c>
      <x:c r="D37" s="167" t="n">
        <x:v>46310</x:v>
      </x:c>
      <x:c r="E37" s="167" t="n">
        <x:v>46312</x:v>
      </x:c>
      <x:c r="F37" s="167" t="n">
        <x:v>46315</x:v>
      </x:c>
      <x:c r="G37" s="167" t="n">
        <x:v>46319</x:v>
      </x:c>
      <x:c r="H37" s="167" t="n">
        <x:v>46323</x:v>
      </x:c>
      <x:c r="I37" s="167" t="n">
        <x:v>46327</x:v>
      </x:c>
      <x:c r="J37" s="167" t="n">
        <x:v>46302</x:v>
      </x:c>
      <x:c r="K37" s="167" t="n">
        <x:v>46305</x:v>
      </x:c>
      <x:c r="L37" s="167" t="n">
        <x:v>46307</x:v>
      </x:c>
      <x:c r="M37" s="167" t="n">
        <x:v>46306</x:v>
      </x:c>
      <x:c r="N37" s="167" t="n">
        <x:v>46344</x:v>
      </x:c>
      <x:c r="O37" s="167" t="n">
        <x:v>46388</x:v>
      </x:c>
      <x:c r="P37" s="59" t="inlineStr">
        <x:is>
          <x:t xml:space="preserve">crawl_sampling_master.xlsx</x:t>
        </x:is>
      </x:c>
    </x:row>
    <x:row r="38">
      <x:c r="A38" s="167" t="n">
        <x:v>46301</x:v>
      </x:c>
      <x:c r="B38" s="59" t="inlineStr">
        <x:is>
          <x:t xml:space="preserve">Thứ Ba</x:t>
        </x:is>
      </x:c>
      <x:c r="C38" s="59" t="inlineStr">
        <x:is>
          <x:t xml:space="preserve">00:30</x:t>
        </x:is>
      </x:c>
      <x:c r="D38" s="167" t="n">
        <x:v>46310</x:v>
      </x:c>
      <x:c r="E38" s="167" t="n">
        <x:v>46312</x:v>
      </x:c>
      <x:c r="F38" s="167" t="n">
        <x:v>46315</x:v>
      </x:c>
      <x:c r="G38" s="167" t="n">
        <x:v>46319</x:v>
      </x:c>
      <x:c r="H38" s="167" t="n">
        <x:v>46323</x:v>
      </x:c>
      <x:c r="I38" s="167" t="n">
        <x:v>46327</x:v>
      </x:c>
      <x:c r="J38" s="167" t="n">
        <x:v>46302</x:v>
      </x:c>
      <x:c r="K38" s="167" t="n">
        <x:v>46305</x:v>
      </x:c>
      <x:c r="L38" s="167" t="n">
        <x:v>46307</x:v>
      </x:c>
      <x:c r="M38" s="167" t="n">
        <x:v>46306</x:v>
      </x:c>
      <x:c r="N38" s="167" t="n">
        <x:v>46344</x:v>
      </x:c>
      <x:c r="O38" s="167" t="n">
        <x:v>46388</x:v>
      </x:c>
      <x:c r="P38" s="59" t="inlineStr">
        <x:is>
          <x:t xml:space="preserve">crawl_sampling_master.xlsx</x:t>
        </x:is>
      </x:c>
    </x:row>
    <x:row r="39">
      <x:c r="A39" s="167" t="n">
        <x:v>46302</x:v>
      </x:c>
      <x:c r="B39" s="59" t="inlineStr">
        <x:is>
          <x:t xml:space="preserve">Thứ Tư</x:t>
        </x:is>
      </x:c>
      <x:c r="C39" s="59" t="inlineStr">
        <x:is>
          <x:t xml:space="preserve">00:30</x:t>
        </x:is>
      </x:c>
      <x:c r="D39" s="167" t="n">
        <x:v>46310</x:v>
      </x:c>
      <x:c r="E39" s="167" t="n">
        <x:v>46312</x:v>
      </x:c>
      <x:c r="F39" s="167" t="n">
        <x:v>46315</x:v>
      </x:c>
      <x:c r="G39" s="167" t="n">
        <x:v>46319</x:v>
      </x:c>
      <x:c r="H39" s="167" t="n">
        <x:v>46323</x:v>
      </x:c>
      <x:c r="I39" s="167" t="n">
        <x:v>46327</x:v>
      </x:c>
      <x:c r="J39" s="167" t="n">
        <x:v>46302</x:v>
      </x:c>
      <x:c r="K39" s="167" t="n">
        <x:v>46305</x:v>
      </x:c>
      <x:c r="L39" s="167" t="n">
        <x:v>46307</x:v>
      </x:c>
      <x:c r="M39" s="167" t="n">
        <x:v>46306</x:v>
      </x:c>
      <x:c r="N39" s="167" t="n">
        <x:v>46344</x:v>
      </x:c>
      <x:c r="O39" s="167" t="n">
        <x:v>46388</x:v>
      </x:c>
      <x:c r="P39" s="59" t="inlineStr">
        <x:is>
          <x:t xml:space="preserve">crawl_sampling_master.xlsx</x:t>
        </x:is>
      </x:c>
    </x:row>
    <x:row r="40">
      <x:c r="A40" s="167" t="n">
        <x:v>46303</x:v>
      </x:c>
      <x:c r="B40" s="59" t="inlineStr">
        <x:is>
          <x:t xml:space="preserve">Thứ Năm</x:t>
        </x:is>
      </x:c>
      <x:c r="C40" s="59" t="inlineStr">
        <x:is>
          <x:t xml:space="preserve">00:30</x:t>
        </x:is>
      </x:c>
      <x:c r="D40" s="167" t="n">
        <x:v>46310</x:v>
      </x:c>
      <x:c r="E40" s="167" t="n">
        <x:v>46312</x:v>
      </x:c>
      <x:c r="F40" s="167" t="n">
        <x:v>46315</x:v>
      </x:c>
      <x:c r="G40" s="167" t="n">
        <x:v>46319</x:v>
      </x:c>
      <x:c r="H40" s="167" t="n">
        <x:v>46323</x:v>
      </x:c>
      <x:c r="I40" s="167" t="n">
        <x:v>46327</x:v>
      </x:c>
      <x:c r="J40" s="167" t="n">
        <x:v>46330</x:v>
      </x:c>
      <x:c r="K40" s="167" t="n">
        <x:v>46305</x:v>
      </x:c>
      <x:c r="L40" s="167" t="n">
        <x:v>46307</x:v>
      </x:c>
      <x:c r="M40" s="167" t="n">
        <x:v>46306</x:v>
      </x:c>
      <x:c r="N40" s="167" t="n">
        <x:v>46344</x:v>
      </x:c>
      <x:c r="O40" s="167" t="n">
        <x:v>46388</x:v>
      </x:c>
      <x:c r="P40" s="59" t="inlineStr">
        <x:is>
          <x:t xml:space="preserve">crawl_sampling_master.xlsx</x:t>
        </x:is>
      </x:c>
    </x:row>
    <x:row r="41">
      <x:c r="A41" s="167" t="n">
        <x:v>46304</x:v>
      </x:c>
      <x:c r="B41" s="59" t="inlineStr">
        <x:is>
          <x:t xml:space="preserve">Thứ Sáu</x:t>
        </x:is>
      </x:c>
      <x:c r="C41" s="59" t="inlineStr">
        <x:is>
          <x:t xml:space="preserve">00:30</x:t>
        </x:is>
      </x:c>
      <x:c r="D41" s="167" t="n">
        <x:v>46310</x:v>
      </x:c>
      <x:c r="E41" s="167" t="n">
        <x:v>46312</x:v>
      </x:c>
      <x:c r="F41" s="167" t="n">
        <x:v>46315</x:v>
      </x:c>
      <x:c r="G41" s="167" t="n">
        <x:v>46319</x:v>
      </x:c>
      <x:c r="H41" s="167" t="n">
        <x:v>46323</x:v>
      </x:c>
      <x:c r="I41" s="167" t="n">
        <x:v>46327</x:v>
      </x:c>
      <x:c r="J41" s="167" t="n">
        <x:v>46330</x:v>
      </x:c>
      <x:c r="K41" s="167" t="n">
        <x:v>46305</x:v>
      </x:c>
      <x:c r="L41" s="167" t="n">
        <x:v>46307</x:v>
      </x:c>
      <x:c r="M41" s="167" t="n">
        <x:v>46306</x:v>
      </x:c>
      <x:c r="N41" s="167" t="n">
        <x:v>46344</x:v>
      </x:c>
      <x:c r="O41" s="167" t="n">
        <x:v>46388</x:v>
      </x:c>
      <x:c r="P41" s="59" t="inlineStr">
        <x:is>
          <x:t xml:space="preserve">crawl_sampling_master.xlsx</x:t>
        </x:is>
      </x:c>
    </x:row>
    <x:row r="42">
      <x:c r="A42" s="167" t="n">
        <x:v>46305</x:v>
      </x:c>
      <x:c r="B42" s="59" t="inlineStr">
        <x:is>
          <x:t xml:space="preserve">Thứ Bảy</x:t>
        </x:is>
      </x:c>
      <x:c r="C42" s="59" t="inlineStr">
        <x:is>
          <x:t xml:space="preserve">00:30</x:t>
        </x:is>
      </x:c>
      <x:c r="D42" s="167" t="n">
        <x:v>46310</x:v>
      </x:c>
      <x:c r="E42" s="167" t="n">
        <x:v>46312</x:v>
      </x:c>
      <x:c r="F42" s="167" t="n">
        <x:v>46315</x:v>
      </x:c>
      <x:c r="G42" s="167" t="n">
        <x:v>46319</x:v>
      </x:c>
      <x:c r="H42" s="167" t="n">
        <x:v>46323</x:v>
      </x:c>
      <x:c r="I42" s="167" t="n">
        <x:v>46327</x:v>
      </x:c>
      <x:c r="J42" s="167" t="n">
        <x:v>46330</x:v>
      </x:c>
      <x:c r="K42" s="167" t="n">
        <x:v>46305</x:v>
      </x:c>
      <x:c r="L42" s="167" t="n">
        <x:v>46307</x:v>
      </x:c>
      <x:c r="M42" s="167" t="n">
        <x:v>46306</x:v>
      </x:c>
      <x:c r="N42" s="167" t="n">
        <x:v>46344</x:v>
      </x:c>
      <x:c r="O42" s="167" t="n">
        <x:v>46388</x:v>
      </x:c>
      <x:c r="P42" s="59" t="inlineStr">
        <x:is>
          <x:t xml:space="preserve">crawl_sampling_master.xlsx</x:t>
        </x:is>
      </x:c>
    </x:row>
    <x:row r="43">
      <x:c r="A43" s="167" t="n">
        <x:v>46306</x:v>
      </x:c>
      <x:c r="B43" s="59" t="inlineStr">
        <x:is>
          <x:t xml:space="preserve">Chủ Nhật</x:t>
        </x:is>
      </x:c>
      <x:c r="C43" s="59" t="inlineStr">
        <x:is>
          <x:t xml:space="preserve">00:30</x:t>
        </x:is>
      </x:c>
      <x:c r="D43" s="167" t="n">
        <x:v>46310</x:v>
      </x:c>
      <x:c r="E43" s="167" t="n">
        <x:v>46312</x:v>
      </x:c>
      <x:c r="F43" s="167" t="n">
        <x:v>46315</x:v>
      </x:c>
      <x:c r="G43" s="167" t="n">
        <x:v>46319</x:v>
      </x:c>
      <x:c r="H43" s="167" t="n">
        <x:v>46323</x:v>
      </x:c>
      <x:c r="I43" s="167" t="n">
        <x:v>46327</x:v>
      </x:c>
      <x:c r="J43" s="167" t="n">
        <x:v>46330</x:v>
      </x:c>
      <x:c r="K43" s="167" t="n">
        <x:v>46333</x:v>
      </x:c>
      <x:c r="L43" s="167" t="n">
        <x:v>46307</x:v>
      </x:c>
      <x:c r="M43" s="167" t="n">
        <x:v>46306</x:v>
      </x:c>
      <x:c r="N43" s="167" t="n">
        <x:v>46344</x:v>
      </x:c>
      <x:c r="O43" s="167" t="n">
        <x:v>46388</x:v>
      </x:c>
      <x:c r="P43" s="59" t="inlineStr">
        <x:is>
          <x:t xml:space="preserve">crawl_sampling_master.xlsx</x:t>
        </x:is>
      </x:c>
    </x:row>
    <x:row r="44">
      <x:c r="A44" s="167" t="n">
        <x:v>46307</x:v>
      </x:c>
      <x:c r="B44" s="59" t="inlineStr">
        <x:is>
          <x:t xml:space="preserve">Thứ Hai</x:t>
        </x:is>
      </x:c>
      <x:c r="C44" s="59" t="inlineStr">
        <x:is>
          <x:t xml:space="preserve">00:30</x:t>
        </x:is>
      </x:c>
      <x:c r="D44" s="167" t="n">
        <x:v>46310</x:v>
      </x:c>
      <x:c r="E44" s="167" t="n">
        <x:v>46312</x:v>
      </x:c>
      <x:c r="F44" s="167" t="n">
        <x:v>46315</x:v>
      </x:c>
      <x:c r="G44" s="167" t="n">
        <x:v>46319</x:v>
      </x:c>
      <x:c r="H44" s="167" t="n">
        <x:v>46323</x:v>
      </x:c>
      <x:c r="I44" s="167" t="n">
        <x:v>46327</x:v>
      </x:c>
      <x:c r="J44" s="167" t="n">
        <x:v>46330</x:v>
      </x:c>
      <x:c r="K44" s="167" t="n">
        <x:v>46333</x:v>
      </x:c>
      <x:c r="L44" s="167" t="n">
        <x:v>46307</x:v>
      </x:c>
      <x:c r="M44" s="167" t="n">
        <x:v>46362</x:v>
      </x:c>
      <x:c r="N44" s="167" t="n">
        <x:v>46344</x:v>
      </x:c>
      <x:c r="O44" s="167" t="n">
        <x:v>46388</x:v>
      </x:c>
      <x:c r="P44" s="59" t="inlineStr">
        <x:is>
          <x:t xml:space="preserve">crawl_sampling_master.xlsx</x:t>
        </x:is>
      </x:c>
    </x:row>
    <x:row r="45">
      <x:c r="A45" s="167" t="n">
        <x:v>46308</x:v>
      </x:c>
      <x:c r="B45" s="59" t="inlineStr">
        <x:is>
          <x:t xml:space="preserve">Thứ Ba</x:t>
        </x:is>
      </x:c>
      <x:c r="C45" s="59" t="inlineStr">
        <x:is>
          <x:t xml:space="preserve">00:30</x:t>
        </x:is>
      </x:c>
      <x:c r="D45" s="167" t="n">
        <x:v>46310</x:v>
      </x:c>
      <x:c r="E45" s="167" t="n">
        <x:v>46312</x:v>
      </x:c>
      <x:c r="F45" s="167" t="n">
        <x:v>46315</x:v>
      </x:c>
      <x:c r="G45" s="167" t="n">
        <x:v>46319</x:v>
      </x:c>
      <x:c r="H45" s="167" t="n">
        <x:v>46323</x:v>
      </x:c>
      <x:c r="I45" s="167" t="n">
        <x:v>46327</x:v>
      </x:c>
      <x:c r="J45" s="167" t="n">
        <x:v>46330</x:v>
      </x:c>
      <x:c r="K45" s="167" t="n">
        <x:v>46333</x:v>
      </x:c>
      <x:c r="L45" s="167" t="n">
        <x:v>46335</x:v>
      </x:c>
      <x:c r="M45" s="167" t="n">
        <x:v>46362</x:v>
      </x:c>
      <x:c r="N45" s="167" t="n">
        <x:v>46344</x:v>
      </x:c>
      <x:c r="O45" s="167" t="n">
        <x:v>46388</x:v>
      </x:c>
      <x:c r="P45" s="59" t="inlineStr">
        <x:is>
          <x:t xml:space="preserve">crawl_sampling_master.xlsx</x:t>
        </x:is>
      </x:c>
    </x:row>
    <x:row r="46">
      <x:c r="A46" s="167" t="n">
        <x:v>46309</x:v>
      </x:c>
      <x:c r="B46" s="59" t="inlineStr">
        <x:is>
          <x:t xml:space="preserve">Thứ Tư</x:t>
        </x:is>
      </x:c>
      <x:c r="C46" s="59" t="inlineStr">
        <x:is>
          <x:t xml:space="preserve">00:30</x:t>
        </x:is>
      </x:c>
      <x:c r="D46" s="167" t="n">
        <x:v>46310</x:v>
      </x:c>
      <x:c r="E46" s="167" t="n">
        <x:v>46312</x:v>
      </x:c>
      <x:c r="F46" s="167" t="n">
        <x:v>46315</x:v>
      </x:c>
      <x:c r="G46" s="167" t="n">
        <x:v>46319</x:v>
      </x:c>
      <x:c r="H46" s="167" t="n">
        <x:v>46323</x:v>
      </x:c>
      <x:c r="I46" s="167" t="n">
        <x:v>46327</x:v>
      </x:c>
      <x:c r="J46" s="167" t="n">
        <x:v>46330</x:v>
      </x:c>
      <x:c r="K46" s="167" t="n">
        <x:v>46333</x:v>
      </x:c>
      <x:c r="L46" s="167" t="n">
        <x:v>46335</x:v>
      </x:c>
      <x:c r="M46" s="167" t="n">
        <x:v>46362</x:v>
      </x:c>
      <x:c r="N46" s="167" t="n">
        <x:v>46344</x:v>
      </x:c>
      <x:c r="O46" s="167" t="n">
        <x:v>46388</x:v>
      </x:c>
      <x:c r="P46" s="59" t="inlineStr">
        <x:is>
          <x:t xml:space="preserve">crawl_sampling_master.xlsx</x:t>
        </x:is>
      </x:c>
    </x:row>
    <x:row r="47">
      <x:c r="A47" s="167" t="n">
        <x:v>46310</x:v>
      </x:c>
      <x:c r="B47" s="59" t="inlineStr">
        <x:is>
          <x:t xml:space="preserve">Thứ Năm</x:t>
        </x:is>
      </x:c>
      <x:c r="C47" s="59" t="inlineStr">
        <x:is>
          <x:t xml:space="preserve">00:30</x:t>
        </x:is>
      </x:c>
      <x:c r="D47" s="167" t="n">
        <x:v>46310</x:v>
      </x:c>
      <x:c r="E47" s="167" t="n">
        <x:v>46312</x:v>
      </x:c>
      <x:c r="F47" s="167" t="n">
        <x:v>46315</x:v>
      </x:c>
      <x:c r="G47" s="167" t="n">
        <x:v>46319</x:v>
      </x:c>
      <x:c r="H47" s="167" t="n">
        <x:v>46323</x:v>
      </x:c>
      <x:c r="I47" s="167" t="n">
        <x:v>46327</x:v>
      </x:c>
      <x:c r="J47" s="167" t="n">
        <x:v>46330</x:v>
      </x:c>
      <x:c r="K47" s="167" t="n">
        <x:v>46333</x:v>
      </x:c>
      <x:c r="L47" s="167" t="n">
        <x:v>46335</x:v>
      </x:c>
      <x:c r="M47" s="167" t="n">
        <x:v>46362</x:v>
      </x:c>
      <x:c r="N47" s="167" t="n">
        <x:v>46344</x:v>
      </x:c>
      <x:c r="O47" s="167" t="n">
        <x:v>46388</x:v>
      </x:c>
      <x:c r="P47" s="59" t="inlineStr">
        <x:is>
          <x:t xml:space="preserve">crawl_sampling_master.xlsx</x:t>
        </x:is>
      </x:c>
    </x:row>
    <x:row r="48">
      <x:c r="A48" s="167" t="n">
        <x:v>46311</x:v>
      </x:c>
      <x:c r="B48" s="59" t="inlineStr">
        <x:is>
          <x:t xml:space="preserve">Thứ Sáu</x:t>
        </x:is>
      </x:c>
      <x:c r="C48" s="59" t="inlineStr">
        <x:is>
          <x:t xml:space="preserve">00:30</x:t>
        </x:is>
      </x:c>
      <x:c r="D48" s="167" t="n">
        <x:v>46338</x:v>
      </x:c>
      <x:c r="E48" s="167" t="n">
        <x:v>46312</x:v>
      </x:c>
      <x:c r="F48" s="167" t="n">
        <x:v>46315</x:v>
      </x:c>
      <x:c r="G48" s="167" t="n">
        <x:v>46319</x:v>
      </x:c>
      <x:c r="H48" s="167" t="n">
        <x:v>46323</x:v>
      </x:c>
      <x:c r="I48" s="167" t="n">
        <x:v>46327</x:v>
      </x:c>
      <x:c r="J48" s="167" t="n">
        <x:v>46330</x:v>
      </x:c>
      <x:c r="K48" s="167" t="n">
        <x:v>46333</x:v>
      </x:c>
      <x:c r="L48" s="167" t="n">
        <x:v>46335</x:v>
      </x:c>
      <x:c r="M48" s="167" t="n">
        <x:v>46362</x:v>
      </x:c>
      <x:c r="N48" s="167" t="n">
        <x:v>46344</x:v>
      </x:c>
      <x:c r="O48" s="167" t="n">
        <x:v>46388</x:v>
      </x:c>
      <x:c r="P48" s="59" t="inlineStr">
        <x:is>
          <x:t xml:space="preserve">crawl_sampling_master.xlsx</x:t>
        </x:is>
      </x:c>
    </x:row>
    <x:row r="49">
      <x:c r="A49" s="167" t="n">
        <x:v>46312</x:v>
      </x:c>
      <x:c r="B49" s="59" t="inlineStr">
        <x:is>
          <x:t xml:space="preserve">Thứ Bảy</x:t>
        </x:is>
      </x:c>
      <x:c r="C49" s="59" t="inlineStr">
        <x:is>
          <x:t xml:space="preserve">00:30</x:t>
        </x:is>
      </x:c>
      <x:c r="D49" s="167" t="n">
        <x:v>46338</x:v>
      </x:c>
      <x:c r="E49" s="167" t="n">
        <x:v>46312</x:v>
      </x:c>
      <x:c r="F49" s="167" t="n">
        <x:v>46315</x:v>
      </x:c>
      <x:c r="G49" s="167" t="n">
        <x:v>46319</x:v>
      </x:c>
      <x:c r="H49" s="167" t="n">
        <x:v>46323</x:v>
      </x:c>
      <x:c r="I49" s="167" t="n">
        <x:v>46327</x:v>
      </x:c>
      <x:c r="J49" s="167" t="n">
        <x:v>46330</x:v>
      </x:c>
      <x:c r="K49" s="167" t="n">
        <x:v>46333</x:v>
      </x:c>
      <x:c r="L49" s="167" t="n">
        <x:v>46335</x:v>
      </x:c>
      <x:c r="M49" s="167" t="n">
        <x:v>46362</x:v>
      </x:c>
      <x:c r="N49" s="167" t="n">
        <x:v>46344</x:v>
      </x:c>
      <x:c r="O49" s="167" t="n">
        <x:v>46388</x:v>
      </x:c>
      <x:c r="P49" s="59" t="inlineStr">
        <x:is>
          <x:t xml:space="preserve">crawl_sampling_master.xlsx</x:t>
        </x:is>
      </x:c>
    </x:row>
    <x:row r="50">
      <x:c r="A50" s="167" t="n">
        <x:v>46313</x:v>
      </x:c>
      <x:c r="B50" s="59" t="inlineStr">
        <x:is>
          <x:t xml:space="preserve">Chủ Nhật</x:t>
        </x:is>
      </x:c>
      <x:c r="C50" s="59" t="inlineStr">
        <x:is>
          <x:t xml:space="preserve">00:30</x:t>
        </x:is>
      </x:c>
      <x:c r="D50" s="167" t="n">
        <x:v>46338</x:v>
      </x:c>
      <x:c r="E50" s="167" t="n">
        <x:v>46340</x:v>
      </x:c>
      <x:c r="F50" s="167" t="n">
        <x:v>46315</x:v>
      </x:c>
      <x:c r="G50" s="167" t="n">
        <x:v>46319</x:v>
      </x:c>
      <x:c r="H50" s="167" t="n">
        <x:v>46323</x:v>
      </x:c>
      <x:c r="I50" s="167" t="n">
        <x:v>46327</x:v>
      </x:c>
      <x:c r="J50" s="167" t="n">
        <x:v>46330</x:v>
      </x:c>
      <x:c r="K50" s="167" t="n">
        <x:v>46333</x:v>
      </x:c>
      <x:c r="L50" s="167" t="n">
        <x:v>46335</x:v>
      </x:c>
      <x:c r="M50" s="167" t="n">
        <x:v>46362</x:v>
      </x:c>
      <x:c r="N50" s="167" t="n">
        <x:v>46344</x:v>
      </x:c>
      <x:c r="O50" s="167" t="n">
        <x:v>46388</x:v>
      </x:c>
      <x:c r="P50" s="59" t="inlineStr">
        <x:is>
          <x:t xml:space="preserve">crawl_sampling_master.xlsx</x:t>
        </x:is>
      </x:c>
    </x:row>
    <x:row r="51">
      <x:c r="A51" s="167" t="n">
        <x:v>46314</x:v>
      </x:c>
      <x:c r="B51" s="59" t="inlineStr">
        <x:is>
          <x:t xml:space="preserve">Thứ Hai</x:t>
        </x:is>
      </x:c>
      <x:c r="C51" s="59" t="inlineStr">
        <x:is>
          <x:t xml:space="preserve">00:30</x:t>
        </x:is>
      </x:c>
      <x:c r="D51" s="167" t="n">
        <x:v>46338</x:v>
      </x:c>
      <x:c r="E51" s="167" t="n">
        <x:v>46340</x:v>
      </x:c>
      <x:c r="F51" s="167" t="n">
        <x:v>46315</x:v>
      </x:c>
      <x:c r="G51" s="167" t="n">
        <x:v>46319</x:v>
      </x:c>
      <x:c r="H51" s="167" t="n">
        <x:v>46323</x:v>
      </x:c>
      <x:c r="I51" s="167" t="n">
        <x:v>46327</x:v>
      </x:c>
      <x:c r="J51" s="167" t="n">
        <x:v>46330</x:v>
      </x:c>
      <x:c r="K51" s="167" t="n">
        <x:v>46333</x:v>
      </x:c>
      <x:c r="L51" s="167" t="n">
        <x:v>46335</x:v>
      </x:c>
      <x:c r="M51" s="167" t="n">
        <x:v>46362</x:v>
      </x:c>
      <x:c r="N51" s="167" t="n">
        <x:v>46344</x:v>
      </x:c>
      <x:c r="O51" s="167" t="n">
        <x:v>46388</x:v>
      </x:c>
      <x:c r="P51" s="59" t="inlineStr">
        <x:is>
          <x:t xml:space="preserve">crawl_sampling_master.xlsx</x:t>
        </x:is>
      </x:c>
    </x:row>
    <x:row r="52">
      <x:c r="A52" s="167" t="n">
        <x:v>46315</x:v>
      </x:c>
      <x:c r="B52" s="59" t="inlineStr">
        <x:is>
          <x:t xml:space="preserve">Thứ Ba</x:t>
        </x:is>
      </x:c>
      <x:c r="C52" s="59" t="inlineStr">
        <x:is>
          <x:t xml:space="preserve">00:30</x:t>
        </x:is>
      </x:c>
      <x:c r="D52" s="167" t="n">
        <x:v>46338</x:v>
      </x:c>
      <x:c r="E52" s="167" t="n">
        <x:v>46340</x:v>
      </x:c>
      <x:c r="F52" s="167" t="n">
        <x:v>46315</x:v>
      </x:c>
      <x:c r="G52" s="167" t="n">
        <x:v>46319</x:v>
      </x:c>
      <x:c r="H52" s="167" t="n">
        <x:v>46323</x:v>
      </x:c>
      <x:c r="I52" s="167" t="n">
        <x:v>46327</x:v>
      </x:c>
      <x:c r="J52" s="167" t="n">
        <x:v>46330</x:v>
      </x:c>
      <x:c r="K52" s="167" t="n">
        <x:v>46333</x:v>
      </x:c>
      <x:c r="L52" s="167" t="n">
        <x:v>46335</x:v>
      </x:c>
      <x:c r="M52" s="167" t="n">
        <x:v>46362</x:v>
      </x:c>
      <x:c r="N52" s="167" t="n">
        <x:v>46344</x:v>
      </x:c>
      <x:c r="O52" s="167" t="n">
        <x:v>46388</x:v>
      </x:c>
      <x:c r="P52" s="59" t="inlineStr">
        <x:is>
          <x:t xml:space="preserve">crawl_sampling_master.xlsx</x:t>
        </x:is>
      </x:c>
    </x:row>
    <x:row r="53">
      <x:c r="A53" s="167" t="n">
        <x:v>46316</x:v>
      </x:c>
      <x:c r="B53" s="59" t="inlineStr">
        <x:is>
          <x:t xml:space="preserve">Thứ Tư</x:t>
        </x:is>
      </x:c>
      <x:c r="C53" s="59" t="inlineStr">
        <x:is>
          <x:t xml:space="preserve">00:30</x:t>
        </x:is>
      </x:c>
      <x:c r="D53" s="167" t="n">
        <x:v>46338</x:v>
      </x:c>
      <x:c r="E53" s="167" t="n">
        <x:v>46340</x:v>
      </x:c>
      <x:c r="F53" s="167" t="n">
        <x:v>46343</x:v>
      </x:c>
      <x:c r="G53" s="167" t="n">
        <x:v>46319</x:v>
      </x:c>
      <x:c r="H53" s="167" t="n">
        <x:v>46323</x:v>
      </x:c>
      <x:c r="I53" s="167" t="n">
        <x:v>46327</x:v>
      </x:c>
      <x:c r="J53" s="167" t="n">
        <x:v>46330</x:v>
      </x:c>
      <x:c r="K53" s="167" t="n">
        <x:v>46333</x:v>
      </x:c>
      <x:c r="L53" s="167" t="n">
        <x:v>46335</x:v>
      </x:c>
      <x:c r="M53" s="167" t="n">
        <x:v>46362</x:v>
      </x:c>
      <x:c r="N53" s="167" t="n">
        <x:v>46344</x:v>
      </x:c>
      <x:c r="O53" s="167" t="n">
        <x:v>46388</x:v>
      </x:c>
      <x:c r="P53" s="59" t="inlineStr">
        <x:is>
          <x:t xml:space="preserve">crawl_sampling_master.xlsx</x:t>
        </x:is>
      </x:c>
    </x:row>
    <x:row r="54">
      <x:c r="A54" s="167" t="n">
        <x:v>46317</x:v>
      </x:c>
      <x:c r="B54" s="59" t="inlineStr">
        <x:is>
          <x:t xml:space="preserve">Thứ Năm</x:t>
        </x:is>
      </x:c>
      <x:c r="C54" s="59" t="inlineStr">
        <x:is>
          <x:t xml:space="preserve">00:30</x:t>
        </x:is>
      </x:c>
      <x:c r="D54" s="167" t="n">
        <x:v>46338</x:v>
      </x:c>
      <x:c r="E54" s="167" t="n">
        <x:v>46340</x:v>
      </x:c>
      <x:c r="F54" s="167" t="n">
        <x:v>46343</x:v>
      </x:c>
      <x:c r="G54" s="167" t="n">
        <x:v>46319</x:v>
      </x:c>
      <x:c r="H54" s="167" t="n">
        <x:v>46323</x:v>
      </x:c>
      <x:c r="I54" s="167" t="n">
        <x:v>46327</x:v>
      </x:c>
      <x:c r="J54" s="167" t="n">
        <x:v>46330</x:v>
      </x:c>
      <x:c r="K54" s="167" t="n">
        <x:v>46333</x:v>
      </x:c>
      <x:c r="L54" s="167" t="n">
        <x:v>46335</x:v>
      </x:c>
      <x:c r="M54" s="167" t="n">
        <x:v>46362</x:v>
      </x:c>
      <x:c r="N54" s="167" t="n">
        <x:v>46344</x:v>
      </x:c>
      <x:c r="O54" s="167" t="n">
        <x:v>46388</x:v>
      </x:c>
      <x:c r="P54" s="59" t="inlineStr">
        <x:is>
          <x:t xml:space="preserve">crawl_sampling_master.xlsx</x:t>
        </x:is>
      </x:c>
    </x:row>
    <x:row r="55">
      <x:c r="A55" s="167" t="n">
        <x:v>46318</x:v>
      </x:c>
      <x:c r="B55" s="59" t="inlineStr">
        <x:is>
          <x:t xml:space="preserve">Thứ Sáu</x:t>
        </x:is>
      </x:c>
      <x:c r="C55" s="59" t="inlineStr">
        <x:is>
          <x:t xml:space="preserve">00:30</x:t>
        </x:is>
      </x:c>
      <x:c r="D55" s="167" t="n">
        <x:v>46338</x:v>
      </x:c>
      <x:c r="E55" s="167" t="n">
        <x:v>46340</x:v>
      </x:c>
      <x:c r="F55" s="167" t="n">
        <x:v>46343</x:v>
      </x:c>
      <x:c r="G55" s="167" t="n">
        <x:v>46319</x:v>
      </x:c>
      <x:c r="H55" s="167" t="n">
        <x:v>46323</x:v>
      </x:c>
      <x:c r="I55" s="167" t="n">
        <x:v>46327</x:v>
      </x:c>
      <x:c r="J55" s="167" t="n">
        <x:v>46330</x:v>
      </x:c>
      <x:c r="K55" s="167" t="n">
        <x:v>46333</x:v>
      </x:c>
      <x:c r="L55" s="167" t="n">
        <x:v>46335</x:v>
      </x:c>
      <x:c r="M55" s="167" t="n">
        <x:v>46362</x:v>
      </x:c>
      <x:c r="N55" s="167" t="n">
        <x:v>46344</x:v>
      </x:c>
      <x:c r="O55" s="167" t="n">
        <x:v>46388</x:v>
      </x:c>
      <x:c r="P55" s="59" t="inlineStr">
        <x:is>
          <x:t xml:space="preserve">crawl_sampling_master.xlsx</x:t>
        </x:is>
      </x:c>
    </x:row>
    <x:row r="56">
      <x:c r="A56" s="167" t="n">
        <x:v>46319</x:v>
      </x:c>
      <x:c r="B56" s="59" t="inlineStr">
        <x:is>
          <x:t xml:space="preserve">Thứ Bảy</x:t>
        </x:is>
      </x:c>
      <x:c r="C56" s="59" t="inlineStr">
        <x:is>
          <x:t xml:space="preserve">00:30</x:t>
        </x:is>
      </x:c>
      <x:c r="D56" s="167" t="n">
        <x:v>46338</x:v>
      </x:c>
      <x:c r="E56" s="167" t="n">
        <x:v>46340</x:v>
      </x:c>
      <x:c r="F56" s="167" t="n">
        <x:v>46343</x:v>
      </x:c>
      <x:c r="G56" s="167" t="n">
        <x:v>46319</x:v>
      </x:c>
      <x:c r="H56" s="167" t="n">
        <x:v>46323</x:v>
      </x:c>
      <x:c r="I56" s="167" t="n">
        <x:v>46327</x:v>
      </x:c>
      <x:c r="J56" s="167" t="n">
        <x:v>46330</x:v>
      </x:c>
      <x:c r="K56" s="167" t="n">
        <x:v>46333</x:v>
      </x:c>
      <x:c r="L56" s="167" t="n">
        <x:v>46335</x:v>
      </x:c>
      <x:c r="M56" s="167" t="n">
        <x:v>46362</x:v>
      </x:c>
      <x:c r="N56" s="167" t="n">
        <x:v>46344</x:v>
      </x:c>
      <x:c r="O56" s="167" t="n">
        <x:v>46388</x:v>
      </x:c>
      <x:c r="P56" s="59" t="inlineStr">
        <x:is>
          <x:t xml:space="preserve">crawl_sampling_master.xlsx</x:t>
        </x:is>
      </x:c>
    </x:row>
    <x:row r="57">
      <x:c r="A57" s="167" t="n">
        <x:v>46320</x:v>
      </x:c>
      <x:c r="B57" s="59" t="inlineStr">
        <x:is>
          <x:t xml:space="preserve">Chủ Nhật</x:t>
        </x:is>
      </x:c>
      <x:c r="C57" s="59" t="inlineStr">
        <x:is>
          <x:t xml:space="preserve">00:30</x:t>
        </x:is>
      </x:c>
      <x:c r="D57" s="167" t="n">
        <x:v>46338</x:v>
      </x:c>
      <x:c r="E57" s="167" t="n">
        <x:v>46340</x:v>
      </x:c>
      <x:c r="F57" s="167" t="n">
        <x:v>46343</x:v>
      </x:c>
      <x:c r="G57" s="167" t="n">
        <x:v>46347</x:v>
      </x:c>
      <x:c r="H57" s="167" t="n">
        <x:v>46323</x:v>
      </x:c>
      <x:c r="I57" s="167" t="n">
        <x:v>46327</x:v>
      </x:c>
      <x:c r="J57" s="167" t="n">
        <x:v>46330</x:v>
      </x:c>
      <x:c r="K57" s="167" t="n">
        <x:v>46333</x:v>
      </x:c>
      <x:c r="L57" s="167" t="n">
        <x:v>46335</x:v>
      </x:c>
      <x:c r="M57" s="167" t="n">
        <x:v>46362</x:v>
      </x:c>
      <x:c r="N57" s="167" t="n">
        <x:v>46344</x:v>
      </x:c>
      <x:c r="O57" s="167" t="n">
        <x:v>46388</x:v>
      </x:c>
      <x:c r="P57" s="59" t="inlineStr">
        <x:is>
          <x:t xml:space="preserve">crawl_sampling_master.xlsx</x:t>
        </x:is>
      </x:c>
    </x:row>
    <x:row r="58">
      <x:c r="A58" s="167" t="n">
        <x:v>46321</x:v>
      </x:c>
      <x:c r="B58" s="59" t="inlineStr">
        <x:is>
          <x:t xml:space="preserve">Thứ Hai</x:t>
        </x:is>
      </x:c>
      <x:c r="C58" s="59" t="inlineStr">
        <x:is>
          <x:t xml:space="preserve">00:30</x:t>
        </x:is>
      </x:c>
      <x:c r="D58" s="167" t="n">
        <x:v>46338</x:v>
      </x:c>
      <x:c r="E58" s="167" t="n">
        <x:v>46340</x:v>
      </x:c>
      <x:c r="F58" s="167" t="n">
        <x:v>46343</x:v>
      </x:c>
      <x:c r="G58" s="167" t="n">
        <x:v>46347</x:v>
      </x:c>
      <x:c r="H58" s="167" t="n">
        <x:v>46323</x:v>
      </x:c>
      <x:c r="I58" s="167" t="n">
        <x:v>46327</x:v>
      </x:c>
      <x:c r="J58" s="167" t="n">
        <x:v>46330</x:v>
      </x:c>
      <x:c r="K58" s="167" t="n">
        <x:v>46333</x:v>
      </x:c>
      <x:c r="L58" s="167" t="n">
        <x:v>46335</x:v>
      </x:c>
      <x:c r="M58" s="167" t="n">
        <x:v>46362</x:v>
      </x:c>
      <x:c r="N58" s="167" t="n">
        <x:v>46344</x:v>
      </x:c>
      <x:c r="O58" s="167" t="n">
        <x:v>46388</x:v>
      </x:c>
      <x:c r="P58" s="59" t="inlineStr">
        <x:is>
          <x:t xml:space="preserve">crawl_sampling_master.xlsx</x:t>
        </x:is>
      </x:c>
    </x:row>
    <x:row r="59">
      <x:c r="A59" s="167" t="n">
        <x:v>46322</x:v>
      </x:c>
      <x:c r="B59" s="59" t="inlineStr">
        <x:is>
          <x:t xml:space="preserve">Thứ Ba</x:t>
        </x:is>
      </x:c>
      <x:c r="C59" s="59" t="inlineStr">
        <x:is>
          <x:t xml:space="preserve">00:30</x:t>
        </x:is>
      </x:c>
      <x:c r="D59" s="167" t="n">
        <x:v>46338</x:v>
      </x:c>
      <x:c r="E59" s="167" t="n">
        <x:v>46340</x:v>
      </x:c>
      <x:c r="F59" s="167" t="n">
        <x:v>46343</x:v>
      </x:c>
      <x:c r="G59" s="167" t="n">
        <x:v>46347</x:v>
      </x:c>
      <x:c r="H59" s="167" t="n">
        <x:v>46323</x:v>
      </x:c>
      <x:c r="I59" s="167" t="n">
        <x:v>46327</x:v>
      </x:c>
      <x:c r="J59" s="167" t="n">
        <x:v>46330</x:v>
      </x:c>
      <x:c r="K59" s="167" t="n">
        <x:v>46333</x:v>
      </x:c>
      <x:c r="L59" s="167" t="n">
        <x:v>46335</x:v>
      </x:c>
      <x:c r="M59" s="167" t="n">
        <x:v>46362</x:v>
      </x:c>
      <x:c r="N59" s="167" t="n">
        <x:v>46344</x:v>
      </x:c>
      <x:c r="O59" s="167" t="n">
        <x:v>46388</x:v>
      </x:c>
      <x:c r="P59" s="59" t="inlineStr">
        <x:is>
          <x:t xml:space="preserve">crawl_sampling_master.xlsx</x:t>
        </x:is>
      </x:c>
    </x:row>
    <x:row r="60">
      <x:c r="A60" s="167" t="n">
        <x:v>46323</x:v>
      </x:c>
      <x:c r="B60" s="59" t="inlineStr">
        <x:is>
          <x:t xml:space="preserve">Thứ Tư</x:t>
        </x:is>
      </x:c>
      <x:c r="C60" s="59" t="inlineStr">
        <x:is>
          <x:t xml:space="preserve">00:30</x:t>
        </x:is>
      </x:c>
      <x:c r="D60" s="167" t="n">
        <x:v>46338</x:v>
      </x:c>
      <x:c r="E60" s="167" t="n">
        <x:v>46340</x:v>
      </x:c>
      <x:c r="F60" s="167" t="n">
        <x:v>46343</x:v>
      </x:c>
      <x:c r="G60" s="167" t="n">
        <x:v>46347</x:v>
      </x:c>
      <x:c r="H60" s="167" t="n">
        <x:v>46323</x:v>
      </x:c>
      <x:c r="I60" s="167" t="n">
        <x:v>46327</x:v>
      </x:c>
      <x:c r="J60" s="167" t="n">
        <x:v>46330</x:v>
      </x:c>
      <x:c r="K60" s="167" t="n">
        <x:v>46333</x:v>
      </x:c>
      <x:c r="L60" s="167" t="n">
        <x:v>46335</x:v>
      </x:c>
      <x:c r="M60" s="167" t="n">
        <x:v>46362</x:v>
      </x:c>
      <x:c r="N60" s="167" t="n">
        <x:v>46344</x:v>
      </x:c>
      <x:c r="O60" s="167" t="n">
        <x:v>46388</x:v>
      </x:c>
      <x:c r="P60" s="59" t="inlineStr">
        <x:is>
          <x:t xml:space="preserve">crawl_sampling_master.xlsx</x:t>
        </x:is>
      </x:c>
    </x:row>
    <x:row r="61">
      <x:c r="A61" s="167" t="n">
        <x:v>46324</x:v>
      </x:c>
      <x:c r="B61" s="59" t="inlineStr">
        <x:is>
          <x:t xml:space="preserve">Thứ Năm</x:t>
        </x:is>
      </x:c>
      <x:c r="C61" s="59" t="inlineStr">
        <x:is>
          <x:t xml:space="preserve">00:30</x:t>
        </x:is>
      </x:c>
      <x:c r="D61" s="167" t="n">
        <x:v>46338</x:v>
      </x:c>
      <x:c r="E61" s="167" t="n">
        <x:v>46340</x:v>
      </x:c>
      <x:c r="F61" s="167" t="n">
        <x:v>46343</x:v>
      </x:c>
      <x:c r="G61" s="167" t="n">
        <x:v>46347</x:v>
      </x:c>
      <x:c r="H61" s="167" t="n">
        <x:v>46351</x:v>
      </x:c>
      <x:c r="I61" s="167" t="n">
        <x:v>46327</x:v>
      </x:c>
      <x:c r="J61" s="167" t="n">
        <x:v>46330</x:v>
      </x:c>
      <x:c r="K61" s="167" t="n">
        <x:v>46333</x:v>
      </x:c>
      <x:c r="L61" s="167" t="n">
        <x:v>46335</x:v>
      </x:c>
      <x:c r="M61" s="167" t="n">
        <x:v>46362</x:v>
      </x:c>
      <x:c r="N61" s="167" t="n">
        <x:v>46344</x:v>
      </x:c>
      <x:c r="O61" s="167" t="n">
        <x:v>46388</x:v>
      </x:c>
      <x:c r="P61" s="59" t="inlineStr">
        <x:is>
          <x:t xml:space="preserve">crawl_sampling_master.xlsx</x:t>
        </x:is>
      </x:c>
    </x:row>
    <x:row r="62">
      <x:c r="A62" s="167" t="n">
        <x:v>46325</x:v>
      </x:c>
      <x:c r="B62" s="59" t="inlineStr">
        <x:is>
          <x:t xml:space="preserve">Thứ Sáu</x:t>
        </x:is>
      </x:c>
      <x:c r="C62" s="59" t="inlineStr">
        <x:is>
          <x:t xml:space="preserve">00:30</x:t>
        </x:is>
      </x:c>
      <x:c r="D62" s="167" t="n">
        <x:v>46338</x:v>
      </x:c>
      <x:c r="E62" s="167" t="n">
        <x:v>46340</x:v>
      </x:c>
      <x:c r="F62" s="167" t="n">
        <x:v>46343</x:v>
      </x:c>
      <x:c r="G62" s="167" t="n">
        <x:v>46347</x:v>
      </x:c>
      <x:c r="H62" s="167" t="n">
        <x:v>46351</x:v>
      </x:c>
      <x:c r="I62" s="167" t="n">
        <x:v>46327</x:v>
      </x:c>
      <x:c r="J62" s="167" t="n">
        <x:v>46330</x:v>
      </x:c>
      <x:c r="K62" s="167" t="n">
        <x:v>46333</x:v>
      </x:c>
      <x:c r="L62" s="167" t="n">
        <x:v>46335</x:v>
      </x:c>
      <x:c r="M62" s="167" t="n">
        <x:v>46362</x:v>
      </x:c>
      <x:c r="N62" s="167" t="n">
        <x:v>46344</x:v>
      </x:c>
      <x:c r="O62" s="167" t="n">
        <x:v>46388</x:v>
      </x:c>
      <x:c r="P62" s="59" t="inlineStr">
        <x:is>
          <x:t xml:space="preserve">crawl_sampling_master.xlsx</x:t>
        </x:is>
      </x:c>
    </x:row>
    <x:row r="63">
      <x:c r="A63" s="167" t="n">
        <x:v>46326</x:v>
      </x:c>
      <x:c r="B63" s="59" t="inlineStr">
        <x:is>
          <x:t xml:space="preserve">Thứ Bảy</x:t>
        </x:is>
      </x:c>
      <x:c r="C63" s="59" t="inlineStr">
        <x:is>
          <x:t xml:space="preserve">00:30</x:t>
        </x:is>
      </x:c>
      <x:c r="D63" s="167" t="n">
        <x:v>46338</x:v>
      </x:c>
      <x:c r="E63" s="167" t="n">
        <x:v>46340</x:v>
      </x:c>
      <x:c r="F63" s="167" t="n">
        <x:v>46343</x:v>
      </x:c>
      <x:c r="G63" s="167" t="n">
        <x:v>46347</x:v>
      </x:c>
      <x:c r="H63" s="167" t="n">
        <x:v>46351</x:v>
      </x:c>
      <x:c r="I63" s="167" t="n">
        <x:v>46327</x:v>
      </x:c>
      <x:c r="J63" s="167" t="n">
        <x:v>46330</x:v>
      </x:c>
      <x:c r="K63" s="167" t="n">
        <x:v>46333</x:v>
      </x:c>
      <x:c r="L63" s="167" t="n">
        <x:v>46335</x:v>
      </x:c>
      <x:c r="M63" s="167" t="n">
        <x:v>46362</x:v>
      </x:c>
      <x:c r="N63" s="167" t="n">
        <x:v>46344</x:v>
      </x:c>
      <x:c r="O63" s="167" t="n">
        <x:v>46388</x:v>
      </x:c>
      <x:c r="P63" s="59" t="inlineStr">
        <x:is>
          <x:t xml:space="preserve">crawl_sampling_master.xlsx</x:t>
        </x:is>
      </x:c>
    </x:row>
    <x:row r="64">
      <x:c r="A64" s="167" t="n">
        <x:v>46327</x:v>
      </x:c>
      <x:c r="B64" s="59" t="inlineStr">
        <x:is>
          <x:t xml:space="preserve">Chủ Nhật</x:t>
        </x:is>
      </x:c>
      <x:c r="C64" s="59" t="inlineStr">
        <x:is>
          <x:t xml:space="preserve">00:30</x:t>
        </x:is>
      </x:c>
      <x:c r="D64" s="167" t="n">
        <x:v>46338</x:v>
      </x:c>
      <x:c r="E64" s="167" t="n">
        <x:v>46340</x:v>
      </x:c>
      <x:c r="F64" s="167" t="n">
        <x:v>46343</x:v>
      </x:c>
      <x:c r="G64" s="167" t="n">
        <x:v>46347</x:v>
      </x:c>
      <x:c r="H64" s="167" t="n">
        <x:v>46351</x:v>
      </x:c>
      <x:c r="I64" s="167" t="n">
        <x:v>46327</x:v>
      </x:c>
      <x:c r="J64" s="167" t="n">
        <x:v>46330</x:v>
      </x:c>
      <x:c r="K64" s="167" t="n">
        <x:v>46333</x:v>
      </x:c>
      <x:c r="L64" s="167" t="n">
        <x:v>46335</x:v>
      </x:c>
      <x:c r="M64" s="167" t="n">
        <x:v>46362</x:v>
      </x:c>
      <x:c r="N64" s="167" t="n">
        <x:v>46344</x:v>
      </x:c>
      <x:c r="O64" s="167" t="n">
        <x:v>46388</x:v>
      </x:c>
      <x:c r="P64" s="59" t="inlineStr">
        <x:is>
          <x:t xml:space="preserve">crawl_sampling_master.xlsx</x:t>
        </x:is>
      </x:c>
    </x:row>
    <x:row r="65">
      <x:c r="A65" s="167" t="n">
        <x:v>46328</x:v>
      </x:c>
      <x:c r="B65" s="59" t="inlineStr">
        <x:is>
          <x:t xml:space="preserve">Thứ Hai</x:t>
        </x:is>
      </x:c>
      <x:c r="C65" s="59" t="inlineStr">
        <x:is>
          <x:t xml:space="preserve">00:30</x:t>
        </x:is>
      </x:c>
      <x:c r="D65" s="167" t="n">
        <x:v>46338</x:v>
      </x:c>
      <x:c r="E65" s="167" t="n">
        <x:v>46340</x:v>
      </x:c>
      <x:c r="F65" s="167" t="n">
        <x:v>46343</x:v>
      </x:c>
      <x:c r="G65" s="167" t="n">
        <x:v>46347</x:v>
      </x:c>
      <x:c r="H65" s="167" t="n">
        <x:v>46351</x:v>
      </x:c>
      <x:c r="I65" s="167" t="n">
        <x:v>46355</x:v>
      </x:c>
      <x:c r="J65" s="167" t="n">
        <x:v>46330</x:v>
      </x:c>
      <x:c r="K65" s="167" t="n">
        <x:v>46333</x:v>
      </x:c>
      <x:c r="L65" s="167" t="n">
        <x:v>46335</x:v>
      </x:c>
      <x:c r="M65" s="167" t="n">
        <x:v>46362</x:v>
      </x:c>
      <x:c r="N65" s="167" t="n">
        <x:v>46344</x:v>
      </x:c>
      <x:c r="O65" s="167" t="n">
        <x:v>46388</x:v>
      </x:c>
      <x:c r="P65" s="59" t="inlineStr">
        <x:is>
          <x:t xml:space="preserve">crawl_sampling_master.xlsx</x:t>
        </x:is>
      </x:c>
    </x:row>
    <x:row r="66">
      <x:c r="A66" s="167" t="n">
        <x:v>46329</x:v>
      </x:c>
      <x:c r="B66" s="59" t="inlineStr">
        <x:is>
          <x:t xml:space="preserve">Thứ Ba</x:t>
        </x:is>
      </x:c>
      <x:c r="C66" s="59" t="inlineStr">
        <x:is>
          <x:t xml:space="preserve">00:30</x:t>
        </x:is>
      </x:c>
      <x:c r="D66" s="167" t="n">
        <x:v>46338</x:v>
      </x:c>
      <x:c r="E66" s="167" t="n">
        <x:v>46340</x:v>
      </x:c>
      <x:c r="F66" s="167" t="n">
        <x:v>46343</x:v>
      </x:c>
      <x:c r="G66" s="167" t="n">
        <x:v>46347</x:v>
      </x:c>
      <x:c r="H66" s="167" t="n">
        <x:v>46351</x:v>
      </x:c>
      <x:c r="I66" s="167" t="n">
        <x:v>46355</x:v>
      </x:c>
      <x:c r="J66" s="167" t="n">
        <x:v>46330</x:v>
      </x:c>
      <x:c r="K66" s="167" t="n">
        <x:v>46333</x:v>
      </x:c>
      <x:c r="L66" s="167" t="n">
        <x:v>46335</x:v>
      </x:c>
      <x:c r="M66" s="167" t="n">
        <x:v>46362</x:v>
      </x:c>
      <x:c r="N66" s="167" t="n">
        <x:v>46344</x:v>
      </x:c>
      <x:c r="O66" s="167" t="n">
        <x:v>46388</x:v>
      </x:c>
      <x:c r="P66" s="59" t="inlineStr">
        <x:is>
          <x:t xml:space="preserve">crawl_sampling_master.xlsx</x:t>
        </x:is>
      </x:c>
    </x:row>
    <x:row r="67">
      <x:c r="A67" s="167" t="n">
        <x:v>46330</x:v>
      </x:c>
      <x:c r="B67" s="59" t="inlineStr">
        <x:is>
          <x:t xml:space="preserve">Thứ Tư</x:t>
        </x:is>
      </x:c>
      <x:c r="C67" s="59" t="inlineStr">
        <x:is>
          <x:t xml:space="preserve">00:30</x:t>
        </x:is>
      </x:c>
      <x:c r="D67" s="167" t="n">
        <x:v>46338</x:v>
      </x:c>
      <x:c r="E67" s="167" t="n">
        <x:v>46340</x:v>
      </x:c>
      <x:c r="F67" s="167" t="n">
        <x:v>46343</x:v>
      </x:c>
      <x:c r="G67" s="167" t="n">
        <x:v>46347</x:v>
      </x:c>
      <x:c r="H67" s="167" t="n">
        <x:v>46351</x:v>
      </x:c>
      <x:c r="I67" s="167" t="n">
        <x:v>46355</x:v>
      </x:c>
      <x:c r="J67" s="167" t="n">
        <x:v>46330</x:v>
      </x:c>
      <x:c r="K67" s="167" t="n">
        <x:v>46333</x:v>
      </x:c>
      <x:c r="L67" s="167" t="n">
        <x:v>46335</x:v>
      </x:c>
      <x:c r="M67" s="167" t="n">
        <x:v>46362</x:v>
      </x:c>
      <x:c r="N67" s="167" t="n">
        <x:v>46344</x:v>
      </x:c>
      <x:c r="O67" s="167" t="n">
        <x:v>46388</x:v>
      </x:c>
      <x:c r="P67" s="59" t="inlineStr">
        <x:is>
          <x:t xml:space="preserve">crawl_sampling_master.xlsx</x:t>
        </x:is>
      </x:c>
    </x:row>
    <x:row r="68">
      <x:c r="A68" s="167" t="n">
        <x:v>46331</x:v>
      </x:c>
      <x:c r="B68" s="59" t="inlineStr">
        <x:is>
          <x:t xml:space="preserve">Thứ Năm</x:t>
        </x:is>
      </x:c>
      <x:c r="C68" s="59" t="inlineStr">
        <x:is>
          <x:t xml:space="preserve">00:30</x:t>
        </x:is>
      </x:c>
      <x:c r="D68" s="167" t="n">
        <x:v>46338</x:v>
      </x:c>
      <x:c r="E68" s="167" t="n">
        <x:v>46340</x:v>
      </x:c>
      <x:c r="F68" s="167" t="n">
        <x:v>46343</x:v>
      </x:c>
      <x:c r="G68" s="167" t="n">
        <x:v>46347</x:v>
      </x:c>
      <x:c r="H68" s="167" t="n">
        <x:v>46351</x:v>
      </x:c>
      <x:c r="I68" s="167" t="n">
        <x:v>46355</x:v>
      </x:c>
      <x:c r="J68" s="167" t="n">
        <x:v>46358</x:v>
      </x:c>
      <x:c r="K68" s="167" t="n">
        <x:v>46333</x:v>
      </x:c>
      <x:c r="L68" s="167" t="n">
        <x:v>46335</x:v>
      </x:c>
      <x:c r="M68" s="167" t="n">
        <x:v>46362</x:v>
      </x:c>
      <x:c r="N68" s="167" t="n">
        <x:v>46344</x:v>
      </x:c>
      <x:c r="O68" s="167" t="n">
        <x:v>46388</x:v>
      </x:c>
      <x:c r="P68" s="59" t="inlineStr">
        <x:is>
          <x:t xml:space="preserve">crawl_sampling_master.xlsx</x:t>
        </x:is>
      </x:c>
    </x:row>
    <x:row r="69">
      <x:c r="A69" s="167" t="n">
        <x:v>46332</x:v>
      </x:c>
      <x:c r="B69" s="59" t="inlineStr">
        <x:is>
          <x:t xml:space="preserve">Thứ Sáu</x:t>
        </x:is>
      </x:c>
      <x:c r="C69" s="59" t="inlineStr">
        <x:is>
          <x:t xml:space="preserve">00:30</x:t>
        </x:is>
      </x:c>
      <x:c r="D69" s="167" t="n">
        <x:v>46338</x:v>
      </x:c>
      <x:c r="E69" s="167" t="n">
        <x:v>46340</x:v>
      </x:c>
      <x:c r="F69" s="167" t="n">
        <x:v>46343</x:v>
      </x:c>
      <x:c r="G69" s="167" t="n">
        <x:v>46347</x:v>
      </x:c>
      <x:c r="H69" s="167" t="n">
        <x:v>46351</x:v>
      </x:c>
      <x:c r="I69" s="167" t="n">
        <x:v>46355</x:v>
      </x:c>
      <x:c r="J69" s="167" t="n">
        <x:v>46358</x:v>
      </x:c>
      <x:c r="K69" s="167" t="n">
        <x:v>46333</x:v>
      </x:c>
      <x:c r="L69" s="167" t="n">
        <x:v>46335</x:v>
      </x:c>
      <x:c r="M69" s="167" t="n">
        <x:v>46362</x:v>
      </x:c>
      <x:c r="N69" s="167" t="n">
        <x:v>46344</x:v>
      </x:c>
      <x:c r="O69" s="167" t="n">
        <x:v>46388</x:v>
      </x:c>
      <x:c r="P69" s="59" t="inlineStr">
        <x:is>
          <x:t xml:space="preserve">crawl_sampling_master.xlsx</x:t>
        </x:is>
      </x:c>
    </x:row>
    <x:row r="70">
      <x:c r="A70" s="167" t="n">
        <x:v>46333</x:v>
      </x:c>
      <x:c r="B70" s="59" t="inlineStr">
        <x:is>
          <x:t xml:space="preserve">Thứ Bảy</x:t>
        </x:is>
      </x:c>
      <x:c r="C70" s="59" t="inlineStr">
        <x:is>
          <x:t xml:space="preserve">00:30</x:t>
        </x:is>
      </x:c>
      <x:c r="D70" s="167" t="n">
        <x:v>46338</x:v>
      </x:c>
      <x:c r="E70" s="167" t="n">
        <x:v>46340</x:v>
      </x:c>
      <x:c r="F70" s="167" t="n">
        <x:v>46343</x:v>
      </x:c>
      <x:c r="G70" s="167" t="n">
        <x:v>46347</x:v>
      </x:c>
      <x:c r="H70" s="167" t="n">
        <x:v>46351</x:v>
      </x:c>
      <x:c r="I70" s="167" t="n">
        <x:v>46355</x:v>
      </x:c>
      <x:c r="J70" s="167" t="n">
        <x:v>46358</x:v>
      </x:c>
      <x:c r="K70" s="167" t="n">
        <x:v>46333</x:v>
      </x:c>
      <x:c r="L70" s="167" t="n">
        <x:v>46335</x:v>
      </x:c>
      <x:c r="M70" s="167" t="n">
        <x:v>46362</x:v>
      </x:c>
      <x:c r="N70" s="167" t="n">
        <x:v>46344</x:v>
      </x:c>
      <x:c r="O70" s="167" t="n">
        <x:v>46388</x:v>
      </x:c>
      <x:c r="P70" s="59" t="inlineStr">
        <x:is>
          <x:t xml:space="preserve">crawl_sampling_master.xlsx</x:t>
        </x:is>
      </x:c>
    </x:row>
    <x:row r="71">
      <x:c r="A71" s="167" t="n">
        <x:v>46334</x:v>
      </x:c>
      <x:c r="B71" s="59" t="inlineStr">
        <x:is>
          <x:t xml:space="preserve">Chủ Nhật</x:t>
        </x:is>
      </x:c>
      <x:c r="C71" s="59" t="inlineStr">
        <x:is>
          <x:t xml:space="preserve">00:30</x:t>
        </x:is>
      </x:c>
      <x:c r="D71" s="167" t="n">
        <x:v>46338</x:v>
      </x:c>
      <x:c r="E71" s="167" t="n">
        <x:v>46340</x:v>
      </x:c>
      <x:c r="F71" s="167" t="n">
        <x:v>46343</x:v>
      </x:c>
      <x:c r="G71" s="167" t="n">
        <x:v>46347</x:v>
      </x:c>
      <x:c r="H71" s="167" t="n">
        <x:v>46351</x:v>
      </x:c>
      <x:c r="I71" s="167" t="n">
        <x:v>46355</x:v>
      </x:c>
      <x:c r="J71" s="167" t="n">
        <x:v>46358</x:v>
      </x:c>
      <x:c r="K71" s="167" t="n">
        <x:v>46361</x:v>
      </x:c>
      <x:c r="L71" s="167" t="n">
        <x:v>46335</x:v>
      </x:c>
      <x:c r="M71" s="167" t="n">
        <x:v>46362</x:v>
      </x:c>
      <x:c r="N71" s="167" t="n">
        <x:v>46344</x:v>
      </x:c>
      <x:c r="O71" s="167" t="n">
        <x:v>46388</x:v>
      </x:c>
      <x:c r="P71" s="59" t="inlineStr">
        <x:is>
          <x:t xml:space="preserve">crawl_sampling_master.xlsx</x:t>
        </x:is>
      </x:c>
    </x:row>
    <x:row r="72">
      <x:c r="A72" s="167" t="n">
        <x:v>46335</x:v>
      </x:c>
      <x:c r="B72" s="59" t="inlineStr">
        <x:is>
          <x:t xml:space="preserve">Thứ Hai</x:t>
        </x:is>
      </x:c>
      <x:c r="C72" s="59" t="inlineStr">
        <x:is>
          <x:t xml:space="preserve">00:30</x:t>
        </x:is>
      </x:c>
      <x:c r="D72" s="167" t="n">
        <x:v>46338</x:v>
      </x:c>
      <x:c r="E72" s="167" t="n">
        <x:v>46340</x:v>
      </x:c>
      <x:c r="F72" s="167" t="n">
        <x:v>46343</x:v>
      </x:c>
      <x:c r="G72" s="167" t="n">
        <x:v>46347</x:v>
      </x:c>
      <x:c r="H72" s="167" t="n">
        <x:v>46351</x:v>
      </x:c>
      <x:c r="I72" s="167" t="n">
        <x:v>46355</x:v>
      </x:c>
      <x:c r="J72" s="167" t="n">
        <x:v>46358</x:v>
      </x:c>
      <x:c r="K72" s="167" t="n">
        <x:v>46361</x:v>
      </x:c>
      <x:c r="L72" s="167" t="n">
        <x:v>46335</x:v>
      </x:c>
      <x:c r="M72" s="167" t="n">
        <x:v>46362</x:v>
      </x:c>
      <x:c r="N72" s="167" t="n">
        <x:v>46344</x:v>
      </x:c>
      <x:c r="O72" s="167" t="n">
        <x:v>46388</x:v>
      </x:c>
      <x:c r="P72" s="59" t="inlineStr">
        <x:is>
          <x:t xml:space="preserve">crawl_sampling_master.xlsx</x:t>
        </x:is>
      </x:c>
    </x:row>
    <x:row r="73">
      <x:c r="A73" s="167" t="n">
        <x:v>46336</x:v>
      </x:c>
      <x:c r="B73" s="59" t="inlineStr">
        <x:is>
          <x:t xml:space="preserve">Thứ Ba</x:t>
        </x:is>
      </x:c>
      <x:c r="C73" s="59" t="inlineStr">
        <x:is>
          <x:t xml:space="preserve">00:30</x:t>
        </x:is>
      </x:c>
      <x:c r="D73" s="167" t="n">
        <x:v>46338</x:v>
      </x:c>
      <x:c r="E73" s="167" t="n">
        <x:v>46340</x:v>
      </x:c>
      <x:c r="F73" s="167" t="n">
        <x:v>46343</x:v>
      </x:c>
      <x:c r="G73" s="167" t="n">
        <x:v>46347</x:v>
      </x:c>
      <x:c r="H73" s="167" t="n">
        <x:v>46351</x:v>
      </x:c>
      <x:c r="I73" s="167" t="n">
        <x:v>46355</x:v>
      </x:c>
      <x:c r="J73" s="167" t="n">
        <x:v>46358</x:v>
      </x:c>
      <x:c r="K73" s="167" t="n">
        <x:v>46361</x:v>
      </x:c>
      <x:c r="L73" s="167" t="n">
        <x:v>46363</x:v>
      </x:c>
      <x:c r="M73" s="167" t="n">
        <x:v>46362</x:v>
      </x:c>
      <x:c r="N73" s="167" t="n">
        <x:v>46344</x:v>
      </x:c>
      <x:c r="O73" s="167" t="n">
        <x:v>46388</x:v>
      </x:c>
      <x:c r="P73" s="59" t="inlineStr">
        <x:is>
          <x:t xml:space="preserve">crawl_sampling_master.xlsx</x:t>
        </x:is>
      </x:c>
    </x:row>
    <x:row r="74">
      <x:c r="A74" s="167" t="n">
        <x:v>46337</x:v>
      </x:c>
      <x:c r="B74" s="59" t="inlineStr">
        <x:is>
          <x:t xml:space="preserve">Thứ Tư</x:t>
        </x:is>
      </x:c>
      <x:c r="C74" s="59" t="inlineStr">
        <x:is>
          <x:t xml:space="preserve">00:30</x:t>
        </x:is>
      </x:c>
      <x:c r="D74" s="167" t="n">
        <x:v>46338</x:v>
      </x:c>
      <x:c r="E74" s="167" t="n">
        <x:v>46340</x:v>
      </x:c>
      <x:c r="F74" s="167" t="n">
        <x:v>46343</x:v>
      </x:c>
      <x:c r="G74" s="167" t="n">
        <x:v>46347</x:v>
      </x:c>
      <x:c r="H74" s="167" t="n">
        <x:v>46351</x:v>
      </x:c>
      <x:c r="I74" s="167" t="n">
        <x:v>46355</x:v>
      </x:c>
      <x:c r="J74" s="167" t="n">
        <x:v>46358</x:v>
      </x:c>
      <x:c r="K74" s="167" t="n">
        <x:v>46361</x:v>
      </x:c>
      <x:c r="L74" s="167" t="n">
        <x:v>46363</x:v>
      </x:c>
      <x:c r="M74" s="167" t="n">
        <x:v>46362</x:v>
      </x:c>
      <x:c r="N74" s="167" t="n">
        <x:v>46344</x:v>
      </x:c>
      <x:c r="O74" s="167" t="n">
        <x:v>46388</x:v>
      </x:c>
      <x:c r="P74" s="59" t="inlineStr">
        <x:is>
          <x:t xml:space="preserve">crawl_sampling_master.xlsx</x:t>
        </x:is>
      </x:c>
    </x:row>
    <x:row r="75">
      <x:c r="A75" s="167" t="n">
        <x:v>46338</x:v>
      </x:c>
      <x:c r="B75" s="59" t="inlineStr">
        <x:is>
          <x:t xml:space="preserve">Thứ Năm</x:t>
        </x:is>
      </x:c>
      <x:c r="C75" s="59" t="inlineStr">
        <x:is>
          <x:t xml:space="preserve">00:30</x:t>
        </x:is>
      </x:c>
      <x:c r="D75" s="167" t="n">
        <x:v>46338</x:v>
      </x:c>
      <x:c r="E75" s="167" t="n">
        <x:v>46340</x:v>
      </x:c>
      <x:c r="F75" s="167" t="n">
        <x:v>46343</x:v>
      </x:c>
      <x:c r="G75" s="167" t="n">
        <x:v>46347</x:v>
      </x:c>
      <x:c r="H75" s="167" t="n">
        <x:v>46351</x:v>
      </x:c>
      <x:c r="I75" s="167" t="n">
        <x:v>46355</x:v>
      </x:c>
      <x:c r="J75" s="167" t="n">
        <x:v>46358</x:v>
      </x:c>
      <x:c r="K75" s="167" t="n">
        <x:v>46361</x:v>
      </x:c>
      <x:c r="L75" s="167" t="n">
        <x:v>46363</x:v>
      </x:c>
      <x:c r="M75" s="167" t="n">
        <x:v>46362</x:v>
      </x:c>
      <x:c r="N75" s="167" t="n">
        <x:v>46344</x:v>
      </x:c>
      <x:c r="O75" s="167" t="n">
        <x:v>46388</x:v>
      </x:c>
      <x:c r="P75" s="59" t="inlineStr">
        <x:is>
          <x:t xml:space="preserve">crawl_sampling_master.xlsx</x:t>
        </x:is>
      </x:c>
    </x:row>
    <x:row r="76">
      <x:c r="A76" s="167" t="n">
        <x:v>46339</x:v>
      </x:c>
      <x:c r="B76" s="59" t="inlineStr">
        <x:is>
          <x:t xml:space="preserve">Thứ Sáu</x:t>
        </x:is>
      </x:c>
      <x:c r="C76" s="59" t="inlineStr">
        <x:is>
          <x:t xml:space="preserve">00:30</x:t>
        </x:is>
      </x:c>
      <x:c r="D76" s="167" t="n">
        <x:v>46366</x:v>
      </x:c>
      <x:c r="E76" s="167" t="n">
        <x:v>46340</x:v>
      </x:c>
      <x:c r="F76" s="167" t="n">
        <x:v>46343</x:v>
      </x:c>
      <x:c r="G76" s="167" t="n">
        <x:v>46347</x:v>
      </x:c>
      <x:c r="H76" s="167" t="n">
        <x:v>46351</x:v>
      </x:c>
      <x:c r="I76" s="167" t="n">
        <x:v>46355</x:v>
      </x:c>
      <x:c r="J76" s="167" t="n">
        <x:v>46358</x:v>
      </x:c>
      <x:c r="K76" s="167" t="n">
        <x:v>46361</x:v>
      </x:c>
      <x:c r="L76" s="167" t="n">
        <x:v>46363</x:v>
      </x:c>
      <x:c r="M76" s="167" t="n">
        <x:v>46362</x:v>
      </x:c>
      <x:c r="N76" s="167" t="n">
        <x:v>46344</x:v>
      </x:c>
      <x:c r="O76" s="167" t="n">
        <x:v>46388</x:v>
      </x:c>
      <x:c r="P76" s="59" t="inlineStr">
        <x:is>
          <x:t xml:space="preserve">crawl_sampling_master.xlsx</x:t>
        </x:is>
      </x:c>
    </x:row>
    <x:row r="77">
      <x:c r="A77" s="167" t="n">
        <x:v>46340</x:v>
      </x:c>
      <x:c r="B77" s="59" t="inlineStr">
        <x:is>
          <x:t xml:space="preserve">Thứ Bảy</x:t>
        </x:is>
      </x:c>
      <x:c r="C77" s="59" t="inlineStr">
        <x:is>
          <x:t xml:space="preserve">00:30</x:t>
        </x:is>
      </x:c>
      <x:c r="D77" s="167" t="n">
        <x:v>46366</x:v>
      </x:c>
      <x:c r="E77" s="167" t="n">
        <x:v>46340</x:v>
      </x:c>
      <x:c r="F77" s="167" t="n">
        <x:v>46343</x:v>
      </x:c>
      <x:c r="G77" s="167" t="n">
        <x:v>46347</x:v>
      </x:c>
      <x:c r="H77" s="167" t="n">
        <x:v>46351</x:v>
      </x:c>
      <x:c r="I77" s="167" t="n">
        <x:v>46355</x:v>
      </x:c>
      <x:c r="J77" s="167" t="n">
        <x:v>46358</x:v>
      </x:c>
      <x:c r="K77" s="167" t="n">
        <x:v>46361</x:v>
      </x:c>
      <x:c r="L77" s="167" t="n">
        <x:v>46363</x:v>
      </x:c>
      <x:c r="M77" s="167" t="n">
        <x:v>46362</x:v>
      </x:c>
      <x:c r="N77" s="167" t="n">
        <x:v>46344</x:v>
      </x:c>
      <x:c r="O77" s="167" t="n">
        <x:v>46388</x:v>
      </x:c>
      <x:c r="P77" s="59" t="inlineStr">
        <x:is>
          <x:t xml:space="preserve">crawl_sampling_master.xlsx</x:t>
        </x:is>
      </x:c>
    </x:row>
    <x:row r="78">
      <x:c r="A78" s="167" t="n">
        <x:v>46341</x:v>
      </x:c>
      <x:c r="B78" s="59" t="inlineStr">
        <x:is>
          <x:t xml:space="preserve">Chủ Nhật</x:t>
        </x:is>
      </x:c>
      <x:c r="C78" s="59" t="inlineStr">
        <x:is>
          <x:t xml:space="preserve">00:30</x:t>
        </x:is>
      </x:c>
      <x:c r="D78" s="167" t="n">
        <x:v>46366</x:v>
      </x:c>
      <x:c r="E78" s="167" t="n">
        <x:v>46368</x:v>
      </x:c>
      <x:c r="F78" s="167" t="n">
        <x:v>46343</x:v>
      </x:c>
      <x:c r="G78" s="167" t="n">
        <x:v>46347</x:v>
      </x:c>
      <x:c r="H78" s="167" t="n">
        <x:v>46351</x:v>
      </x:c>
      <x:c r="I78" s="167" t="n">
        <x:v>46355</x:v>
      </x:c>
      <x:c r="J78" s="167" t="n">
        <x:v>46358</x:v>
      </x:c>
      <x:c r="K78" s="167" t="n">
        <x:v>46361</x:v>
      </x:c>
      <x:c r="L78" s="167" t="n">
        <x:v>46363</x:v>
      </x:c>
      <x:c r="M78" s="167" t="n">
        <x:v>46362</x:v>
      </x:c>
      <x:c r="N78" s="167" t="n">
        <x:v>46344</x:v>
      </x:c>
      <x:c r="O78" s="167" t="n">
        <x:v>46388</x:v>
      </x:c>
      <x:c r="P78" s="59" t="inlineStr">
        <x:is>
          <x:t xml:space="preserve">crawl_sampling_master.xlsx</x:t>
        </x:is>
      </x:c>
    </x:row>
    <x:row r="79">
      <x:c r="A79" s="167" t="n">
        <x:v>46342</x:v>
      </x:c>
      <x:c r="B79" s="59" t="inlineStr">
        <x:is>
          <x:t xml:space="preserve">Thứ Hai</x:t>
        </x:is>
      </x:c>
      <x:c r="C79" s="59" t="inlineStr">
        <x:is>
          <x:t xml:space="preserve">00:30</x:t>
        </x:is>
      </x:c>
      <x:c r="D79" s="167" t="n">
        <x:v>46366</x:v>
      </x:c>
      <x:c r="E79" s="167" t="n">
        <x:v>46368</x:v>
      </x:c>
      <x:c r="F79" s="167" t="n">
        <x:v>46343</x:v>
      </x:c>
      <x:c r="G79" s="167" t="n">
        <x:v>46347</x:v>
      </x:c>
      <x:c r="H79" s="167" t="n">
        <x:v>46351</x:v>
      </x:c>
      <x:c r="I79" s="167" t="n">
        <x:v>46355</x:v>
      </x:c>
      <x:c r="J79" s="167" t="n">
        <x:v>46358</x:v>
      </x:c>
      <x:c r="K79" s="167" t="n">
        <x:v>46361</x:v>
      </x:c>
      <x:c r="L79" s="167" t="n">
        <x:v>46363</x:v>
      </x:c>
      <x:c r="M79" s="167" t="n">
        <x:v>46362</x:v>
      </x:c>
      <x:c r="N79" s="167" t="n">
        <x:v>46344</x:v>
      </x:c>
      <x:c r="O79" s="167" t="n">
        <x:v>46388</x:v>
      </x:c>
      <x:c r="P79" s="59" t="inlineStr">
        <x:is>
          <x:t xml:space="preserve">crawl_sampling_master.xlsx</x:t>
        </x:is>
      </x:c>
    </x:row>
    <x:row r="80">
      <x:c r="A80" s="167" t="n">
        <x:v>46343</x:v>
      </x:c>
      <x:c r="B80" s="59" t="inlineStr">
        <x:is>
          <x:t xml:space="preserve">Thứ Ba</x:t>
        </x:is>
      </x:c>
      <x:c r="C80" s="59" t="inlineStr">
        <x:is>
          <x:t xml:space="preserve">00:30</x:t>
        </x:is>
      </x:c>
      <x:c r="D80" s="167" t="n">
        <x:v>46366</x:v>
      </x:c>
      <x:c r="E80" s="167" t="n">
        <x:v>46368</x:v>
      </x:c>
      <x:c r="F80" s="167" t="n">
        <x:v>46343</x:v>
      </x:c>
      <x:c r="G80" s="167" t="n">
        <x:v>46347</x:v>
      </x:c>
      <x:c r="H80" s="167" t="n">
        <x:v>46351</x:v>
      </x:c>
      <x:c r="I80" s="167" t="n">
        <x:v>46355</x:v>
      </x:c>
      <x:c r="J80" s="167" t="n">
        <x:v>46358</x:v>
      </x:c>
      <x:c r="K80" s="167" t="n">
        <x:v>46361</x:v>
      </x:c>
      <x:c r="L80" s="167" t="n">
        <x:v>46363</x:v>
      </x:c>
      <x:c r="M80" s="167" t="n">
        <x:v>46362</x:v>
      </x:c>
      <x:c r="N80" s="167" t="n">
        <x:v>46344</x:v>
      </x:c>
      <x:c r="O80" s="167" t="n">
        <x:v>46388</x:v>
      </x:c>
      <x:c r="P80" s="59" t="inlineStr">
        <x:is>
          <x:t xml:space="preserve">crawl_sampling_master.xlsx</x:t>
        </x:is>
      </x:c>
    </x:row>
    <x:row r="81">
      <x:c r="A81" s="167" t="n">
        <x:v>46344</x:v>
      </x:c>
      <x:c r="B81" s="59" t="inlineStr">
        <x:is>
          <x:t xml:space="preserve">Thứ Tư</x:t>
        </x:is>
      </x:c>
      <x:c r="C81" s="59" t="inlineStr">
        <x:is>
          <x:t xml:space="preserve">00:30</x:t>
        </x:is>
      </x:c>
      <x:c r="D81" s="167" t="n">
        <x:v>46366</x:v>
      </x:c>
      <x:c r="E81" s="167" t="n">
        <x:v>46368</x:v>
      </x:c>
      <x:c r="F81" s="167" t="n">
        <x:v>46371</x:v>
      </x:c>
      <x:c r="G81" s="167" t="n">
        <x:v>46347</x:v>
      </x:c>
      <x:c r="H81" s="167" t="n">
        <x:v>46351</x:v>
      </x:c>
      <x:c r="I81" s="167" t="n">
        <x:v>46355</x:v>
      </x:c>
      <x:c r="J81" s="167" t="n">
        <x:v>46358</x:v>
      </x:c>
      <x:c r="K81" s="167" t="n">
        <x:v>46361</x:v>
      </x:c>
      <x:c r="L81" s="167" t="n">
        <x:v>46363</x:v>
      </x:c>
      <x:c r="M81" s="167" t="n">
        <x:v>46362</x:v>
      </x:c>
      <x:c r="N81" s="167" t="n">
        <x:v>46344</x:v>
      </x:c>
      <x:c r="O81" s="167" t="n">
        <x:v>46388</x:v>
      </x:c>
      <x:c r="P81" s="59" t="inlineStr">
        <x:is>
          <x:t xml:space="preserve">crawl_sampling_master.xlsx</x:t>
        </x:is>
      </x:c>
    </x:row>
    <x:row r="82">
      <x:c r="A82" s="167" t="n">
        <x:v>46345</x:v>
      </x:c>
      <x:c r="B82" s="59" t="inlineStr">
        <x:is>
          <x:t xml:space="preserve">Thứ Năm</x:t>
        </x:is>
      </x:c>
      <x:c r="C82" s="59" t="inlineStr">
        <x:is>
          <x:t xml:space="preserve">00:30</x:t>
        </x:is>
      </x:c>
      <x:c r="D82" s="167" t="n">
        <x:v>46366</x:v>
      </x:c>
      <x:c r="E82" s="167" t="n">
        <x:v>46368</x:v>
      </x:c>
      <x:c r="F82" s="167" t="n">
        <x:v>46371</x:v>
      </x:c>
      <x:c r="G82" s="167" t="n">
        <x:v>46347</x:v>
      </x:c>
      <x:c r="H82" s="167" t="n">
        <x:v>46351</x:v>
      </x:c>
      <x:c r="I82" s="167" t="n">
        <x:v>46355</x:v>
      </x:c>
      <x:c r="J82" s="167" t="n">
        <x:v>46358</x:v>
      </x:c>
      <x:c r="K82" s="167" t="n">
        <x:v>46361</x:v>
      </x:c>
      <x:c r="L82" s="167" t="n">
        <x:v>46363</x:v>
      </x:c>
      <x:c r="M82" s="167" t="n">
        <x:v>46362</x:v>
      </x:c>
      <x:c r="N82" s="167" t="n">
        <x:v>46428</x:v>
      </x:c>
      <x:c r="O82" s="167" t="n">
        <x:v>46388</x:v>
      </x:c>
      <x:c r="P82" s="59" t="inlineStr">
        <x:is>
          <x:t xml:space="preserve">crawl_sampling_master.xlsx</x:t>
        </x:is>
      </x:c>
    </x:row>
    <x:row r="83">
      <x:c r="A83" s="167" t="n">
        <x:v>46346</x:v>
      </x:c>
      <x:c r="B83" s="59" t="inlineStr">
        <x:is>
          <x:t xml:space="preserve">Thứ Sáu</x:t>
        </x:is>
      </x:c>
      <x:c r="C83" s="59" t="inlineStr">
        <x:is>
          <x:t xml:space="preserve">00:30</x:t>
        </x:is>
      </x:c>
      <x:c r="D83" s="167" t="n">
        <x:v>46366</x:v>
      </x:c>
      <x:c r="E83" s="167" t="n">
        <x:v>46368</x:v>
      </x:c>
      <x:c r="F83" s="167" t="n">
        <x:v>46371</x:v>
      </x:c>
      <x:c r="G83" s="167" t="n">
        <x:v>46347</x:v>
      </x:c>
      <x:c r="H83" s="167" t="n">
        <x:v>46351</x:v>
      </x:c>
      <x:c r="I83" s="167" t="n">
        <x:v>46355</x:v>
      </x:c>
      <x:c r="J83" s="167" t="n">
        <x:v>46358</x:v>
      </x:c>
      <x:c r="K83" s="167" t="n">
        <x:v>46361</x:v>
      </x:c>
      <x:c r="L83" s="167" t="n">
        <x:v>46363</x:v>
      </x:c>
      <x:c r="M83" s="167" t="n">
        <x:v>46362</x:v>
      </x:c>
      <x:c r="N83" s="167" t="n">
        <x:v>46428</x:v>
      </x:c>
      <x:c r="O83" s="167" t="n">
        <x:v>46388</x:v>
      </x:c>
      <x:c r="P83" s="59" t="inlineStr">
        <x:is>
          <x:t xml:space="preserve">crawl_sampling_master.xlsx</x:t>
        </x:is>
      </x:c>
    </x:row>
    <x:row r="84">
      <x:c r="A84" s="167" t="n">
        <x:v>46347</x:v>
      </x:c>
      <x:c r="B84" s="59" t="inlineStr">
        <x:is>
          <x:t xml:space="preserve">Thứ Bảy</x:t>
        </x:is>
      </x:c>
      <x:c r="C84" s="59" t="inlineStr">
        <x:is>
          <x:t xml:space="preserve">00:30</x:t>
        </x:is>
      </x:c>
      <x:c r="D84" s="167" t="n">
        <x:v>46366</x:v>
      </x:c>
      <x:c r="E84" s="167" t="n">
        <x:v>46368</x:v>
      </x:c>
      <x:c r="F84" s="167" t="n">
        <x:v>46371</x:v>
      </x:c>
      <x:c r="G84" s="167" t="n">
        <x:v>46347</x:v>
      </x:c>
      <x:c r="H84" s="167" t="n">
        <x:v>46351</x:v>
      </x:c>
      <x:c r="I84" s="167" t="n">
        <x:v>46355</x:v>
      </x:c>
      <x:c r="J84" s="167" t="n">
        <x:v>46358</x:v>
      </x:c>
      <x:c r="K84" s="167" t="n">
        <x:v>46361</x:v>
      </x:c>
      <x:c r="L84" s="167" t="n">
        <x:v>46363</x:v>
      </x:c>
      <x:c r="M84" s="167" t="n">
        <x:v>46362</x:v>
      </x:c>
      <x:c r="N84" s="167" t="n">
        <x:v>46428</x:v>
      </x:c>
      <x:c r="O84" s="167" t="n">
        <x:v>46388</x:v>
      </x:c>
      <x:c r="P84" s="59" t="inlineStr">
        <x:is>
          <x:t xml:space="preserve">crawl_sampling_master.xlsx</x:t>
        </x:is>
      </x:c>
    </x:row>
    <x:row r="85">
      <x:c r="A85" s="167" t="n">
        <x:v>46348</x:v>
      </x:c>
      <x:c r="B85" s="59" t="inlineStr">
        <x:is>
          <x:t xml:space="preserve">Chủ Nhật</x:t>
        </x:is>
      </x:c>
      <x:c r="C85" s="59" t="inlineStr">
        <x:is>
          <x:t xml:space="preserve">00:30</x:t>
        </x:is>
      </x:c>
      <x:c r="D85" s="167" t="n">
        <x:v>46366</x:v>
      </x:c>
      <x:c r="E85" s="167" t="n">
        <x:v>46368</x:v>
      </x:c>
      <x:c r="F85" s="167" t="n">
        <x:v>46371</x:v>
      </x:c>
      <x:c r="G85" s="167" t="n">
        <x:v>46375</x:v>
      </x:c>
      <x:c r="H85" s="167" t="n">
        <x:v>46351</x:v>
      </x:c>
      <x:c r="I85" s="167" t="n">
        <x:v>46355</x:v>
      </x:c>
      <x:c r="J85" s="167" t="n">
        <x:v>46358</x:v>
      </x:c>
      <x:c r="K85" s="167" t="n">
        <x:v>46361</x:v>
      </x:c>
      <x:c r="L85" s="167" t="n">
        <x:v>46363</x:v>
      </x:c>
      <x:c r="M85" s="167" t="n">
        <x:v>46362</x:v>
      </x:c>
      <x:c r="N85" s="167" t="n">
        <x:v>46428</x:v>
      </x:c>
      <x:c r="O85" s="167" t="n">
        <x:v>46388</x:v>
      </x:c>
      <x:c r="P85" s="59" t="inlineStr">
        <x:is>
          <x:t xml:space="preserve">crawl_sampling_master.xlsx</x:t>
        </x:is>
      </x:c>
    </x:row>
    <x:row r="86">
      <x:c r="A86" s="167" t="n">
        <x:v>46349</x:v>
      </x:c>
      <x:c r="B86" s="59" t="inlineStr">
        <x:is>
          <x:t xml:space="preserve">Thứ Hai</x:t>
        </x:is>
      </x:c>
      <x:c r="C86" s="59" t="inlineStr">
        <x:is>
          <x:t xml:space="preserve">00:30</x:t>
        </x:is>
      </x:c>
      <x:c r="D86" s="167" t="n">
        <x:v>46366</x:v>
      </x:c>
      <x:c r="E86" s="167" t="n">
        <x:v>46368</x:v>
      </x:c>
      <x:c r="F86" s="167" t="n">
        <x:v>46371</x:v>
      </x:c>
      <x:c r="G86" s="167" t="n">
        <x:v>46375</x:v>
      </x:c>
      <x:c r="H86" s="167" t="n">
        <x:v>46351</x:v>
      </x:c>
      <x:c r="I86" s="167" t="n">
        <x:v>46355</x:v>
      </x:c>
      <x:c r="J86" s="167" t="n">
        <x:v>46358</x:v>
      </x:c>
      <x:c r="K86" s="167" t="n">
        <x:v>46361</x:v>
      </x:c>
      <x:c r="L86" s="167" t="n">
        <x:v>46363</x:v>
      </x:c>
      <x:c r="M86" s="167" t="n">
        <x:v>46362</x:v>
      </x:c>
      <x:c r="N86" s="167" t="n">
        <x:v>46428</x:v>
      </x:c>
      <x:c r="O86" s="167" t="n">
        <x:v>46388</x:v>
      </x:c>
      <x:c r="P86" s="59" t="inlineStr">
        <x:is>
          <x:t xml:space="preserve">crawl_sampling_master.xlsx</x:t>
        </x:is>
      </x:c>
    </x:row>
    <x:row r="87">
      <x:c r="A87" s="167" t="n">
        <x:v>46350</x:v>
      </x:c>
      <x:c r="B87" s="59" t="inlineStr">
        <x:is>
          <x:t xml:space="preserve">Thứ Ba</x:t>
        </x:is>
      </x:c>
      <x:c r="C87" s="59" t="inlineStr">
        <x:is>
          <x:t xml:space="preserve">00:30</x:t>
        </x:is>
      </x:c>
      <x:c r="D87" s="167" t="n">
        <x:v>46366</x:v>
      </x:c>
      <x:c r="E87" s="167" t="n">
        <x:v>46368</x:v>
      </x:c>
      <x:c r="F87" s="167" t="n">
        <x:v>46371</x:v>
      </x:c>
      <x:c r="G87" s="167" t="n">
        <x:v>46375</x:v>
      </x:c>
      <x:c r="H87" s="167" t="n">
        <x:v>46351</x:v>
      </x:c>
      <x:c r="I87" s="167" t="n">
        <x:v>46355</x:v>
      </x:c>
      <x:c r="J87" s="167" t="n">
        <x:v>46358</x:v>
      </x:c>
      <x:c r="K87" s="167" t="n">
        <x:v>46361</x:v>
      </x:c>
      <x:c r="L87" s="167" t="n">
        <x:v>46363</x:v>
      </x:c>
      <x:c r="M87" s="167" t="n">
        <x:v>46362</x:v>
      </x:c>
      <x:c r="N87" s="167" t="n">
        <x:v>46428</x:v>
      </x:c>
      <x:c r="O87" s="167" t="n">
        <x:v>46388</x:v>
      </x:c>
      <x:c r="P87" s="59" t="inlineStr">
        <x:is>
          <x:t xml:space="preserve">crawl_sampling_master.xlsx</x:t>
        </x:is>
      </x:c>
    </x:row>
    <x:row r="88">
      <x:c r="A88" s="167" t="n">
        <x:v>46351</x:v>
      </x:c>
      <x:c r="B88" s="59" t="inlineStr">
        <x:is>
          <x:t xml:space="preserve">Thứ Tư</x:t>
        </x:is>
      </x:c>
      <x:c r="C88" s="59" t="inlineStr">
        <x:is>
          <x:t xml:space="preserve">00:30</x:t>
        </x:is>
      </x:c>
      <x:c r="D88" s="167" t="n">
        <x:v>46366</x:v>
      </x:c>
      <x:c r="E88" s="167" t="n">
        <x:v>46368</x:v>
      </x:c>
      <x:c r="F88" s="167" t="n">
        <x:v>46371</x:v>
      </x:c>
      <x:c r="G88" s="167" t="n">
        <x:v>46375</x:v>
      </x:c>
      <x:c r="H88" s="167" t="n">
        <x:v>46351</x:v>
      </x:c>
      <x:c r="I88" s="167" t="n">
        <x:v>46355</x:v>
      </x:c>
      <x:c r="J88" s="167" t="n">
        <x:v>46358</x:v>
      </x:c>
      <x:c r="K88" s="167" t="n">
        <x:v>46361</x:v>
      </x:c>
      <x:c r="L88" s="167" t="n">
        <x:v>46363</x:v>
      </x:c>
      <x:c r="M88" s="167" t="n">
        <x:v>46362</x:v>
      </x:c>
      <x:c r="N88" s="167" t="n">
        <x:v>46428</x:v>
      </x:c>
      <x:c r="O88" s="167" t="n">
        <x:v>46388</x:v>
      </x:c>
      <x:c r="P88" s="59" t="inlineStr">
        <x:is>
          <x:t xml:space="preserve">crawl_sampling_master.xlsx</x:t>
        </x:is>
      </x:c>
    </x:row>
    <x:row r="89">
      <x:c r="A89" s="167" t="n">
        <x:v>46352</x:v>
      </x:c>
      <x:c r="B89" s="59" t="inlineStr">
        <x:is>
          <x:t xml:space="preserve">Thứ Năm</x:t>
        </x:is>
      </x:c>
      <x:c r="C89" s="59" t="inlineStr">
        <x:is>
          <x:t xml:space="preserve">00:30</x:t>
        </x:is>
      </x:c>
      <x:c r="D89" s="167" t="n">
        <x:v>46366</x:v>
      </x:c>
      <x:c r="E89" s="167" t="n">
        <x:v>46368</x:v>
      </x:c>
      <x:c r="F89" s="167" t="n">
        <x:v>46371</x:v>
      </x:c>
      <x:c r="G89" s="167" t="n">
        <x:v>46375</x:v>
      </x:c>
      <x:c r="H89" s="167" t="n">
        <x:v>46379</x:v>
      </x:c>
      <x:c r="I89" s="167" t="n">
        <x:v>46355</x:v>
      </x:c>
      <x:c r="J89" s="167" t="n">
        <x:v>46358</x:v>
      </x:c>
      <x:c r="K89" s="167" t="n">
        <x:v>46361</x:v>
      </x:c>
      <x:c r="L89" s="167" t="n">
        <x:v>46363</x:v>
      </x:c>
      <x:c r="M89" s="167" t="n">
        <x:v>46362</x:v>
      </x:c>
      <x:c r="N89" s="167" t="n">
        <x:v>46428</x:v>
      </x:c>
      <x:c r="O89" s="167" t="n">
        <x:v>46388</x:v>
      </x:c>
      <x:c r="P89" s="59" t="inlineStr">
        <x:is>
          <x:t xml:space="preserve">crawl_sampling_master.xlsx</x:t>
        </x:is>
      </x:c>
    </x:row>
    <x:row r="90">
      <x:c r="A90" s="167" t="n">
        <x:v>46353</x:v>
      </x:c>
      <x:c r="B90" s="59" t="inlineStr">
        <x:is>
          <x:t xml:space="preserve">Thứ Sáu</x:t>
        </x:is>
      </x:c>
      <x:c r="C90" s="59" t="inlineStr">
        <x:is>
          <x:t xml:space="preserve">00:30</x:t>
        </x:is>
      </x:c>
      <x:c r="D90" s="167" t="n">
        <x:v>46366</x:v>
      </x:c>
      <x:c r="E90" s="167" t="n">
        <x:v>46368</x:v>
      </x:c>
      <x:c r="F90" s="167" t="n">
        <x:v>46371</x:v>
      </x:c>
      <x:c r="G90" s="167" t="n">
        <x:v>46375</x:v>
      </x:c>
      <x:c r="H90" s="167" t="n">
        <x:v>46379</x:v>
      </x:c>
      <x:c r="I90" s="167" t="n">
        <x:v>46355</x:v>
      </x:c>
      <x:c r="J90" s="167" t="n">
        <x:v>46358</x:v>
      </x:c>
      <x:c r="K90" s="167" t="n">
        <x:v>46361</x:v>
      </x:c>
      <x:c r="L90" s="167" t="n">
        <x:v>46363</x:v>
      </x:c>
      <x:c r="M90" s="167" t="n">
        <x:v>46362</x:v>
      </x:c>
      <x:c r="N90" s="167" t="n">
        <x:v>46428</x:v>
      </x:c>
      <x:c r="O90" s="167" t="n">
        <x:v>46388</x:v>
      </x:c>
      <x:c r="P90" s="59" t="inlineStr">
        <x:is>
          <x:t xml:space="preserve">crawl_sampling_master.xlsx</x:t>
        </x:is>
      </x:c>
    </x:row>
    <x:row r="91">
      <x:c r="A91" s="167" t="n">
        <x:v>46354</x:v>
      </x:c>
      <x:c r="B91" s="59" t="inlineStr">
        <x:is>
          <x:t xml:space="preserve">Thứ Bảy</x:t>
        </x:is>
      </x:c>
      <x:c r="C91" s="59" t="inlineStr">
        <x:is>
          <x:t xml:space="preserve">00:30</x:t>
        </x:is>
      </x:c>
      <x:c r="D91" s="167" t="n">
        <x:v>46366</x:v>
      </x:c>
      <x:c r="E91" s="167" t="n">
        <x:v>46368</x:v>
      </x:c>
      <x:c r="F91" s="167" t="n">
        <x:v>46371</x:v>
      </x:c>
      <x:c r="G91" s="167" t="n">
        <x:v>46375</x:v>
      </x:c>
      <x:c r="H91" s="167" t="n">
        <x:v>46379</x:v>
      </x:c>
      <x:c r="I91" s="167" t="n">
        <x:v>46355</x:v>
      </x:c>
      <x:c r="J91" s="167" t="n">
        <x:v>46358</x:v>
      </x:c>
      <x:c r="K91" s="167" t="n">
        <x:v>46361</x:v>
      </x:c>
      <x:c r="L91" s="167" t="n">
        <x:v>46363</x:v>
      </x:c>
      <x:c r="M91" s="167" t="n">
        <x:v>46362</x:v>
      </x:c>
      <x:c r="N91" s="167" t="n">
        <x:v>46428</x:v>
      </x:c>
      <x:c r="O91" s="167" t="n">
        <x:v>46388</x:v>
      </x:c>
      <x:c r="P91" s="59" t="inlineStr">
        <x:is>
          <x:t xml:space="preserve">crawl_sampling_master.xlsx</x:t>
        </x:is>
      </x:c>
    </x:row>
    <x:row r="92">
      <x:c r="A92" s="167" t="n">
        <x:v>46355</x:v>
      </x:c>
      <x:c r="B92" s="59" t="inlineStr">
        <x:is>
          <x:t xml:space="preserve">Chủ Nhật</x:t>
        </x:is>
      </x:c>
      <x:c r="C92" s="59" t="inlineStr">
        <x:is>
          <x:t xml:space="preserve">00:30</x:t>
        </x:is>
      </x:c>
      <x:c r="D92" s="167" t="n">
        <x:v>46366</x:v>
      </x:c>
      <x:c r="E92" s="167" t="n">
        <x:v>46368</x:v>
      </x:c>
      <x:c r="F92" s="167" t="n">
        <x:v>46371</x:v>
      </x:c>
      <x:c r="G92" s="167" t="n">
        <x:v>46375</x:v>
      </x:c>
      <x:c r="H92" s="167" t="n">
        <x:v>46379</x:v>
      </x:c>
      <x:c r="I92" s="167" t="n">
        <x:v>46355</x:v>
      </x:c>
      <x:c r="J92" s="167" t="n">
        <x:v>46358</x:v>
      </x:c>
      <x:c r="K92" s="167" t="n">
        <x:v>46361</x:v>
      </x:c>
      <x:c r="L92" s="167" t="n">
        <x:v>46363</x:v>
      </x:c>
      <x:c r="M92" s="167" t="n">
        <x:v>46362</x:v>
      </x:c>
      <x:c r="N92" s="167" t="n">
        <x:v>46428</x:v>
      </x:c>
      <x:c r="O92" s="167" t="n">
        <x:v>46388</x:v>
      </x:c>
      <x:c r="P92" s="59" t="inlineStr">
        <x:is>
          <x:t xml:space="preserve">crawl_sampling_master.xlsx</x:t>
        </x:is>
      </x:c>
    </x:row>
    <x:row r="93">
      <x:c r="A93" s="171" t="n">
        <x:v>46356</x:v>
      </x:c>
      <x:c r="B93" s="63" t="inlineStr">
        <x:is>
          <x:t xml:space="preserve">Thứ Hai</x:t>
        </x:is>
      </x:c>
      <x:c r="C93" s="63" t="inlineStr">
        <x:is>
          <x:t xml:space="preserve">00:30</x:t>
        </x:is>
      </x:c>
      <x:c r="D93" s="171" t="n">
        <x:v>46366</x:v>
      </x:c>
      <x:c r="E93" s="171" t="n">
        <x:v>46368</x:v>
      </x:c>
      <x:c r="F93" s="171" t="n">
        <x:v>46371</x:v>
      </x:c>
      <x:c r="G93" s="171" t="n">
        <x:v>46375</x:v>
      </x:c>
      <x:c r="H93" s="171" t="n">
        <x:v>46379</x:v>
      </x:c>
      <x:c r="I93" s="171" t="n">
        <x:v>46383</x:v>
      </x:c>
      <x:c r="J93" s="171" t="n">
        <x:v>46358</x:v>
      </x:c>
      <x:c r="K93" s="171" t="n">
        <x:v>46361</x:v>
      </x:c>
      <x:c r="L93" s="171" t="n">
        <x:v>46363</x:v>
      </x:c>
      <x:c r="M93" s="171" t="n">
        <x:v>46362</x:v>
      </x:c>
      <x:c r="N93" s="171" t="n">
        <x:v>46428</x:v>
      </x:c>
      <x:c r="O93" s="171" t="n">
        <x:v>46388</x:v>
      </x:c>
      <x:c r="P93" s="63" t="inlineStr">
        <x:is>
          <x:t xml:space="preserve">crawl_sampling_master.xlsx</x:t>
        </x:is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4" customWidth="1"/>
    <x:col min="3" max="3" width="14" customWidth="1"/>
    <x:col min="4" max="4" width="14" customWidth="1"/>
    <x:col min="5" max="5" width="14" customWidth="1"/>
    <x:col min="6" max="6" width="14" customWidth="1"/>
    <x:col min="7" max="7" width="14" customWidth="1"/>
    <x:col min="8" max="8" width="14" customWidth="1"/>
    <x:col min="9" max="9" width="34" customWidth="1"/>
  </x:cols>
  <x:sheetData>
    <x:row r="1" ht="30" customHeight="1">
      <x:c r="A1" s="3" t="inlineStr">
        <x:is>
          <x:t xml:space="preserve">VPS REFERENCE — 5 CHECK-IN DÙNG ĐỂ LOẠI TRÙNG</x:t>
        </x:is>
      </x:c>
    </x:row>
    <x:row r="2">
      <x:c r="A2" s="35" t="inlineStr">
        <x:is>
          <x:t xml:space="preserve">Nguồn: D:/MSE/CAPSTONE/outputs/vps-crawl-planner-20260823/vps_crawl_sampling_master.xlsx. Snapshot 02/09–30/11/2026; không sửa bằng tay.</x:t>
        </x:is>
      </x:c>
    </x:row>
    <x:row r="3" ht="30" customHeight="1">
      <x:c r="A3" s="9" t="inlineStr">
        <x:is>
          <x:t xml:space="preserve">Crawl date</x:t>
        </x:is>
      </x:c>
      <x:c r="B3" s="9" t="inlineStr">
        <x:is>
          <x:t xml:space="preserve">Thứ</x:t>
        </x:is>
      </x:c>
      <x:c r="C3" s="9" t="inlineStr">
        <x:is>
          <x:t xml:space="preserve">Start time</x:t>
        </x:is>
      </x:c>
      <x:c r="D3" s="9" t="inlineStr">
        <x:is>
          <x:t xml:space="preserve">V1</x:t>
        </x:is>
      </x:c>
      <x:c r="E3" s="9" t="inlineStr">
        <x:is>
          <x:t xml:space="preserve">V2</x:t>
        </x:is>
      </x:c>
      <x:c r="F3" s="9" t="inlineStr">
        <x:is>
          <x:t xml:space="preserve">V3</x:t>
        </x:is>
      </x:c>
      <x:c r="G3" s="9" t="inlineStr">
        <x:is>
          <x:t xml:space="preserve">V4</x:t>
        </x:is>
      </x:c>
      <x:c r="H3" s="9" t="inlineStr">
        <x:is>
          <x:t xml:space="preserve">V5</x:t>
        </x:is>
      </x:c>
      <x:c r="I3" s="9" t="inlineStr">
        <x:is>
          <x:t xml:space="preserve">Source file</x:t>
        </x:is>
      </x:c>
    </x:row>
    <x:row r="4">
      <x:c r="A4" s="163" t="n">
        <x:v>46267</x:v>
      </x:c>
      <x:c r="B4" s="55" t="inlineStr">
        <x:is>
          <x:t xml:space="preserve">Thứ Tư</x:t>
        </x:is>
      </x:c>
      <x:c r="C4" s="55" t="inlineStr">
        <x:is>
          <x:t xml:space="preserve">00:30</x:t>
        </x:is>
      </x:c>
      <x:c r="D4" s="163" t="n">
        <x:v>46289</x:v>
      </x:c>
      <x:c r="E4" s="163" t="n">
        <x:v>46292</x:v>
      </x:c>
      <x:c r="F4" s="163" t="n">
        <x:v>46268</x:v>
      </x:c>
      <x:c r="G4" s="163" t="n">
        <x:v>46281</x:v>
      </x:c>
      <x:c r="H4" s="163" t="n">
        <x:v>46411</x:v>
      </x:c>
      <x:c r="I4" s="55" t="inlineStr">
        <x:is>
          <x:t xml:space="preserve">vps_crawl_sampling_master.xlsx</x:t>
        </x:is>
      </x:c>
    </x:row>
    <x:row r="5">
      <x:c r="A5" s="167" t="n">
        <x:v>46268</x:v>
      </x:c>
      <x:c r="B5" s="59" t="inlineStr">
        <x:is>
          <x:t xml:space="preserve">Thứ Năm</x:t>
        </x:is>
      </x:c>
      <x:c r="C5" s="59" t="inlineStr">
        <x:is>
          <x:t xml:space="preserve">00:30</x:t>
        </x:is>
      </x:c>
      <x:c r="D5" s="167" t="n">
        <x:v>46289</x:v>
      </x:c>
      <x:c r="E5" s="167" t="n">
        <x:v>46292</x:v>
      </x:c>
      <x:c r="F5" s="167" t="n">
        <x:v>46268</x:v>
      </x:c>
      <x:c r="G5" s="167" t="n">
        <x:v>46281</x:v>
      </x:c>
      <x:c r="H5" s="167" t="n">
        <x:v>46411</x:v>
      </x:c>
      <x:c r="I5" s="59" t="inlineStr">
        <x:is>
          <x:t xml:space="preserve">vps_crawl_sampling_master.xlsx</x:t>
        </x:is>
      </x:c>
    </x:row>
    <x:row r="6">
      <x:c r="A6" s="167" t="n">
        <x:v>46269</x:v>
      </x:c>
      <x:c r="B6" s="59" t="inlineStr">
        <x:is>
          <x:t xml:space="preserve">Thứ Sáu</x:t>
        </x:is>
      </x:c>
      <x:c r="C6" s="59" t="inlineStr">
        <x:is>
          <x:t xml:space="preserve">00:30</x:t>
        </x:is>
      </x:c>
      <x:c r="D6" s="167" t="n">
        <x:v>46289</x:v>
      </x:c>
      <x:c r="E6" s="167" t="n">
        <x:v>46292</x:v>
      </x:c>
      <x:c r="F6" s="167" t="n">
        <x:v>46296</x:v>
      </x:c>
      <x:c r="G6" s="167" t="n">
        <x:v>46281</x:v>
      </x:c>
      <x:c r="H6" s="167" t="n">
        <x:v>46411</x:v>
      </x:c>
      <x:c r="I6" s="59" t="inlineStr">
        <x:is>
          <x:t xml:space="preserve">vps_crawl_sampling_master.xlsx</x:t>
        </x:is>
      </x:c>
    </x:row>
    <x:row r="7">
      <x:c r="A7" s="167" t="n">
        <x:v>46270</x:v>
      </x:c>
      <x:c r="B7" s="59" t="inlineStr">
        <x:is>
          <x:t xml:space="preserve">Thứ Bảy</x:t>
        </x:is>
      </x:c>
      <x:c r="C7" s="59" t="inlineStr">
        <x:is>
          <x:t xml:space="preserve">00:30</x:t>
        </x:is>
      </x:c>
      <x:c r="D7" s="167" t="n">
        <x:v>46289</x:v>
      </x:c>
      <x:c r="E7" s="167" t="n">
        <x:v>46292</x:v>
      </x:c>
      <x:c r="F7" s="167" t="n">
        <x:v>46296</x:v>
      </x:c>
      <x:c r="G7" s="167" t="n">
        <x:v>46281</x:v>
      </x:c>
      <x:c r="H7" s="167" t="n">
        <x:v>46411</x:v>
      </x:c>
      <x:c r="I7" s="59" t="inlineStr">
        <x:is>
          <x:t xml:space="preserve">vps_crawl_sampling_master.xlsx</x:t>
        </x:is>
      </x:c>
    </x:row>
    <x:row r="8">
      <x:c r="A8" s="167" t="n">
        <x:v>46271</x:v>
      </x:c>
      <x:c r="B8" s="59" t="inlineStr">
        <x:is>
          <x:t xml:space="preserve">Chủ Nhật</x:t>
        </x:is>
      </x:c>
      <x:c r="C8" s="59" t="inlineStr">
        <x:is>
          <x:t xml:space="preserve">00:30</x:t>
        </x:is>
      </x:c>
      <x:c r="D8" s="167" t="n">
        <x:v>46289</x:v>
      </x:c>
      <x:c r="E8" s="167" t="n">
        <x:v>46292</x:v>
      </x:c>
      <x:c r="F8" s="167" t="n">
        <x:v>46296</x:v>
      </x:c>
      <x:c r="G8" s="167" t="n">
        <x:v>46281</x:v>
      </x:c>
      <x:c r="H8" s="167" t="n">
        <x:v>46411</x:v>
      </x:c>
      <x:c r="I8" s="59" t="inlineStr">
        <x:is>
          <x:t xml:space="preserve">vps_crawl_sampling_master.xlsx</x:t>
        </x:is>
      </x:c>
    </x:row>
    <x:row r="9">
      <x:c r="A9" s="167" t="n">
        <x:v>46272</x:v>
      </x:c>
      <x:c r="B9" s="59" t="inlineStr">
        <x:is>
          <x:t xml:space="preserve">Thứ Hai</x:t>
        </x:is>
      </x:c>
      <x:c r="C9" s="59" t="inlineStr">
        <x:is>
          <x:t xml:space="preserve">00:30</x:t>
        </x:is>
      </x:c>
      <x:c r="D9" s="167" t="n">
        <x:v>46289</x:v>
      </x:c>
      <x:c r="E9" s="167" t="n">
        <x:v>46292</x:v>
      </x:c>
      <x:c r="F9" s="167" t="n">
        <x:v>46296</x:v>
      </x:c>
      <x:c r="G9" s="167" t="n">
        <x:v>46281</x:v>
      </x:c>
      <x:c r="H9" s="167" t="n">
        <x:v>46411</x:v>
      </x:c>
      <x:c r="I9" s="59" t="inlineStr">
        <x:is>
          <x:t xml:space="preserve">vps_crawl_sampling_master.xlsx</x:t>
        </x:is>
      </x:c>
    </x:row>
    <x:row r="10">
      <x:c r="A10" s="167" t="n">
        <x:v>46273</x:v>
      </x:c>
      <x:c r="B10" s="59" t="inlineStr">
        <x:is>
          <x:t xml:space="preserve">Thứ Ba</x:t>
        </x:is>
      </x:c>
      <x:c r="C10" s="59" t="inlineStr">
        <x:is>
          <x:t xml:space="preserve">00:30</x:t>
        </x:is>
      </x:c>
      <x:c r="D10" s="167" t="n">
        <x:v>46289</x:v>
      </x:c>
      <x:c r="E10" s="167" t="n">
        <x:v>46292</x:v>
      </x:c>
      <x:c r="F10" s="167" t="n">
        <x:v>46296</x:v>
      </x:c>
      <x:c r="G10" s="167" t="n">
        <x:v>46281</x:v>
      </x:c>
      <x:c r="H10" s="167" t="n">
        <x:v>46411</x:v>
      </x:c>
      <x:c r="I10" s="59" t="inlineStr">
        <x:is>
          <x:t xml:space="preserve">vps_crawl_sampling_master.xlsx</x:t>
        </x:is>
      </x:c>
    </x:row>
    <x:row r="11">
      <x:c r="A11" s="167" t="n">
        <x:v>46274</x:v>
      </x:c>
      <x:c r="B11" s="59" t="inlineStr">
        <x:is>
          <x:t xml:space="preserve">Thứ Tư</x:t>
        </x:is>
      </x:c>
      <x:c r="C11" s="59" t="inlineStr">
        <x:is>
          <x:t xml:space="preserve">00:30</x:t>
        </x:is>
      </x:c>
      <x:c r="D11" s="167" t="n">
        <x:v>46289</x:v>
      </x:c>
      <x:c r="E11" s="167" t="n">
        <x:v>46292</x:v>
      </x:c>
      <x:c r="F11" s="167" t="n">
        <x:v>46296</x:v>
      </x:c>
      <x:c r="G11" s="167" t="n">
        <x:v>46281</x:v>
      </x:c>
      <x:c r="H11" s="167" t="n">
        <x:v>46411</x:v>
      </x:c>
      <x:c r="I11" s="59" t="inlineStr">
        <x:is>
          <x:t xml:space="preserve">vps_crawl_sampling_master.xlsx</x:t>
        </x:is>
      </x:c>
    </x:row>
    <x:row r="12">
      <x:c r="A12" s="167" t="n">
        <x:v>46275</x:v>
      </x:c>
      <x:c r="B12" s="59" t="inlineStr">
        <x:is>
          <x:t xml:space="preserve">Thứ Năm</x:t>
        </x:is>
      </x:c>
      <x:c r="C12" s="59" t="inlineStr">
        <x:is>
          <x:t xml:space="preserve">00:30</x:t>
        </x:is>
      </x:c>
      <x:c r="D12" s="167" t="n">
        <x:v>46289</x:v>
      </x:c>
      <x:c r="E12" s="167" t="n">
        <x:v>46292</x:v>
      </x:c>
      <x:c r="F12" s="167" t="n">
        <x:v>46296</x:v>
      </x:c>
      <x:c r="G12" s="167" t="n">
        <x:v>46281</x:v>
      </x:c>
      <x:c r="H12" s="167" t="n">
        <x:v>46411</x:v>
      </x:c>
      <x:c r="I12" s="59" t="inlineStr">
        <x:is>
          <x:t xml:space="preserve">vps_crawl_sampling_master.xlsx</x:t>
        </x:is>
      </x:c>
    </x:row>
    <x:row r="13">
      <x:c r="A13" s="167" t="n">
        <x:v>46276</x:v>
      </x:c>
      <x:c r="B13" s="59" t="inlineStr">
        <x:is>
          <x:t xml:space="preserve">Thứ Sáu</x:t>
        </x:is>
      </x:c>
      <x:c r="C13" s="59" t="inlineStr">
        <x:is>
          <x:t xml:space="preserve">00:30</x:t>
        </x:is>
      </x:c>
      <x:c r="D13" s="167" t="n">
        <x:v>46289</x:v>
      </x:c>
      <x:c r="E13" s="167" t="n">
        <x:v>46292</x:v>
      </x:c>
      <x:c r="F13" s="167" t="n">
        <x:v>46296</x:v>
      </x:c>
      <x:c r="G13" s="167" t="n">
        <x:v>46281</x:v>
      </x:c>
      <x:c r="H13" s="167" t="n">
        <x:v>46411</x:v>
      </x:c>
      <x:c r="I13" s="59" t="inlineStr">
        <x:is>
          <x:t xml:space="preserve">vps_crawl_sampling_master.xlsx</x:t>
        </x:is>
      </x:c>
    </x:row>
    <x:row r="14">
      <x:c r="A14" s="167" t="n">
        <x:v>46277</x:v>
      </x:c>
      <x:c r="B14" s="59" t="inlineStr">
        <x:is>
          <x:t xml:space="preserve">Thứ Bảy</x:t>
        </x:is>
      </x:c>
      <x:c r="C14" s="59" t="inlineStr">
        <x:is>
          <x:t xml:space="preserve">00:30</x:t>
        </x:is>
      </x:c>
      <x:c r="D14" s="167" t="n">
        <x:v>46289</x:v>
      </x:c>
      <x:c r="E14" s="167" t="n">
        <x:v>46292</x:v>
      </x:c>
      <x:c r="F14" s="167" t="n">
        <x:v>46296</x:v>
      </x:c>
      <x:c r="G14" s="167" t="n">
        <x:v>46281</x:v>
      </x:c>
      <x:c r="H14" s="167" t="n">
        <x:v>46411</x:v>
      </x:c>
      <x:c r="I14" s="59" t="inlineStr">
        <x:is>
          <x:t xml:space="preserve">vps_crawl_sampling_master.xlsx</x:t>
        </x:is>
      </x:c>
    </x:row>
    <x:row r="15">
      <x:c r="A15" s="167" t="n">
        <x:v>46278</x:v>
      </x:c>
      <x:c r="B15" s="59" t="inlineStr">
        <x:is>
          <x:t xml:space="preserve">Chủ Nhật</x:t>
        </x:is>
      </x:c>
      <x:c r="C15" s="59" t="inlineStr">
        <x:is>
          <x:t xml:space="preserve">00:30</x:t>
        </x:is>
      </x:c>
      <x:c r="D15" s="167" t="n">
        <x:v>46289</x:v>
      </x:c>
      <x:c r="E15" s="167" t="n">
        <x:v>46292</x:v>
      </x:c>
      <x:c r="F15" s="167" t="n">
        <x:v>46296</x:v>
      </x:c>
      <x:c r="G15" s="167" t="n">
        <x:v>46281</x:v>
      </x:c>
      <x:c r="H15" s="167" t="n">
        <x:v>46411</x:v>
      </x:c>
      <x:c r="I15" s="59" t="inlineStr">
        <x:is>
          <x:t xml:space="preserve">vps_crawl_sampling_master.xlsx</x:t>
        </x:is>
      </x:c>
    </x:row>
    <x:row r="16">
      <x:c r="A16" s="167" t="n">
        <x:v>46279</x:v>
      </x:c>
      <x:c r="B16" s="59" t="inlineStr">
        <x:is>
          <x:t xml:space="preserve">Thứ Hai</x:t>
        </x:is>
      </x:c>
      <x:c r="C16" s="59" t="inlineStr">
        <x:is>
          <x:t xml:space="preserve">00:30</x:t>
        </x:is>
      </x:c>
      <x:c r="D16" s="167" t="n">
        <x:v>46289</x:v>
      </x:c>
      <x:c r="E16" s="167" t="n">
        <x:v>46292</x:v>
      </x:c>
      <x:c r="F16" s="167" t="n">
        <x:v>46296</x:v>
      </x:c>
      <x:c r="G16" s="167" t="n">
        <x:v>46281</x:v>
      </x:c>
      <x:c r="H16" s="167" t="n">
        <x:v>46411</x:v>
      </x:c>
      <x:c r="I16" s="59" t="inlineStr">
        <x:is>
          <x:t xml:space="preserve">vps_crawl_sampling_master.xlsx</x:t>
        </x:is>
      </x:c>
    </x:row>
    <x:row r="17">
      <x:c r="A17" s="167" t="n">
        <x:v>46280</x:v>
      </x:c>
      <x:c r="B17" s="59" t="inlineStr">
        <x:is>
          <x:t xml:space="preserve">Thứ Ba</x:t>
        </x:is>
      </x:c>
      <x:c r="C17" s="59" t="inlineStr">
        <x:is>
          <x:t xml:space="preserve">00:30</x:t>
        </x:is>
      </x:c>
      <x:c r="D17" s="167" t="n">
        <x:v>46289</x:v>
      </x:c>
      <x:c r="E17" s="167" t="n">
        <x:v>46292</x:v>
      </x:c>
      <x:c r="F17" s="167" t="n">
        <x:v>46296</x:v>
      </x:c>
      <x:c r="G17" s="167" t="n">
        <x:v>46281</x:v>
      </x:c>
      <x:c r="H17" s="167" t="n">
        <x:v>46411</x:v>
      </x:c>
      <x:c r="I17" s="59" t="inlineStr">
        <x:is>
          <x:t xml:space="preserve">vps_crawl_sampling_master.xlsx</x:t>
        </x:is>
      </x:c>
    </x:row>
    <x:row r="18">
      <x:c r="A18" s="167" t="n">
        <x:v>46281</x:v>
      </x:c>
      <x:c r="B18" s="59" t="inlineStr">
        <x:is>
          <x:t xml:space="preserve">Thứ Tư</x:t>
        </x:is>
      </x:c>
      <x:c r="C18" s="59" t="inlineStr">
        <x:is>
          <x:t xml:space="preserve">00:30</x:t>
        </x:is>
      </x:c>
      <x:c r="D18" s="167" t="n">
        <x:v>46289</x:v>
      </x:c>
      <x:c r="E18" s="167" t="n">
        <x:v>46292</x:v>
      </x:c>
      <x:c r="F18" s="167" t="n">
        <x:v>46296</x:v>
      </x:c>
      <x:c r="G18" s="167" t="n">
        <x:v>46281</x:v>
      </x:c>
      <x:c r="H18" s="167" t="n">
        <x:v>46411</x:v>
      </x:c>
      <x:c r="I18" s="59" t="inlineStr">
        <x:is>
          <x:t xml:space="preserve">vps_crawl_sampling_master.xlsx</x:t>
        </x:is>
      </x:c>
    </x:row>
    <x:row r="19">
      <x:c r="A19" s="167" t="n">
        <x:v>46282</x:v>
      </x:c>
      <x:c r="B19" s="59" t="inlineStr">
        <x:is>
          <x:t xml:space="preserve">Thứ Năm</x:t>
        </x:is>
      </x:c>
      <x:c r="C19" s="59" t="inlineStr">
        <x:is>
          <x:t xml:space="preserve">00:30</x:t>
        </x:is>
      </x:c>
      <x:c r="D19" s="167" t="n">
        <x:v>46289</x:v>
      </x:c>
      <x:c r="E19" s="167" t="n">
        <x:v>46292</x:v>
      </x:c>
      <x:c r="F19" s="167" t="n">
        <x:v>46296</x:v>
      </x:c>
      <x:c r="G19" s="167" t="n">
        <x:v>46309</x:v>
      </x:c>
      <x:c r="H19" s="167" t="n">
        <x:v>46411</x:v>
      </x:c>
      <x:c r="I19" s="59" t="inlineStr">
        <x:is>
          <x:t xml:space="preserve">vps_crawl_sampling_master.xlsx</x:t>
        </x:is>
      </x:c>
    </x:row>
    <x:row r="20">
      <x:c r="A20" s="167" t="n">
        <x:v>46283</x:v>
      </x:c>
      <x:c r="B20" s="59" t="inlineStr">
        <x:is>
          <x:t xml:space="preserve">Thứ Sáu</x:t>
        </x:is>
      </x:c>
      <x:c r="C20" s="59" t="inlineStr">
        <x:is>
          <x:t xml:space="preserve">00:30</x:t>
        </x:is>
      </x:c>
      <x:c r="D20" s="167" t="n">
        <x:v>46289</x:v>
      </x:c>
      <x:c r="E20" s="167" t="n">
        <x:v>46292</x:v>
      </x:c>
      <x:c r="F20" s="167" t="n">
        <x:v>46296</x:v>
      </x:c>
      <x:c r="G20" s="167" t="n">
        <x:v>46309</x:v>
      </x:c>
      <x:c r="H20" s="167" t="n">
        <x:v>46411</x:v>
      </x:c>
      <x:c r="I20" s="59" t="inlineStr">
        <x:is>
          <x:t xml:space="preserve">vps_crawl_sampling_master.xlsx</x:t>
        </x:is>
      </x:c>
    </x:row>
    <x:row r="21">
      <x:c r="A21" s="167" t="n">
        <x:v>46284</x:v>
      </x:c>
      <x:c r="B21" s="59" t="inlineStr">
        <x:is>
          <x:t xml:space="preserve">Thứ Bảy</x:t>
        </x:is>
      </x:c>
      <x:c r="C21" s="59" t="inlineStr">
        <x:is>
          <x:t xml:space="preserve">00:30</x:t>
        </x:is>
      </x:c>
      <x:c r="D21" s="167" t="n">
        <x:v>46289</x:v>
      </x:c>
      <x:c r="E21" s="167" t="n">
        <x:v>46292</x:v>
      </x:c>
      <x:c r="F21" s="167" t="n">
        <x:v>46296</x:v>
      </x:c>
      <x:c r="G21" s="167" t="n">
        <x:v>46309</x:v>
      </x:c>
      <x:c r="H21" s="167" t="n">
        <x:v>46411</x:v>
      </x:c>
      <x:c r="I21" s="59" t="inlineStr">
        <x:is>
          <x:t xml:space="preserve">vps_crawl_sampling_master.xlsx</x:t>
        </x:is>
      </x:c>
    </x:row>
    <x:row r="22">
      <x:c r="A22" s="167" t="n">
        <x:v>46285</x:v>
      </x:c>
      <x:c r="B22" s="59" t="inlineStr">
        <x:is>
          <x:t xml:space="preserve">Chủ Nhật</x:t>
        </x:is>
      </x:c>
      <x:c r="C22" s="59" t="inlineStr">
        <x:is>
          <x:t xml:space="preserve">00:30</x:t>
        </x:is>
      </x:c>
      <x:c r="D22" s="167" t="n">
        <x:v>46289</x:v>
      </x:c>
      <x:c r="E22" s="167" t="n">
        <x:v>46292</x:v>
      </x:c>
      <x:c r="F22" s="167" t="n">
        <x:v>46296</x:v>
      </x:c>
      <x:c r="G22" s="167" t="n">
        <x:v>46309</x:v>
      </x:c>
      <x:c r="H22" s="167" t="n">
        <x:v>46411</x:v>
      </x:c>
      <x:c r="I22" s="59" t="inlineStr">
        <x:is>
          <x:t xml:space="preserve">vps_crawl_sampling_master.xlsx</x:t>
        </x:is>
      </x:c>
    </x:row>
    <x:row r="23">
      <x:c r="A23" s="167" t="n">
        <x:v>46286</x:v>
      </x:c>
      <x:c r="B23" s="59" t="inlineStr">
        <x:is>
          <x:t xml:space="preserve">Thứ Hai</x:t>
        </x:is>
      </x:c>
      <x:c r="C23" s="59" t="inlineStr">
        <x:is>
          <x:t xml:space="preserve">00:30</x:t>
        </x:is>
      </x:c>
      <x:c r="D23" s="167" t="n">
        <x:v>46289</x:v>
      </x:c>
      <x:c r="E23" s="167" t="n">
        <x:v>46292</x:v>
      </x:c>
      <x:c r="F23" s="167" t="n">
        <x:v>46296</x:v>
      </x:c>
      <x:c r="G23" s="167" t="n">
        <x:v>46309</x:v>
      </x:c>
      <x:c r="H23" s="167" t="n">
        <x:v>46411</x:v>
      </x:c>
      <x:c r="I23" s="59" t="inlineStr">
        <x:is>
          <x:t xml:space="preserve">vps_crawl_sampling_master.xlsx</x:t>
        </x:is>
      </x:c>
    </x:row>
    <x:row r="24">
      <x:c r="A24" s="167" t="n">
        <x:v>46287</x:v>
      </x:c>
      <x:c r="B24" s="59" t="inlineStr">
        <x:is>
          <x:t xml:space="preserve">Thứ Ba</x:t>
        </x:is>
      </x:c>
      <x:c r="C24" s="59" t="inlineStr">
        <x:is>
          <x:t xml:space="preserve">00:30</x:t>
        </x:is>
      </x:c>
      <x:c r="D24" s="167" t="n">
        <x:v>46289</x:v>
      </x:c>
      <x:c r="E24" s="167" t="n">
        <x:v>46292</x:v>
      </x:c>
      <x:c r="F24" s="167" t="n">
        <x:v>46296</x:v>
      </x:c>
      <x:c r="G24" s="167" t="n">
        <x:v>46309</x:v>
      </x:c>
      <x:c r="H24" s="167" t="n">
        <x:v>46411</x:v>
      </x:c>
      <x:c r="I24" s="59" t="inlineStr">
        <x:is>
          <x:t xml:space="preserve">vps_crawl_sampling_master.xlsx</x:t>
        </x:is>
      </x:c>
    </x:row>
    <x:row r="25">
      <x:c r="A25" s="167" t="n">
        <x:v>46288</x:v>
      </x:c>
      <x:c r="B25" s="59" t="inlineStr">
        <x:is>
          <x:t xml:space="preserve">Thứ Tư</x:t>
        </x:is>
      </x:c>
      <x:c r="C25" s="59" t="inlineStr">
        <x:is>
          <x:t xml:space="preserve">00:30</x:t>
        </x:is>
      </x:c>
      <x:c r="D25" s="167" t="n">
        <x:v>46289</x:v>
      </x:c>
      <x:c r="E25" s="167" t="n">
        <x:v>46292</x:v>
      </x:c>
      <x:c r="F25" s="167" t="n">
        <x:v>46296</x:v>
      </x:c>
      <x:c r="G25" s="167" t="n">
        <x:v>46309</x:v>
      </x:c>
      <x:c r="H25" s="167" t="n">
        <x:v>46411</x:v>
      </x:c>
      <x:c r="I25" s="59" t="inlineStr">
        <x:is>
          <x:t xml:space="preserve">vps_crawl_sampling_master.xlsx</x:t>
        </x:is>
      </x:c>
    </x:row>
    <x:row r="26">
      <x:c r="A26" s="167" t="n">
        <x:v>46289</x:v>
      </x:c>
      <x:c r="B26" s="59" t="inlineStr">
        <x:is>
          <x:t xml:space="preserve">Thứ Năm</x:t>
        </x:is>
      </x:c>
      <x:c r="C26" s="59" t="inlineStr">
        <x:is>
          <x:t xml:space="preserve">00:30</x:t>
        </x:is>
      </x:c>
      <x:c r="D26" s="167" t="n">
        <x:v>46289</x:v>
      </x:c>
      <x:c r="E26" s="167" t="n">
        <x:v>46292</x:v>
      </x:c>
      <x:c r="F26" s="167" t="n">
        <x:v>46296</x:v>
      </x:c>
      <x:c r="G26" s="167" t="n">
        <x:v>46309</x:v>
      </x:c>
      <x:c r="H26" s="167" t="n">
        <x:v>46411</x:v>
      </x:c>
      <x:c r="I26" s="59" t="inlineStr">
        <x:is>
          <x:t xml:space="preserve">vps_crawl_sampling_master.xlsx</x:t>
        </x:is>
      </x:c>
    </x:row>
    <x:row r="27">
      <x:c r="A27" s="167" t="n">
        <x:v>46290</x:v>
      </x:c>
      <x:c r="B27" s="59" t="inlineStr">
        <x:is>
          <x:t xml:space="preserve">Thứ Sáu</x:t>
        </x:is>
      </x:c>
      <x:c r="C27" s="59" t="inlineStr">
        <x:is>
          <x:t xml:space="preserve">00:30</x:t>
        </x:is>
      </x:c>
      <x:c r="D27" s="167" t="n">
        <x:v>46317</x:v>
      </x:c>
      <x:c r="E27" s="167" t="n">
        <x:v>46292</x:v>
      </x:c>
      <x:c r="F27" s="167" t="n">
        <x:v>46296</x:v>
      </x:c>
      <x:c r="G27" s="167" t="n">
        <x:v>46309</x:v>
      </x:c>
      <x:c r="H27" s="167" t="n">
        <x:v>46411</x:v>
      </x:c>
      <x:c r="I27" s="59" t="inlineStr">
        <x:is>
          <x:t xml:space="preserve">vps_crawl_sampling_master.xlsx</x:t>
        </x:is>
      </x:c>
    </x:row>
    <x:row r="28">
      <x:c r="A28" s="167" t="n">
        <x:v>46291</x:v>
      </x:c>
      <x:c r="B28" s="59" t="inlineStr">
        <x:is>
          <x:t xml:space="preserve">Thứ Bảy</x:t>
        </x:is>
      </x:c>
      <x:c r="C28" s="59" t="inlineStr">
        <x:is>
          <x:t xml:space="preserve">00:30</x:t>
        </x:is>
      </x:c>
      <x:c r="D28" s="167" t="n">
        <x:v>46317</x:v>
      </x:c>
      <x:c r="E28" s="167" t="n">
        <x:v>46292</x:v>
      </x:c>
      <x:c r="F28" s="167" t="n">
        <x:v>46296</x:v>
      </x:c>
      <x:c r="G28" s="167" t="n">
        <x:v>46309</x:v>
      </x:c>
      <x:c r="H28" s="167" t="n">
        <x:v>46411</x:v>
      </x:c>
      <x:c r="I28" s="59" t="inlineStr">
        <x:is>
          <x:t xml:space="preserve">vps_crawl_sampling_master.xlsx</x:t>
        </x:is>
      </x:c>
    </x:row>
    <x:row r="29">
      <x:c r="A29" s="167" t="n">
        <x:v>46292</x:v>
      </x:c>
      <x:c r="B29" s="59" t="inlineStr">
        <x:is>
          <x:t xml:space="preserve">Chủ Nhật</x:t>
        </x:is>
      </x:c>
      <x:c r="C29" s="59" t="inlineStr">
        <x:is>
          <x:t xml:space="preserve">00:30</x:t>
        </x:is>
      </x:c>
      <x:c r="D29" s="167" t="n">
        <x:v>46317</x:v>
      </x:c>
      <x:c r="E29" s="167" t="n">
        <x:v>46292</x:v>
      </x:c>
      <x:c r="F29" s="167" t="n">
        <x:v>46296</x:v>
      </x:c>
      <x:c r="G29" s="167" t="n">
        <x:v>46309</x:v>
      </x:c>
      <x:c r="H29" s="167" t="n">
        <x:v>46411</x:v>
      </x:c>
      <x:c r="I29" s="59" t="inlineStr">
        <x:is>
          <x:t xml:space="preserve">vps_crawl_sampling_master.xlsx</x:t>
        </x:is>
      </x:c>
    </x:row>
    <x:row r="30">
      <x:c r="A30" s="167" t="n">
        <x:v>46293</x:v>
      </x:c>
      <x:c r="B30" s="59" t="inlineStr">
        <x:is>
          <x:t xml:space="preserve">Thứ Hai</x:t>
        </x:is>
      </x:c>
      <x:c r="C30" s="59" t="inlineStr">
        <x:is>
          <x:t xml:space="preserve">00:30</x:t>
        </x:is>
      </x:c>
      <x:c r="D30" s="167" t="n">
        <x:v>46317</x:v>
      </x:c>
      <x:c r="E30" s="167" t="n">
        <x:v>46320</x:v>
      </x:c>
      <x:c r="F30" s="167" t="n">
        <x:v>46296</x:v>
      </x:c>
      <x:c r="G30" s="167" t="n">
        <x:v>46309</x:v>
      </x:c>
      <x:c r="H30" s="167" t="n">
        <x:v>46411</x:v>
      </x:c>
      <x:c r="I30" s="59" t="inlineStr">
        <x:is>
          <x:t xml:space="preserve">vps_crawl_sampling_master.xlsx</x:t>
        </x:is>
      </x:c>
    </x:row>
    <x:row r="31">
      <x:c r="A31" s="167" t="n">
        <x:v>46294</x:v>
      </x:c>
      <x:c r="B31" s="59" t="inlineStr">
        <x:is>
          <x:t xml:space="preserve">Thứ Ba</x:t>
        </x:is>
      </x:c>
      <x:c r="C31" s="59" t="inlineStr">
        <x:is>
          <x:t xml:space="preserve">00:30</x:t>
        </x:is>
      </x:c>
      <x:c r="D31" s="167" t="n">
        <x:v>46317</x:v>
      </x:c>
      <x:c r="E31" s="167" t="n">
        <x:v>46320</x:v>
      </x:c>
      <x:c r="F31" s="167" t="n">
        <x:v>46296</x:v>
      </x:c>
      <x:c r="G31" s="167" t="n">
        <x:v>46309</x:v>
      </x:c>
      <x:c r="H31" s="167" t="n">
        <x:v>46411</x:v>
      </x:c>
      <x:c r="I31" s="59" t="inlineStr">
        <x:is>
          <x:t xml:space="preserve">vps_crawl_sampling_master.xlsx</x:t>
        </x:is>
      </x:c>
    </x:row>
    <x:row r="32">
      <x:c r="A32" s="167" t="n">
        <x:v>46295</x:v>
      </x:c>
      <x:c r="B32" s="59" t="inlineStr">
        <x:is>
          <x:t xml:space="preserve">Thứ Tư</x:t>
        </x:is>
      </x:c>
      <x:c r="C32" s="59" t="inlineStr">
        <x:is>
          <x:t xml:space="preserve">00:30</x:t>
        </x:is>
      </x:c>
      <x:c r="D32" s="167" t="n">
        <x:v>46317</x:v>
      </x:c>
      <x:c r="E32" s="167" t="n">
        <x:v>46320</x:v>
      </x:c>
      <x:c r="F32" s="167" t="n">
        <x:v>46296</x:v>
      </x:c>
      <x:c r="G32" s="167" t="n">
        <x:v>46309</x:v>
      </x:c>
      <x:c r="H32" s="167" t="n">
        <x:v>46411</x:v>
      </x:c>
      <x:c r="I32" s="59" t="inlineStr">
        <x:is>
          <x:t xml:space="preserve">vps_crawl_sampling_master.xlsx</x:t>
        </x:is>
      </x:c>
    </x:row>
    <x:row r="33">
      <x:c r="A33" s="167" t="n">
        <x:v>46296</x:v>
      </x:c>
      <x:c r="B33" s="59" t="inlineStr">
        <x:is>
          <x:t xml:space="preserve">Thứ Năm</x:t>
        </x:is>
      </x:c>
      <x:c r="C33" s="59" t="inlineStr">
        <x:is>
          <x:t xml:space="preserve">00:30</x:t>
        </x:is>
      </x:c>
      <x:c r="D33" s="167" t="n">
        <x:v>46317</x:v>
      </x:c>
      <x:c r="E33" s="167" t="n">
        <x:v>46320</x:v>
      </x:c>
      <x:c r="F33" s="167" t="n">
        <x:v>46296</x:v>
      </x:c>
      <x:c r="G33" s="167" t="n">
        <x:v>46309</x:v>
      </x:c>
      <x:c r="H33" s="167" t="n">
        <x:v>46411</x:v>
      </x:c>
      <x:c r="I33" s="59" t="inlineStr">
        <x:is>
          <x:t xml:space="preserve">vps_crawl_sampling_master.xlsx</x:t>
        </x:is>
      </x:c>
    </x:row>
    <x:row r="34">
      <x:c r="A34" s="167" t="n">
        <x:v>46297</x:v>
      </x:c>
      <x:c r="B34" s="59" t="inlineStr">
        <x:is>
          <x:t xml:space="preserve">Thứ Sáu</x:t>
        </x:is>
      </x:c>
      <x:c r="C34" s="59" t="inlineStr">
        <x:is>
          <x:t xml:space="preserve">00:30</x:t>
        </x:is>
      </x:c>
      <x:c r="D34" s="167" t="n">
        <x:v>46317</x:v>
      </x:c>
      <x:c r="E34" s="167" t="n">
        <x:v>46320</x:v>
      </x:c>
      <x:c r="F34" s="167" t="n">
        <x:v>46324</x:v>
      </x:c>
      <x:c r="G34" s="167" t="n">
        <x:v>46309</x:v>
      </x:c>
      <x:c r="H34" s="167" t="n">
        <x:v>46411</x:v>
      </x:c>
      <x:c r="I34" s="59" t="inlineStr">
        <x:is>
          <x:t xml:space="preserve">vps_crawl_sampling_master.xlsx</x:t>
        </x:is>
      </x:c>
    </x:row>
    <x:row r="35">
      <x:c r="A35" s="167" t="n">
        <x:v>46298</x:v>
      </x:c>
      <x:c r="B35" s="59" t="inlineStr">
        <x:is>
          <x:t xml:space="preserve">Thứ Bảy</x:t>
        </x:is>
      </x:c>
      <x:c r="C35" s="59" t="inlineStr">
        <x:is>
          <x:t xml:space="preserve">00:30</x:t>
        </x:is>
      </x:c>
      <x:c r="D35" s="167" t="n">
        <x:v>46317</x:v>
      </x:c>
      <x:c r="E35" s="167" t="n">
        <x:v>46320</x:v>
      </x:c>
      <x:c r="F35" s="167" t="n">
        <x:v>46324</x:v>
      </x:c>
      <x:c r="G35" s="167" t="n">
        <x:v>46309</x:v>
      </x:c>
      <x:c r="H35" s="167" t="n">
        <x:v>46411</x:v>
      </x:c>
      <x:c r="I35" s="59" t="inlineStr">
        <x:is>
          <x:t xml:space="preserve">vps_crawl_sampling_master.xlsx</x:t>
        </x:is>
      </x:c>
    </x:row>
    <x:row r="36">
      <x:c r="A36" s="167" t="n">
        <x:v>46299</x:v>
      </x:c>
      <x:c r="B36" s="59" t="inlineStr">
        <x:is>
          <x:t xml:space="preserve">Chủ Nhật</x:t>
        </x:is>
      </x:c>
      <x:c r="C36" s="59" t="inlineStr">
        <x:is>
          <x:t xml:space="preserve">00:30</x:t>
        </x:is>
      </x:c>
      <x:c r="D36" s="167" t="n">
        <x:v>46317</x:v>
      </x:c>
      <x:c r="E36" s="167" t="n">
        <x:v>46320</x:v>
      </x:c>
      <x:c r="F36" s="167" t="n">
        <x:v>46324</x:v>
      </x:c>
      <x:c r="G36" s="167" t="n">
        <x:v>46309</x:v>
      </x:c>
      <x:c r="H36" s="167" t="n">
        <x:v>46411</x:v>
      </x:c>
      <x:c r="I36" s="59" t="inlineStr">
        <x:is>
          <x:t xml:space="preserve">vps_crawl_sampling_master.xlsx</x:t>
        </x:is>
      </x:c>
    </x:row>
    <x:row r="37">
      <x:c r="A37" s="167" t="n">
        <x:v>46300</x:v>
      </x:c>
      <x:c r="B37" s="59" t="inlineStr">
        <x:is>
          <x:t xml:space="preserve">Thứ Hai</x:t>
        </x:is>
      </x:c>
      <x:c r="C37" s="59" t="inlineStr">
        <x:is>
          <x:t xml:space="preserve">00:30</x:t>
        </x:is>
      </x:c>
      <x:c r="D37" s="167" t="n">
        <x:v>46317</x:v>
      </x:c>
      <x:c r="E37" s="167" t="n">
        <x:v>46320</x:v>
      </x:c>
      <x:c r="F37" s="167" t="n">
        <x:v>46324</x:v>
      </x:c>
      <x:c r="G37" s="167" t="n">
        <x:v>46309</x:v>
      </x:c>
      <x:c r="H37" s="167" t="n">
        <x:v>46411</x:v>
      </x:c>
      <x:c r="I37" s="59" t="inlineStr">
        <x:is>
          <x:t xml:space="preserve">vps_crawl_sampling_master.xlsx</x:t>
        </x:is>
      </x:c>
    </x:row>
    <x:row r="38">
      <x:c r="A38" s="167" t="n">
        <x:v>46301</x:v>
      </x:c>
      <x:c r="B38" s="59" t="inlineStr">
        <x:is>
          <x:t xml:space="preserve">Thứ Ba</x:t>
        </x:is>
      </x:c>
      <x:c r="C38" s="59" t="inlineStr">
        <x:is>
          <x:t xml:space="preserve">00:30</x:t>
        </x:is>
      </x:c>
      <x:c r="D38" s="167" t="n">
        <x:v>46317</x:v>
      </x:c>
      <x:c r="E38" s="167" t="n">
        <x:v>46320</x:v>
      </x:c>
      <x:c r="F38" s="167" t="n">
        <x:v>46324</x:v>
      </x:c>
      <x:c r="G38" s="167" t="n">
        <x:v>46309</x:v>
      </x:c>
      <x:c r="H38" s="167" t="n">
        <x:v>46411</x:v>
      </x:c>
      <x:c r="I38" s="59" t="inlineStr">
        <x:is>
          <x:t xml:space="preserve">vps_crawl_sampling_master.xlsx</x:t>
        </x:is>
      </x:c>
    </x:row>
    <x:row r="39">
      <x:c r="A39" s="167" t="n">
        <x:v>46302</x:v>
      </x:c>
      <x:c r="B39" s="59" t="inlineStr">
        <x:is>
          <x:t xml:space="preserve">Thứ Tư</x:t>
        </x:is>
      </x:c>
      <x:c r="C39" s="59" t="inlineStr">
        <x:is>
          <x:t xml:space="preserve">00:30</x:t>
        </x:is>
      </x:c>
      <x:c r="D39" s="167" t="n">
        <x:v>46317</x:v>
      </x:c>
      <x:c r="E39" s="167" t="n">
        <x:v>46320</x:v>
      </x:c>
      <x:c r="F39" s="167" t="n">
        <x:v>46324</x:v>
      </x:c>
      <x:c r="G39" s="167" t="n">
        <x:v>46309</x:v>
      </x:c>
      <x:c r="H39" s="167" t="n">
        <x:v>46411</x:v>
      </x:c>
      <x:c r="I39" s="59" t="inlineStr">
        <x:is>
          <x:t xml:space="preserve">vps_crawl_sampling_master.xlsx</x:t>
        </x:is>
      </x:c>
    </x:row>
    <x:row r="40">
      <x:c r="A40" s="167" t="n">
        <x:v>46303</x:v>
      </x:c>
      <x:c r="B40" s="59" t="inlineStr">
        <x:is>
          <x:t xml:space="preserve">Thứ Năm</x:t>
        </x:is>
      </x:c>
      <x:c r="C40" s="59" t="inlineStr">
        <x:is>
          <x:t xml:space="preserve">00:30</x:t>
        </x:is>
      </x:c>
      <x:c r="D40" s="167" t="n">
        <x:v>46317</x:v>
      </x:c>
      <x:c r="E40" s="167" t="n">
        <x:v>46320</x:v>
      </x:c>
      <x:c r="F40" s="167" t="n">
        <x:v>46324</x:v>
      </x:c>
      <x:c r="G40" s="167" t="n">
        <x:v>46309</x:v>
      </x:c>
      <x:c r="H40" s="167" t="n">
        <x:v>46411</x:v>
      </x:c>
      <x:c r="I40" s="59" t="inlineStr">
        <x:is>
          <x:t xml:space="preserve">vps_crawl_sampling_master.xlsx</x:t>
        </x:is>
      </x:c>
    </x:row>
    <x:row r="41">
      <x:c r="A41" s="167" t="n">
        <x:v>46304</x:v>
      </x:c>
      <x:c r="B41" s="59" t="inlineStr">
        <x:is>
          <x:t xml:space="preserve">Thứ Sáu</x:t>
        </x:is>
      </x:c>
      <x:c r="C41" s="59" t="inlineStr">
        <x:is>
          <x:t xml:space="preserve">00:30</x:t>
        </x:is>
      </x:c>
      <x:c r="D41" s="167" t="n">
        <x:v>46317</x:v>
      </x:c>
      <x:c r="E41" s="167" t="n">
        <x:v>46320</x:v>
      </x:c>
      <x:c r="F41" s="167" t="n">
        <x:v>46324</x:v>
      </x:c>
      <x:c r="G41" s="167" t="n">
        <x:v>46309</x:v>
      </x:c>
      <x:c r="H41" s="167" t="n">
        <x:v>46411</x:v>
      </x:c>
      <x:c r="I41" s="59" t="inlineStr">
        <x:is>
          <x:t xml:space="preserve">vps_crawl_sampling_master.xlsx</x:t>
        </x:is>
      </x:c>
    </x:row>
    <x:row r="42">
      <x:c r="A42" s="167" t="n">
        <x:v>46305</x:v>
      </x:c>
      <x:c r="B42" s="59" t="inlineStr">
        <x:is>
          <x:t xml:space="preserve">Thứ Bảy</x:t>
        </x:is>
      </x:c>
      <x:c r="C42" s="59" t="inlineStr">
        <x:is>
          <x:t xml:space="preserve">00:30</x:t>
        </x:is>
      </x:c>
      <x:c r="D42" s="167" t="n">
        <x:v>46317</x:v>
      </x:c>
      <x:c r="E42" s="167" t="n">
        <x:v>46320</x:v>
      </x:c>
      <x:c r="F42" s="167" t="n">
        <x:v>46324</x:v>
      </x:c>
      <x:c r="G42" s="167" t="n">
        <x:v>46309</x:v>
      </x:c>
      <x:c r="H42" s="167" t="n">
        <x:v>46411</x:v>
      </x:c>
      <x:c r="I42" s="59" t="inlineStr">
        <x:is>
          <x:t xml:space="preserve">vps_crawl_sampling_master.xlsx</x:t>
        </x:is>
      </x:c>
    </x:row>
    <x:row r="43">
      <x:c r="A43" s="167" t="n">
        <x:v>46306</x:v>
      </x:c>
      <x:c r="B43" s="59" t="inlineStr">
        <x:is>
          <x:t xml:space="preserve">Chủ Nhật</x:t>
        </x:is>
      </x:c>
      <x:c r="C43" s="59" t="inlineStr">
        <x:is>
          <x:t xml:space="preserve">00:30</x:t>
        </x:is>
      </x:c>
      <x:c r="D43" s="167" t="n">
        <x:v>46317</x:v>
      </x:c>
      <x:c r="E43" s="167" t="n">
        <x:v>46320</x:v>
      </x:c>
      <x:c r="F43" s="167" t="n">
        <x:v>46324</x:v>
      </x:c>
      <x:c r="G43" s="167" t="n">
        <x:v>46309</x:v>
      </x:c>
      <x:c r="H43" s="167" t="n">
        <x:v>46411</x:v>
      </x:c>
      <x:c r="I43" s="59" t="inlineStr">
        <x:is>
          <x:t xml:space="preserve">vps_crawl_sampling_master.xlsx</x:t>
        </x:is>
      </x:c>
    </x:row>
    <x:row r="44">
      <x:c r="A44" s="167" t="n">
        <x:v>46307</x:v>
      </x:c>
      <x:c r="B44" s="59" t="inlineStr">
        <x:is>
          <x:t xml:space="preserve">Thứ Hai</x:t>
        </x:is>
      </x:c>
      <x:c r="C44" s="59" t="inlineStr">
        <x:is>
          <x:t xml:space="preserve">00:30</x:t>
        </x:is>
      </x:c>
      <x:c r="D44" s="167" t="n">
        <x:v>46317</x:v>
      </x:c>
      <x:c r="E44" s="167" t="n">
        <x:v>46320</x:v>
      </x:c>
      <x:c r="F44" s="167" t="n">
        <x:v>46324</x:v>
      </x:c>
      <x:c r="G44" s="167" t="n">
        <x:v>46309</x:v>
      </x:c>
      <x:c r="H44" s="167" t="n">
        <x:v>46411</x:v>
      </x:c>
      <x:c r="I44" s="59" t="inlineStr">
        <x:is>
          <x:t xml:space="preserve">vps_crawl_sampling_master.xlsx</x:t>
        </x:is>
      </x:c>
    </x:row>
    <x:row r="45">
      <x:c r="A45" s="167" t="n">
        <x:v>46308</x:v>
      </x:c>
      <x:c r="B45" s="59" t="inlineStr">
        <x:is>
          <x:t xml:space="preserve">Thứ Ba</x:t>
        </x:is>
      </x:c>
      <x:c r="C45" s="59" t="inlineStr">
        <x:is>
          <x:t xml:space="preserve">00:30</x:t>
        </x:is>
      </x:c>
      <x:c r="D45" s="167" t="n">
        <x:v>46317</x:v>
      </x:c>
      <x:c r="E45" s="167" t="n">
        <x:v>46320</x:v>
      </x:c>
      <x:c r="F45" s="167" t="n">
        <x:v>46324</x:v>
      </x:c>
      <x:c r="G45" s="167" t="n">
        <x:v>46309</x:v>
      </x:c>
      <x:c r="H45" s="167" t="n">
        <x:v>46411</x:v>
      </x:c>
      <x:c r="I45" s="59" t="inlineStr">
        <x:is>
          <x:t xml:space="preserve">vps_crawl_sampling_master.xlsx</x:t>
        </x:is>
      </x:c>
    </x:row>
    <x:row r="46">
      <x:c r="A46" s="167" t="n">
        <x:v>46309</x:v>
      </x:c>
      <x:c r="B46" s="59" t="inlineStr">
        <x:is>
          <x:t xml:space="preserve">Thứ Tư</x:t>
        </x:is>
      </x:c>
      <x:c r="C46" s="59" t="inlineStr">
        <x:is>
          <x:t xml:space="preserve">00:30</x:t>
        </x:is>
      </x:c>
      <x:c r="D46" s="167" t="n">
        <x:v>46317</x:v>
      </x:c>
      <x:c r="E46" s="167" t="n">
        <x:v>46320</x:v>
      </x:c>
      <x:c r="F46" s="167" t="n">
        <x:v>46324</x:v>
      </x:c>
      <x:c r="G46" s="167" t="n">
        <x:v>46309</x:v>
      </x:c>
      <x:c r="H46" s="167" t="n">
        <x:v>46411</x:v>
      </x:c>
      <x:c r="I46" s="59" t="inlineStr">
        <x:is>
          <x:t xml:space="preserve">vps_crawl_sampling_master.xlsx</x:t>
        </x:is>
      </x:c>
    </x:row>
    <x:row r="47">
      <x:c r="A47" s="167" t="n">
        <x:v>46310</x:v>
      </x:c>
      <x:c r="B47" s="59" t="inlineStr">
        <x:is>
          <x:t xml:space="preserve">Thứ Năm</x:t>
        </x:is>
      </x:c>
      <x:c r="C47" s="59" t="inlineStr">
        <x:is>
          <x:t xml:space="preserve">00:30</x:t>
        </x:is>
      </x:c>
      <x:c r="D47" s="167" t="n">
        <x:v>46317</x:v>
      </x:c>
      <x:c r="E47" s="167" t="n">
        <x:v>46320</x:v>
      </x:c>
      <x:c r="F47" s="167" t="n">
        <x:v>46324</x:v>
      </x:c>
      <x:c r="G47" s="167" t="n">
        <x:v>46337</x:v>
      </x:c>
      <x:c r="H47" s="167" t="n">
        <x:v>46411</x:v>
      </x:c>
      <x:c r="I47" s="59" t="inlineStr">
        <x:is>
          <x:t xml:space="preserve">vps_crawl_sampling_master.xlsx</x:t>
        </x:is>
      </x:c>
    </x:row>
    <x:row r="48">
      <x:c r="A48" s="167" t="n">
        <x:v>46311</x:v>
      </x:c>
      <x:c r="B48" s="59" t="inlineStr">
        <x:is>
          <x:t xml:space="preserve">Thứ Sáu</x:t>
        </x:is>
      </x:c>
      <x:c r="C48" s="59" t="inlineStr">
        <x:is>
          <x:t xml:space="preserve">00:30</x:t>
        </x:is>
      </x:c>
      <x:c r="D48" s="167" t="n">
        <x:v>46317</x:v>
      </x:c>
      <x:c r="E48" s="167" t="n">
        <x:v>46320</x:v>
      </x:c>
      <x:c r="F48" s="167" t="n">
        <x:v>46324</x:v>
      </x:c>
      <x:c r="G48" s="167" t="n">
        <x:v>46337</x:v>
      </x:c>
      <x:c r="H48" s="167" t="n">
        <x:v>46411</x:v>
      </x:c>
      <x:c r="I48" s="59" t="inlineStr">
        <x:is>
          <x:t xml:space="preserve">vps_crawl_sampling_master.xlsx</x:t>
        </x:is>
      </x:c>
    </x:row>
    <x:row r="49">
      <x:c r="A49" s="167" t="n">
        <x:v>46312</x:v>
      </x:c>
      <x:c r="B49" s="59" t="inlineStr">
        <x:is>
          <x:t xml:space="preserve">Thứ Bảy</x:t>
        </x:is>
      </x:c>
      <x:c r="C49" s="59" t="inlineStr">
        <x:is>
          <x:t xml:space="preserve">00:30</x:t>
        </x:is>
      </x:c>
      <x:c r="D49" s="167" t="n">
        <x:v>46317</x:v>
      </x:c>
      <x:c r="E49" s="167" t="n">
        <x:v>46320</x:v>
      </x:c>
      <x:c r="F49" s="167" t="n">
        <x:v>46324</x:v>
      </x:c>
      <x:c r="G49" s="167" t="n">
        <x:v>46337</x:v>
      </x:c>
      <x:c r="H49" s="167" t="n">
        <x:v>46411</x:v>
      </x:c>
      <x:c r="I49" s="59" t="inlineStr">
        <x:is>
          <x:t xml:space="preserve">vps_crawl_sampling_master.xlsx</x:t>
        </x:is>
      </x:c>
    </x:row>
    <x:row r="50">
      <x:c r="A50" s="167" t="n">
        <x:v>46313</x:v>
      </x:c>
      <x:c r="B50" s="59" t="inlineStr">
        <x:is>
          <x:t xml:space="preserve">Chủ Nhật</x:t>
        </x:is>
      </x:c>
      <x:c r="C50" s="59" t="inlineStr">
        <x:is>
          <x:t xml:space="preserve">00:30</x:t>
        </x:is>
      </x:c>
      <x:c r="D50" s="167" t="n">
        <x:v>46317</x:v>
      </x:c>
      <x:c r="E50" s="167" t="n">
        <x:v>46320</x:v>
      </x:c>
      <x:c r="F50" s="167" t="n">
        <x:v>46324</x:v>
      </x:c>
      <x:c r="G50" s="167" t="n">
        <x:v>46337</x:v>
      </x:c>
      <x:c r="H50" s="167" t="n">
        <x:v>46411</x:v>
      </x:c>
      <x:c r="I50" s="59" t="inlineStr">
        <x:is>
          <x:t xml:space="preserve">vps_crawl_sampling_master.xlsx</x:t>
        </x:is>
      </x:c>
    </x:row>
    <x:row r="51">
      <x:c r="A51" s="167" t="n">
        <x:v>46314</x:v>
      </x:c>
      <x:c r="B51" s="59" t="inlineStr">
        <x:is>
          <x:t xml:space="preserve">Thứ Hai</x:t>
        </x:is>
      </x:c>
      <x:c r="C51" s="59" t="inlineStr">
        <x:is>
          <x:t xml:space="preserve">00:30</x:t>
        </x:is>
      </x:c>
      <x:c r="D51" s="167" t="n">
        <x:v>46317</x:v>
      </x:c>
      <x:c r="E51" s="167" t="n">
        <x:v>46320</x:v>
      </x:c>
      <x:c r="F51" s="167" t="n">
        <x:v>46324</x:v>
      </x:c>
      <x:c r="G51" s="167" t="n">
        <x:v>46337</x:v>
      </x:c>
      <x:c r="H51" s="167" t="n">
        <x:v>46411</x:v>
      </x:c>
      <x:c r="I51" s="59" t="inlineStr">
        <x:is>
          <x:t xml:space="preserve">vps_crawl_sampling_master.xlsx</x:t>
        </x:is>
      </x:c>
    </x:row>
    <x:row r="52">
      <x:c r="A52" s="167" t="n">
        <x:v>46315</x:v>
      </x:c>
      <x:c r="B52" s="59" t="inlineStr">
        <x:is>
          <x:t xml:space="preserve">Thứ Ba</x:t>
        </x:is>
      </x:c>
      <x:c r="C52" s="59" t="inlineStr">
        <x:is>
          <x:t xml:space="preserve">00:30</x:t>
        </x:is>
      </x:c>
      <x:c r="D52" s="167" t="n">
        <x:v>46317</x:v>
      </x:c>
      <x:c r="E52" s="167" t="n">
        <x:v>46320</x:v>
      </x:c>
      <x:c r="F52" s="167" t="n">
        <x:v>46324</x:v>
      </x:c>
      <x:c r="G52" s="167" t="n">
        <x:v>46337</x:v>
      </x:c>
      <x:c r="H52" s="167" t="n">
        <x:v>46411</x:v>
      </x:c>
      <x:c r="I52" s="59" t="inlineStr">
        <x:is>
          <x:t xml:space="preserve">vps_crawl_sampling_master.xlsx</x:t>
        </x:is>
      </x:c>
    </x:row>
    <x:row r="53">
      <x:c r="A53" s="167" t="n">
        <x:v>46316</x:v>
      </x:c>
      <x:c r="B53" s="59" t="inlineStr">
        <x:is>
          <x:t xml:space="preserve">Thứ Tư</x:t>
        </x:is>
      </x:c>
      <x:c r="C53" s="59" t="inlineStr">
        <x:is>
          <x:t xml:space="preserve">00:30</x:t>
        </x:is>
      </x:c>
      <x:c r="D53" s="167" t="n">
        <x:v>46317</x:v>
      </x:c>
      <x:c r="E53" s="167" t="n">
        <x:v>46320</x:v>
      </x:c>
      <x:c r="F53" s="167" t="n">
        <x:v>46324</x:v>
      </x:c>
      <x:c r="G53" s="167" t="n">
        <x:v>46337</x:v>
      </x:c>
      <x:c r="H53" s="167" t="n">
        <x:v>46411</x:v>
      </x:c>
      <x:c r="I53" s="59" t="inlineStr">
        <x:is>
          <x:t xml:space="preserve">vps_crawl_sampling_master.xlsx</x:t>
        </x:is>
      </x:c>
    </x:row>
    <x:row r="54">
      <x:c r="A54" s="167" t="n">
        <x:v>46317</x:v>
      </x:c>
      <x:c r="B54" s="59" t="inlineStr">
        <x:is>
          <x:t xml:space="preserve">Thứ Năm</x:t>
        </x:is>
      </x:c>
      <x:c r="C54" s="59" t="inlineStr">
        <x:is>
          <x:t xml:space="preserve">00:30</x:t>
        </x:is>
      </x:c>
      <x:c r="D54" s="167" t="n">
        <x:v>46317</x:v>
      </x:c>
      <x:c r="E54" s="167" t="n">
        <x:v>46320</x:v>
      </x:c>
      <x:c r="F54" s="167" t="n">
        <x:v>46324</x:v>
      </x:c>
      <x:c r="G54" s="167" t="n">
        <x:v>46337</x:v>
      </x:c>
      <x:c r="H54" s="167" t="n">
        <x:v>46411</x:v>
      </x:c>
      <x:c r="I54" s="59" t="inlineStr">
        <x:is>
          <x:t xml:space="preserve">vps_crawl_sampling_master.xlsx</x:t>
        </x:is>
      </x:c>
    </x:row>
    <x:row r="55">
      <x:c r="A55" s="167" t="n">
        <x:v>46318</x:v>
      </x:c>
      <x:c r="B55" s="59" t="inlineStr">
        <x:is>
          <x:t xml:space="preserve">Thứ Sáu</x:t>
        </x:is>
      </x:c>
      <x:c r="C55" s="59" t="inlineStr">
        <x:is>
          <x:t xml:space="preserve">00:30</x:t>
        </x:is>
      </x:c>
      <x:c r="D55" s="167" t="n">
        <x:v>46345</x:v>
      </x:c>
      <x:c r="E55" s="167" t="n">
        <x:v>46320</x:v>
      </x:c>
      <x:c r="F55" s="167" t="n">
        <x:v>46324</x:v>
      </x:c>
      <x:c r="G55" s="167" t="n">
        <x:v>46337</x:v>
      </x:c>
      <x:c r="H55" s="167" t="n">
        <x:v>46411</x:v>
      </x:c>
      <x:c r="I55" s="59" t="inlineStr">
        <x:is>
          <x:t xml:space="preserve">vps_crawl_sampling_master.xlsx</x:t>
        </x:is>
      </x:c>
    </x:row>
    <x:row r="56">
      <x:c r="A56" s="167" t="n">
        <x:v>46319</x:v>
      </x:c>
      <x:c r="B56" s="59" t="inlineStr">
        <x:is>
          <x:t xml:space="preserve">Thứ Bảy</x:t>
        </x:is>
      </x:c>
      <x:c r="C56" s="59" t="inlineStr">
        <x:is>
          <x:t xml:space="preserve">00:30</x:t>
        </x:is>
      </x:c>
      <x:c r="D56" s="167" t="n">
        <x:v>46345</x:v>
      </x:c>
      <x:c r="E56" s="167" t="n">
        <x:v>46320</x:v>
      </x:c>
      <x:c r="F56" s="167" t="n">
        <x:v>46324</x:v>
      </x:c>
      <x:c r="G56" s="167" t="n">
        <x:v>46337</x:v>
      </x:c>
      <x:c r="H56" s="167" t="n">
        <x:v>46411</x:v>
      </x:c>
      <x:c r="I56" s="59" t="inlineStr">
        <x:is>
          <x:t xml:space="preserve">vps_crawl_sampling_master.xlsx</x:t>
        </x:is>
      </x:c>
    </x:row>
    <x:row r="57">
      <x:c r="A57" s="167" t="n">
        <x:v>46320</x:v>
      </x:c>
      <x:c r="B57" s="59" t="inlineStr">
        <x:is>
          <x:t xml:space="preserve">Chủ Nhật</x:t>
        </x:is>
      </x:c>
      <x:c r="C57" s="59" t="inlineStr">
        <x:is>
          <x:t xml:space="preserve">00:30</x:t>
        </x:is>
      </x:c>
      <x:c r="D57" s="167" t="n">
        <x:v>46345</x:v>
      </x:c>
      <x:c r="E57" s="167" t="n">
        <x:v>46320</x:v>
      </x:c>
      <x:c r="F57" s="167" t="n">
        <x:v>46324</x:v>
      </x:c>
      <x:c r="G57" s="167" t="n">
        <x:v>46337</x:v>
      </x:c>
      <x:c r="H57" s="167" t="n">
        <x:v>46411</x:v>
      </x:c>
      <x:c r="I57" s="59" t="inlineStr">
        <x:is>
          <x:t xml:space="preserve">vps_crawl_sampling_master.xlsx</x:t>
        </x:is>
      </x:c>
    </x:row>
    <x:row r="58">
      <x:c r="A58" s="167" t="n">
        <x:v>46321</x:v>
      </x:c>
      <x:c r="B58" s="59" t="inlineStr">
        <x:is>
          <x:t xml:space="preserve">Thứ Hai</x:t>
        </x:is>
      </x:c>
      <x:c r="C58" s="59" t="inlineStr">
        <x:is>
          <x:t xml:space="preserve">00:30</x:t>
        </x:is>
      </x:c>
      <x:c r="D58" s="167" t="n">
        <x:v>46345</x:v>
      </x:c>
      <x:c r="E58" s="167" t="n">
        <x:v>46348</x:v>
      </x:c>
      <x:c r="F58" s="167" t="n">
        <x:v>46324</x:v>
      </x:c>
      <x:c r="G58" s="167" t="n">
        <x:v>46337</x:v>
      </x:c>
      <x:c r="H58" s="167" t="n">
        <x:v>46411</x:v>
      </x:c>
      <x:c r="I58" s="59" t="inlineStr">
        <x:is>
          <x:t xml:space="preserve">vps_crawl_sampling_master.xlsx</x:t>
        </x:is>
      </x:c>
    </x:row>
    <x:row r="59">
      <x:c r="A59" s="167" t="n">
        <x:v>46322</x:v>
      </x:c>
      <x:c r="B59" s="59" t="inlineStr">
        <x:is>
          <x:t xml:space="preserve">Thứ Ba</x:t>
        </x:is>
      </x:c>
      <x:c r="C59" s="59" t="inlineStr">
        <x:is>
          <x:t xml:space="preserve">00:30</x:t>
        </x:is>
      </x:c>
      <x:c r="D59" s="167" t="n">
        <x:v>46345</x:v>
      </x:c>
      <x:c r="E59" s="167" t="n">
        <x:v>46348</x:v>
      </x:c>
      <x:c r="F59" s="167" t="n">
        <x:v>46324</x:v>
      </x:c>
      <x:c r="G59" s="167" t="n">
        <x:v>46337</x:v>
      </x:c>
      <x:c r="H59" s="167" t="n">
        <x:v>46411</x:v>
      </x:c>
      <x:c r="I59" s="59" t="inlineStr">
        <x:is>
          <x:t xml:space="preserve">vps_crawl_sampling_master.xlsx</x:t>
        </x:is>
      </x:c>
    </x:row>
    <x:row r="60">
      <x:c r="A60" s="167" t="n">
        <x:v>46323</x:v>
      </x:c>
      <x:c r="B60" s="59" t="inlineStr">
        <x:is>
          <x:t xml:space="preserve">Thứ Tư</x:t>
        </x:is>
      </x:c>
      <x:c r="C60" s="59" t="inlineStr">
        <x:is>
          <x:t xml:space="preserve">00:30</x:t>
        </x:is>
      </x:c>
      <x:c r="D60" s="167" t="n">
        <x:v>46345</x:v>
      </x:c>
      <x:c r="E60" s="167" t="n">
        <x:v>46348</x:v>
      </x:c>
      <x:c r="F60" s="167" t="n">
        <x:v>46324</x:v>
      </x:c>
      <x:c r="G60" s="167" t="n">
        <x:v>46337</x:v>
      </x:c>
      <x:c r="H60" s="167" t="n">
        <x:v>46411</x:v>
      </x:c>
      <x:c r="I60" s="59" t="inlineStr">
        <x:is>
          <x:t xml:space="preserve">vps_crawl_sampling_master.xlsx</x:t>
        </x:is>
      </x:c>
    </x:row>
    <x:row r="61">
      <x:c r="A61" s="167" t="n">
        <x:v>46324</x:v>
      </x:c>
      <x:c r="B61" s="59" t="inlineStr">
        <x:is>
          <x:t xml:space="preserve">Thứ Năm</x:t>
        </x:is>
      </x:c>
      <x:c r="C61" s="59" t="inlineStr">
        <x:is>
          <x:t xml:space="preserve">00:30</x:t>
        </x:is>
      </x:c>
      <x:c r="D61" s="167" t="n">
        <x:v>46345</x:v>
      </x:c>
      <x:c r="E61" s="167" t="n">
        <x:v>46348</x:v>
      </x:c>
      <x:c r="F61" s="167" t="n">
        <x:v>46324</x:v>
      </x:c>
      <x:c r="G61" s="167" t="n">
        <x:v>46337</x:v>
      </x:c>
      <x:c r="H61" s="167" t="n">
        <x:v>46411</x:v>
      </x:c>
      <x:c r="I61" s="59" t="inlineStr">
        <x:is>
          <x:t xml:space="preserve">vps_crawl_sampling_master.xlsx</x:t>
        </x:is>
      </x:c>
    </x:row>
    <x:row r="62">
      <x:c r="A62" s="167" t="n">
        <x:v>46325</x:v>
      </x:c>
      <x:c r="B62" s="59" t="inlineStr">
        <x:is>
          <x:t xml:space="preserve">Thứ Sáu</x:t>
        </x:is>
      </x:c>
      <x:c r="C62" s="59" t="inlineStr">
        <x:is>
          <x:t xml:space="preserve">00:30</x:t>
        </x:is>
      </x:c>
      <x:c r="D62" s="167" t="n">
        <x:v>46345</x:v>
      </x:c>
      <x:c r="E62" s="167" t="n">
        <x:v>46348</x:v>
      </x:c>
      <x:c r="F62" s="167" t="n">
        <x:v>46352</x:v>
      </x:c>
      <x:c r="G62" s="167" t="n">
        <x:v>46337</x:v>
      </x:c>
      <x:c r="H62" s="167" t="n">
        <x:v>46411</x:v>
      </x:c>
      <x:c r="I62" s="59" t="inlineStr">
        <x:is>
          <x:t xml:space="preserve">vps_crawl_sampling_master.xlsx</x:t>
        </x:is>
      </x:c>
    </x:row>
    <x:row r="63">
      <x:c r="A63" s="167" t="n">
        <x:v>46326</x:v>
      </x:c>
      <x:c r="B63" s="59" t="inlineStr">
        <x:is>
          <x:t xml:space="preserve">Thứ Bảy</x:t>
        </x:is>
      </x:c>
      <x:c r="C63" s="59" t="inlineStr">
        <x:is>
          <x:t xml:space="preserve">00:30</x:t>
        </x:is>
      </x:c>
      <x:c r="D63" s="167" t="n">
        <x:v>46345</x:v>
      </x:c>
      <x:c r="E63" s="167" t="n">
        <x:v>46348</x:v>
      </x:c>
      <x:c r="F63" s="167" t="n">
        <x:v>46352</x:v>
      </x:c>
      <x:c r="G63" s="167" t="n">
        <x:v>46337</x:v>
      </x:c>
      <x:c r="H63" s="167" t="n">
        <x:v>46411</x:v>
      </x:c>
      <x:c r="I63" s="59" t="inlineStr">
        <x:is>
          <x:t xml:space="preserve">vps_crawl_sampling_master.xlsx</x:t>
        </x:is>
      </x:c>
    </x:row>
    <x:row r="64">
      <x:c r="A64" s="167" t="n">
        <x:v>46327</x:v>
      </x:c>
      <x:c r="B64" s="59" t="inlineStr">
        <x:is>
          <x:t xml:space="preserve">Chủ Nhật</x:t>
        </x:is>
      </x:c>
      <x:c r="C64" s="59" t="inlineStr">
        <x:is>
          <x:t xml:space="preserve">00:30</x:t>
        </x:is>
      </x:c>
      <x:c r="D64" s="167" t="n">
        <x:v>46345</x:v>
      </x:c>
      <x:c r="E64" s="167" t="n">
        <x:v>46348</x:v>
      </x:c>
      <x:c r="F64" s="167" t="n">
        <x:v>46352</x:v>
      </x:c>
      <x:c r="G64" s="167" t="n">
        <x:v>46337</x:v>
      </x:c>
      <x:c r="H64" s="167" t="n">
        <x:v>46411</x:v>
      </x:c>
      <x:c r="I64" s="59" t="inlineStr">
        <x:is>
          <x:t xml:space="preserve">vps_crawl_sampling_master.xlsx</x:t>
        </x:is>
      </x:c>
    </x:row>
    <x:row r="65">
      <x:c r="A65" s="167" t="n">
        <x:v>46328</x:v>
      </x:c>
      <x:c r="B65" s="59" t="inlineStr">
        <x:is>
          <x:t xml:space="preserve">Thứ Hai</x:t>
        </x:is>
      </x:c>
      <x:c r="C65" s="59" t="inlineStr">
        <x:is>
          <x:t xml:space="preserve">00:30</x:t>
        </x:is>
      </x:c>
      <x:c r="D65" s="167" t="n">
        <x:v>46345</x:v>
      </x:c>
      <x:c r="E65" s="167" t="n">
        <x:v>46348</x:v>
      </x:c>
      <x:c r="F65" s="167" t="n">
        <x:v>46352</x:v>
      </x:c>
      <x:c r="G65" s="167" t="n">
        <x:v>46337</x:v>
      </x:c>
      <x:c r="H65" s="167" t="n">
        <x:v>46411</x:v>
      </x:c>
      <x:c r="I65" s="59" t="inlineStr">
        <x:is>
          <x:t xml:space="preserve">vps_crawl_sampling_master.xlsx</x:t>
        </x:is>
      </x:c>
    </x:row>
    <x:row r="66">
      <x:c r="A66" s="167" t="n">
        <x:v>46329</x:v>
      </x:c>
      <x:c r="B66" s="59" t="inlineStr">
        <x:is>
          <x:t xml:space="preserve">Thứ Ba</x:t>
        </x:is>
      </x:c>
      <x:c r="C66" s="59" t="inlineStr">
        <x:is>
          <x:t xml:space="preserve">00:30</x:t>
        </x:is>
      </x:c>
      <x:c r="D66" s="167" t="n">
        <x:v>46345</x:v>
      </x:c>
      <x:c r="E66" s="167" t="n">
        <x:v>46348</x:v>
      </x:c>
      <x:c r="F66" s="167" t="n">
        <x:v>46352</x:v>
      </x:c>
      <x:c r="G66" s="167" t="n">
        <x:v>46337</x:v>
      </x:c>
      <x:c r="H66" s="167" t="n">
        <x:v>46411</x:v>
      </x:c>
      <x:c r="I66" s="59" t="inlineStr">
        <x:is>
          <x:t xml:space="preserve">vps_crawl_sampling_master.xlsx</x:t>
        </x:is>
      </x:c>
    </x:row>
    <x:row r="67">
      <x:c r="A67" s="167" t="n">
        <x:v>46330</x:v>
      </x:c>
      <x:c r="B67" s="59" t="inlineStr">
        <x:is>
          <x:t xml:space="preserve">Thứ Tư</x:t>
        </x:is>
      </x:c>
      <x:c r="C67" s="59" t="inlineStr">
        <x:is>
          <x:t xml:space="preserve">00:30</x:t>
        </x:is>
      </x:c>
      <x:c r="D67" s="167" t="n">
        <x:v>46345</x:v>
      </x:c>
      <x:c r="E67" s="167" t="n">
        <x:v>46348</x:v>
      </x:c>
      <x:c r="F67" s="167" t="n">
        <x:v>46352</x:v>
      </x:c>
      <x:c r="G67" s="167" t="n">
        <x:v>46337</x:v>
      </x:c>
      <x:c r="H67" s="167" t="n">
        <x:v>46411</x:v>
      </x:c>
      <x:c r="I67" s="59" t="inlineStr">
        <x:is>
          <x:t xml:space="preserve">vps_crawl_sampling_master.xlsx</x:t>
        </x:is>
      </x:c>
    </x:row>
    <x:row r="68">
      <x:c r="A68" s="167" t="n">
        <x:v>46331</x:v>
      </x:c>
      <x:c r="B68" s="59" t="inlineStr">
        <x:is>
          <x:t xml:space="preserve">Thứ Năm</x:t>
        </x:is>
      </x:c>
      <x:c r="C68" s="59" t="inlineStr">
        <x:is>
          <x:t xml:space="preserve">00:30</x:t>
        </x:is>
      </x:c>
      <x:c r="D68" s="167" t="n">
        <x:v>46345</x:v>
      </x:c>
      <x:c r="E68" s="167" t="n">
        <x:v>46348</x:v>
      </x:c>
      <x:c r="F68" s="167" t="n">
        <x:v>46352</x:v>
      </x:c>
      <x:c r="G68" s="167" t="n">
        <x:v>46337</x:v>
      </x:c>
      <x:c r="H68" s="167" t="n">
        <x:v>46411</x:v>
      </x:c>
      <x:c r="I68" s="59" t="inlineStr">
        <x:is>
          <x:t xml:space="preserve">vps_crawl_sampling_master.xlsx</x:t>
        </x:is>
      </x:c>
    </x:row>
    <x:row r="69">
      <x:c r="A69" s="167" t="n">
        <x:v>46332</x:v>
      </x:c>
      <x:c r="B69" s="59" t="inlineStr">
        <x:is>
          <x:t xml:space="preserve">Thứ Sáu</x:t>
        </x:is>
      </x:c>
      <x:c r="C69" s="59" t="inlineStr">
        <x:is>
          <x:t xml:space="preserve">00:30</x:t>
        </x:is>
      </x:c>
      <x:c r="D69" s="167" t="n">
        <x:v>46345</x:v>
      </x:c>
      <x:c r="E69" s="167" t="n">
        <x:v>46348</x:v>
      </x:c>
      <x:c r="F69" s="167" t="n">
        <x:v>46352</x:v>
      </x:c>
      <x:c r="G69" s="167" t="n">
        <x:v>46337</x:v>
      </x:c>
      <x:c r="H69" s="167" t="n">
        <x:v>46411</x:v>
      </x:c>
      <x:c r="I69" s="59" t="inlineStr">
        <x:is>
          <x:t xml:space="preserve">vps_crawl_sampling_master.xlsx</x:t>
        </x:is>
      </x:c>
    </x:row>
    <x:row r="70">
      <x:c r="A70" s="167" t="n">
        <x:v>46333</x:v>
      </x:c>
      <x:c r="B70" s="59" t="inlineStr">
        <x:is>
          <x:t xml:space="preserve">Thứ Bảy</x:t>
        </x:is>
      </x:c>
      <x:c r="C70" s="59" t="inlineStr">
        <x:is>
          <x:t xml:space="preserve">00:30</x:t>
        </x:is>
      </x:c>
      <x:c r="D70" s="167" t="n">
        <x:v>46345</x:v>
      </x:c>
      <x:c r="E70" s="167" t="n">
        <x:v>46348</x:v>
      </x:c>
      <x:c r="F70" s="167" t="n">
        <x:v>46352</x:v>
      </x:c>
      <x:c r="G70" s="167" t="n">
        <x:v>46337</x:v>
      </x:c>
      <x:c r="H70" s="167" t="n">
        <x:v>46411</x:v>
      </x:c>
      <x:c r="I70" s="59" t="inlineStr">
        <x:is>
          <x:t xml:space="preserve">vps_crawl_sampling_master.xlsx</x:t>
        </x:is>
      </x:c>
    </x:row>
    <x:row r="71">
      <x:c r="A71" s="167" t="n">
        <x:v>46334</x:v>
      </x:c>
      <x:c r="B71" s="59" t="inlineStr">
        <x:is>
          <x:t xml:space="preserve">Chủ Nhật</x:t>
        </x:is>
      </x:c>
      <x:c r="C71" s="59" t="inlineStr">
        <x:is>
          <x:t xml:space="preserve">00:30</x:t>
        </x:is>
      </x:c>
      <x:c r="D71" s="167" t="n">
        <x:v>46345</x:v>
      </x:c>
      <x:c r="E71" s="167" t="n">
        <x:v>46348</x:v>
      </x:c>
      <x:c r="F71" s="167" t="n">
        <x:v>46352</x:v>
      </x:c>
      <x:c r="G71" s="167" t="n">
        <x:v>46337</x:v>
      </x:c>
      <x:c r="H71" s="167" t="n">
        <x:v>46411</x:v>
      </x:c>
      <x:c r="I71" s="59" t="inlineStr">
        <x:is>
          <x:t xml:space="preserve">vps_crawl_sampling_master.xlsx</x:t>
        </x:is>
      </x:c>
    </x:row>
    <x:row r="72">
      <x:c r="A72" s="167" t="n">
        <x:v>46335</x:v>
      </x:c>
      <x:c r="B72" s="59" t="inlineStr">
        <x:is>
          <x:t xml:space="preserve">Thứ Hai</x:t>
        </x:is>
      </x:c>
      <x:c r="C72" s="59" t="inlineStr">
        <x:is>
          <x:t xml:space="preserve">00:30</x:t>
        </x:is>
      </x:c>
      <x:c r="D72" s="167" t="n">
        <x:v>46345</x:v>
      </x:c>
      <x:c r="E72" s="167" t="n">
        <x:v>46348</x:v>
      </x:c>
      <x:c r="F72" s="167" t="n">
        <x:v>46352</x:v>
      </x:c>
      <x:c r="G72" s="167" t="n">
        <x:v>46337</x:v>
      </x:c>
      <x:c r="H72" s="167" t="n">
        <x:v>46411</x:v>
      </x:c>
      <x:c r="I72" s="59" t="inlineStr">
        <x:is>
          <x:t xml:space="preserve">vps_crawl_sampling_master.xlsx</x:t>
        </x:is>
      </x:c>
    </x:row>
    <x:row r="73">
      <x:c r="A73" s="167" t="n">
        <x:v>46336</x:v>
      </x:c>
      <x:c r="B73" s="59" t="inlineStr">
        <x:is>
          <x:t xml:space="preserve">Thứ Ba</x:t>
        </x:is>
      </x:c>
      <x:c r="C73" s="59" t="inlineStr">
        <x:is>
          <x:t xml:space="preserve">00:30</x:t>
        </x:is>
      </x:c>
      <x:c r="D73" s="167" t="n">
        <x:v>46345</x:v>
      </x:c>
      <x:c r="E73" s="167" t="n">
        <x:v>46348</x:v>
      </x:c>
      <x:c r="F73" s="167" t="n">
        <x:v>46352</x:v>
      </x:c>
      <x:c r="G73" s="167" t="n">
        <x:v>46337</x:v>
      </x:c>
      <x:c r="H73" s="167" t="n">
        <x:v>46411</x:v>
      </x:c>
      <x:c r="I73" s="59" t="inlineStr">
        <x:is>
          <x:t xml:space="preserve">vps_crawl_sampling_master.xlsx</x:t>
        </x:is>
      </x:c>
    </x:row>
    <x:row r="74">
      <x:c r="A74" s="167" t="n">
        <x:v>46337</x:v>
      </x:c>
      <x:c r="B74" s="59" t="inlineStr">
        <x:is>
          <x:t xml:space="preserve">Thứ Tư</x:t>
        </x:is>
      </x:c>
      <x:c r="C74" s="59" t="inlineStr">
        <x:is>
          <x:t xml:space="preserve">00:30</x:t>
        </x:is>
      </x:c>
      <x:c r="D74" s="167" t="n">
        <x:v>46345</x:v>
      </x:c>
      <x:c r="E74" s="167" t="n">
        <x:v>46348</x:v>
      </x:c>
      <x:c r="F74" s="167" t="n">
        <x:v>46352</x:v>
      </x:c>
      <x:c r="G74" s="167" t="n">
        <x:v>46337</x:v>
      </x:c>
      <x:c r="H74" s="167" t="n">
        <x:v>46411</x:v>
      </x:c>
      <x:c r="I74" s="59" t="inlineStr">
        <x:is>
          <x:t xml:space="preserve">vps_crawl_sampling_master.xlsx</x:t>
        </x:is>
      </x:c>
    </x:row>
    <x:row r="75">
      <x:c r="A75" s="167" t="n">
        <x:v>46338</x:v>
      </x:c>
      <x:c r="B75" s="59" t="inlineStr">
        <x:is>
          <x:t xml:space="preserve">Thứ Năm</x:t>
        </x:is>
      </x:c>
      <x:c r="C75" s="59" t="inlineStr">
        <x:is>
          <x:t xml:space="preserve">00:30</x:t>
        </x:is>
      </x:c>
      <x:c r="D75" s="167" t="n">
        <x:v>46345</x:v>
      </x:c>
      <x:c r="E75" s="167" t="n">
        <x:v>46348</x:v>
      </x:c>
      <x:c r="F75" s="167" t="n">
        <x:v>46352</x:v>
      </x:c>
      <x:c r="G75" s="167" t="n">
        <x:v>46365</x:v>
      </x:c>
      <x:c r="H75" s="167" t="n">
        <x:v>46411</x:v>
      </x:c>
      <x:c r="I75" s="59" t="inlineStr">
        <x:is>
          <x:t xml:space="preserve">vps_crawl_sampling_master.xlsx</x:t>
        </x:is>
      </x:c>
    </x:row>
    <x:row r="76">
      <x:c r="A76" s="167" t="n">
        <x:v>46339</x:v>
      </x:c>
      <x:c r="B76" s="59" t="inlineStr">
        <x:is>
          <x:t xml:space="preserve">Thứ Sáu</x:t>
        </x:is>
      </x:c>
      <x:c r="C76" s="59" t="inlineStr">
        <x:is>
          <x:t xml:space="preserve">00:30</x:t>
        </x:is>
      </x:c>
      <x:c r="D76" s="167" t="n">
        <x:v>46345</x:v>
      </x:c>
      <x:c r="E76" s="167" t="n">
        <x:v>46348</x:v>
      </x:c>
      <x:c r="F76" s="167" t="n">
        <x:v>46352</x:v>
      </x:c>
      <x:c r="G76" s="167" t="n">
        <x:v>46365</x:v>
      </x:c>
      <x:c r="H76" s="167" t="n">
        <x:v>46411</x:v>
      </x:c>
      <x:c r="I76" s="59" t="inlineStr">
        <x:is>
          <x:t xml:space="preserve">vps_crawl_sampling_master.xlsx</x:t>
        </x:is>
      </x:c>
    </x:row>
    <x:row r="77">
      <x:c r="A77" s="167" t="n">
        <x:v>46340</x:v>
      </x:c>
      <x:c r="B77" s="59" t="inlineStr">
        <x:is>
          <x:t xml:space="preserve">Thứ Bảy</x:t>
        </x:is>
      </x:c>
      <x:c r="C77" s="59" t="inlineStr">
        <x:is>
          <x:t xml:space="preserve">00:30</x:t>
        </x:is>
      </x:c>
      <x:c r="D77" s="167" t="n">
        <x:v>46345</x:v>
      </x:c>
      <x:c r="E77" s="167" t="n">
        <x:v>46348</x:v>
      </x:c>
      <x:c r="F77" s="167" t="n">
        <x:v>46352</x:v>
      </x:c>
      <x:c r="G77" s="167" t="n">
        <x:v>46365</x:v>
      </x:c>
      <x:c r="H77" s="167" t="n">
        <x:v>46411</x:v>
      </x:c>
      <x:c r="I77" s="59" t="inlineStr">
        <x:is>
          <x:t xml:space="preserve">vps_crawl_sampling_master.xlsx</x:t>
        </x:is>
      </x:c>
    </x:row>
    <x:row r="78">
      <x:c r="A78" s="167" t="n">
        <x:v>46341</x:v>
      </x:c>
      <x:c r="B78" s="59" t="inlineStr">
        <x:is>
          <x:t xml:space="preserve">Chủ Nhật</x:t>
        </x:is>
      </x:c>
      <x:c r="C78" s="59" t="inlineStr">
        <x:is>
          <x:t xml:space="preserve">00:30</x:t>
        </x:is>
      </x:c>
      <x:c r="D78" s="167" t="n">
        <x:v>46345</x:v>
      </x:c>
      <x:c r="E78" s="167" t="n">
        <x:v>46348</x:v>
      </x:c>
      <x:c r="F78" s="167" t="n">
        <x:v>46352</x:v>
      </x:c>
      <x:c r="G78" s="167" t="n">
        <x:v>46365</x:v>
      </x:c>
      <x:c r="H78" s="167" t="n">
        <x:v>46411</x:v>
      </x:c>
      <x:c r="I78" s="59" t="inlineStr">
        <x:is>
          <x:t xml:space="preserve">vps_crawl_sampling_master.xlsx</x:t>
        </x:is>
      </x:c>
    </x:row>
    <x:row r="79">
      <x:c r="A79" s="167" t="n">
        <x:v>46342</x:v>
      </x:c>
      <x:c r="B79" s="59" t="inlineStr">
        <x:is>
          <x:t xml:space="preserve">Thứ Hai</x:t>
        </x:is>
      </x:c>
      <x:c r="C79" s="59" t="inlineStr">
        <x:is>
          <x:t xml:space="preserve">00:30</x:t>
        </x:is>
      </x:c>
      <x:c r="D79" s="167" t="n">
        <x:v>46345</x:v>
      </x:c>
      <x:c r="E79" s="167" t="n">
        <x:v>46348</x:v>
      </x:c>
      <x:c r="F79" s="167" t="n">
        <x:v>46352</x:v>
      </x:c>
      <x:c r="G79" s="167" t="n">
        <x:v>46365</x:v>
      </x:c>
      <x:c r="H79" s="167" t="n">
        <x:v>46411</x:v>
      </x:c>
      <x:c r="I79" s="59" t="inlineStr">
        <x:is>
          <x:t xml:space="preserve">vps_crawl_sampling_master.xlsx</x:t>
        </x:is>
      </x:c>
    </x:row>
    <x:row r="80">
      <x:c r="A80" s="167" t="n">
        <x:v>46343</x:v>
      </x:c>
      <x:c r="B80" s="59" t="inlineStr">
        <x:is>
          <x:t xml:space="preserve">Thứ Ba</x:t>
        </x:is>
      </x:c>
      <x:c r="C80" s="59" t="inlineStr">
        <x:is>
          <x:t xml:space="preserve">00:30</x:t>
        </x:is>
      </x:c>
      <x:c r="D80" s="167" t="n">
        <x:v>46345</x:v>
      </x:c>
      <x:c r="E80" s="167" t="n">
        <x:v>46348</x:v>
      </x:c>
      <x:c r="F80" s="167" t="n">
        <x:v>46352</x:v>
      </x:c>
      <x:c r="G80" s="167" t="n">
        <x:v>46365</x:v>
      </x:c>
      <x:c r="H80" s="167" t="n">
        <x:v>46411</x:v>
      </x:c>
      <x:c r="I80" s="59" t="inlineStr">
        <x:is>
          <x:t xml:space="preserve">vps_crawl_sampling_master.xlsx</x:t>
        </x:is>
      </x:c>
    </x:row>
    <x:row r="81">
      <x:c r="A81" s="167" t="n">
        <x:v>46344</x:v>
      </x:c>
      <x:c r="B81" s="59" t="inlineStr">
        <x:is>
          <x:t xml:space="preserve">Thứ Tư</x:t>
        </x:is>
      </x:c>
      <x:c r="C81" s="59" t="inlineStr">
        <x:is>
          <x:t xml:space="preserve">00:30</x:t>
        </x:is>
      </x:c>
      <x:c r="D81" s="167" t="n">
        <x:v>46345</x:v>
      </x:c>
      <x:c r="E81" s="167" t="n">
        <x:v>46348</x:v>
      </x:c>
      <x:c r="F81" s="167" t="n">
        <x:v>46352</x:v>
      </x:c>
      <x:c r="G81" s="167" t="n">
        <x:v>46365</x:v>
      </x:c>
      <x:c r="H81" s="167" t="n">
        <x:v>46411</x:v>
      </x:c>
      <x:c r="I81" s="59" t="inlineStr">
        <x:is>
          <x:t xml:space="preserve">vps_crawl_sampling_master.xlsx</x:t>
        </x:is>
      </x:c>
    </x:row>
    <x:row r="82">
      <x:c r="A82" s="167" t="n">
        <x:v>46345</x:v>
      </x:c>
      <x:c r="B82" s="59" t="inlineStr">
        <x:is>
          <x:t xml:space="preserve">Thứ Năm</x:t>
        </x:is>
      </x:c>
      <x:c r="C82" s="59" t="inlineStr">
        <x:is>
          <x:t xml:space="preserve">00:30</x:t>
        </x:is>
      </x:c>
      <x:c r="D82" s="167" t="n">
        <x:v>46345</x:v>
      </x:c>
      <x:c r="E82" s="167" t="n">
        <x:v>46348</x:v>
      </x:c>
      <x:c r="F82" s="167" t="n">
        <x:v>46352</x:v>
      </x:c>
      <x:c r="G82" s="167" t="n">
        <x:v>46365</x:v>
      </x:c>
      <x:c r="H82" s="167" t="n">
        <x:v>46411</x:v>
      </x:c>
      <x:c r="I82" s="59" t="inlineStr">
        <x:is>
          <x:t xml:space="preserve">vps_crawl_sampling_master.xlsx</x:t>
        </x:is>
      </x:c>
    </x:row>
    <x:row r="83">
      <x:c r="A83" s="167" t="n">
        <x:v>46346</x:v>
      </x:c>
      <x:c r="B83" s="59" t="inlineStr">
        <x:is>
          <x:t xml:space="preserve">Thứ Sáu</x:t>
        </x:is>
      </x:c>
      <x:c r="C83" s="59" t="inlineStr">
        <x:is>
          <x:t xml:space="preserve">00:30</x:t>
        </x:is>
      </x:c>
      <x:c r="D83" s="167" t="n">
        <x:v>46373</x:v>
      </x:c>
      <x:c r="E83" s="167" t="n">
        <x:v>46348</x:v>
      </x:c>
      <x:c r="F83" s="167" t="n">
        <x:v>46352</x:v>
      </x:c>
      <x:c r="G83" s="167" t="n">
        <x:v>46365</x:v>
      </x:c>
      <x:c r="H83" s="167" t="n">
        <x:v>46411</x:v>
      </x:c>
      <x:c r="I83" s="59" t="inlineStr">
        <x:is>
          <x:t xml:space="preserve">vps_crawl_sampling_master.xlsx</x:t>
        </x:is>
      </x:c>
    </x:row>
    <x:row r="84">
      <x:c r="A84" s="167" t="n">
        <x:v>46347</x:v>
      </x:c>
      <x:c r="B84" s="59" t="inlineStr">
        <x:is>
          <x:t xml:space="preserve">Thứ Bảy</x:t>
        </x:is>
      </x:c>
      <x:c r="C84" s="59" t="inlineStr">
        <x:is>
          <x:t xml:space="preserve">00:30</x:t>
        </x:is>
      </x:c>
      <x:c r="D84" s="167" t="n">
        <x:v>46373</x:v>
      </x:c>
      <x:c r="E84" s="167" t="n">
        <x:v>46348</x:v>
      </x:c>
      <x:c r="F84" s="167" t="n">
        <x:v>46352</x:v>
      </x:c>
      <x:c r="G84" s="167" t="n">
        <x:v>46365</x:v>
      </x:c>
      <x:c r="H84" s="167" t="n">
        <x:v>46411</x:v>
      </x:c>
      <x:c r="I84" s="59" t="inlineStr">
        <x:is>
          <x:t xml:space="preserve">vps_crawl_sampling_master.xlsx</x:t>
        </x:is>
      </x:c>
    </x:row>
    <x:row r="85">
      <x:c r="A85" s="167" t="n">
        <x:v>46348</x:v>
      </x:c>
      <x:c r="B85" s="59" t="inlineStr">
        <x:is>
          <x:t xml:space="preserve">Chủ Nhật</x:t>
        </x:is>
      </x:c>
      <x:c r="C85" s="59" t="inlineStr">
        <x:is>
          <x:t xml:space="preserve">00:30</x:t>
        </x:is>
      </x:c>
      <x:c r="D85" s="167" t="n">
        <x:v>46373</x:v>
      </x:c>
      <x:c r="E85" s="167" t="n">
        <x:v>46348</x:v>
      </x:c>
      <x:c r="F85" s="167" t="n">
        <x:v>46352</x:v>
      </x:c>
      <x:c r="G85" s="167" t="n">
        <x:v>46365</x:v>
      </x:c>
      <x:c r="H85" s="167" t="n">
        <x:v>46411</x:v>
      </x:c>
      <x:c r="I85" s="59" t="inlineStr">
        <x:is>
          <x:t xml:space="preserve">vps_crawl_sampling_master.xlsx</x:t>
        </x:is>
      </x:c>
    </x:row>
    <x:row r="86">
      <x:c r="A86" s="167" t="n">
        <x:v>46349</x:v>
      </x:c>
      <x:c r="B86" s="59" t="inlineStr">
        <x:is>
          <x:t xml:space="preserve">Thứ Hai</x:t>
        </x:is>
      </x:c>
      <x:c r="C86" s="59" t="inlineStr">
        <x:is>
          <x:t xml:space="preserve">00:30</x:t>
        </x:is>
      </x:c>
      <x:c r="D86" s="167" t="n">
        <x:v>46373</x:v>
      </x:c>
      <x:c r="E86" s="167" t="n">
        <x:v>46376</x:v>
      </x:c>
      <x:c r="F86" s="167" t="n">
        <x:v>46352</x:v>
      </x:c>
      <x:c r="G86" s="167" t="n">
        <x:v>46365</x:v>
      </x:c>
      <x:c r="H86" s="167" t="n">
        <x:v>46411</x:v>
      </x:c>
      <x:c r="I86" s="59" t="inlineStr">
        <x:is>
          <x:t xml:space="preserve">vps_crawl_sampling_master.xlsx</x:t>
        </x:is>
      </x:c>
    </x:row>
    <x:row r="87">
      <x:c r="A87" s="167" t="n">
        <x:v>46350</x:v>
      </x:c>
      <x:c r="B87" s="59" t="inlineStr">
        <x:is>
          <x:t xml:space="preserve">Thứ Ba</x:t>
        </x:is>
      </x:c>
      <x:c r="C87" s="59" t="inlineStr">
        <x:is>
          <x:t xml:space="preserve">00:30</x:t>
        </x:is>
      </x:c>
      <x:c r="D87" s="167" t="n">
        <x:v>46373</x:v>
      </x:c>
      <x:c r="E87" s="167" t="n">
        <x:v>46376</x:v>
      </x:c>
      <x:c r="F87" s="167" t="n">
        <x:v>46352</x:v>
      </x:c>
      <x:c r="G87" s="167" t="n">
        <x:v>46365</x:v>
      </x:c>
      <x:c r="H87" s="167" t="n">
        <x:v>46411</x:v>
      </x:c>
      <x:c r="I87" s="59" t="inlineStr">
        <x:is>
          <x:t xml:space="preserve">vps_crawl_sampling_master.xlsx</x:t>
        </x:is>
      </x:c>
    </x:row>
    <x:row r="88">
      <x:c r="A88" s="167" t="n">
        <x:v>46351</x:v>
      </x:c>
      <x:c r="B88" s="59" t="inlineStr">
        <x:is>
          <x:t xml:space="preserve">Thứ Tư</x:t>
        </x:is>
      </x:c>
      <x:c r="C88" s="59" t="inlineStr">
        <x:is>
          <x:t xml:space="preserve">00:30</x:t>
        </x:is>
      </x:c>
      <x:c r="D88" s="167" t="n">
        <x:v>46373</x:v>
      </x:c>
      <x:c r="E88" s="167" t="n">
        <x:v>46376</x:v>
      </x:c>
      <x:c r="F88" s="167" t="n">
        <x:v>46352</x:v>
      </x:c>
      <x:c r="G88" s="167" t="n">
        <x:v>46365</x:v>
      </x:c>
      <x:c r="H88" s="167" t="n">
        <x:v>46411</x:v>
      </x:c>
      <x:c r="I88" s="59" t="inlineStr">
        <x:is>
          <x:t xml:space="preserve">vps_crawl_sampling_master.xlsx</x:t>
        </x:is>
      </x:c>
    </x:row>
    <x:row r="89">
      <x:c r="A89" s="167" t="n">
        <x:v>46352</x:v>
      </x:c>
      <x:c r="B89" s="59" t="inlineStr">
        <x:is>
          <x:t xml:space="preserve">Thứ Năm</x:t>
        </x:is>
      </x:c>
      <x:c r="C89" s="59" t="inlineStr">
        <x:is>
          <x:t xml:space="preserve">00:30</x:t>
        </x:is>
      </x:c>
      <x:c r="D89" s="167" t="n">
        <x:v>46373</x:v>
      </x:c>
      <x:c r="E89" s="167" t="n">
        <x:v>46376</x:v>
      </x:c>
      <x:c r="F89" s="167" t="n">
        <x:v>46352</x:v>
      </x:c>
      <x:c r="G89" s="167" t="n">
        <x:v>46365</x:v>
      </x:c>
      <x:c r="H89" s="167" t="n">
        <x:v>46411</x:v>
      </x:c>
      <x:c r="I89" s="59" t="inlineStr">
        <x:is>
          <x:t xml:space="preserve">vps_crawl_sampling_master.xlsx</x:t>
        </x:is>
      </x:c>
    </x:row>
    <x:row r="90">
      <x:c r="A90" s="167" t="n">
        <x:v>46353</x:v>
      </x:c>
      <x:c r="B90" s="59" t="inlineStr">
        <x:is>
          <x:t xml:space="preserve">Thứ Sáu</x:t>
        </x:is>
      </x:c>
      <x:c r="C90" s="59" t="inlineStr">
        <x:is>
          <x:t xml:space="preserve">00:30</x:t>
        </x:is>
      </x:c>
      <x:c r="D90" s="167" t="n">
        <x:v>46373</x:v>
      </x:c>
      <x:c r="E90" s="167" t="n">
        <x:v>46376</x:v>
      </x:c>
      <x:c r="F90" s="167" t="n">
        <x:v>46380</x:v>
      </x:c>
      <x:c r="G90" s="167" t="n">
        <x:v>46365</x:v>
      </x:c>
      <x:c r="H90" s="167" t="n">
        <x:v>46411</x:v>
      </x:c>
      <x:c r="I90" s="59" t="inlineStr">
        <x:is>
          <x:t xml:space="preserve">vps_crawl_sampling_master.xlsx</x:t>
        </x:is>
      </x:c>
    </x:row>
    <x:row r="91">
      <x:c r="A91" s="167" t="n">
        <x:v>46354</x:v>
      </x:c>
      <x:c r="B91" s="59" t="inlineStr">
        <x:is>
          <x:t xml:space="preserve">Thứ Bảy</x:t>
        </x:is>
      </x:c>
      <x:c r="C91" s="59" t="inlineStr">
        <x:is>
          <x:t xml:space="preserve">00:30</x:t>
        </x:is>
      </x:c>
      <x:c r="D91" s="167" t="n">
        <x:v>46373</x:v>
      </x:c>
      <x:c r="E91" s="167" t="n">
        <x:v>46376</x:v>
      </x:c>
      <x:c r="F91" s="167" t="n">
        <x:v>46380</x:v>
      </x:c>
      <x:c r="G91" s="167" t="n">
        <x:v>46365</x:v>
      </x:c>
      <x:c r="H91" s="167" t="n">
        <x:v>46411</x:v>
      </x:c>
      <x:c r="I91" s="59" t="inlineStr">
        <x:is>
          <x:t xml:space="preserve">vps_crawl_sampling_master.xlsx</x:t>
        </x:is>
      </x:c>
    </x:row>
    <x:row r="92">
      <x:c r="A92" s="167" t="n">
        <x:v>46355</x:v>
      </x:c>
      <x:c r="B92" s="59" t="inlineStr">
        <x:is>
          <x:t xml:space="preserve">Chủ Nhật</x:t>
        </x:is>
      </x:c>
      <x:c r="C92" s="59" t="inlineStr">
        <x:is>
          <x:t xml:space="preserve">00:30</x:t>
        </x:is>
      </x:c>
      <x:c r="D92" s="167" t="n">
        <x:v>46373</x:v>
      </x:c>
      <x:c r="E92" s="167" t="n">
        <x:v>46376</x:v>
      </x:c>
      <x:c r="F92" s="167" t="n">
        <x:v>46380</x:v>
      </x:c>
      <x:c r="G92" s="167" t="n">
        <x:v>46365</x:v>
      </x:c>
      <x:c r="H92" s="167" t="n">
        <x:v>46411</x:v>
      </x:c>
      <x:c r="I92" s="59" t="inlineStr">
        <x:is>
          <x:t xml:space="preserve">vps_crawl_sampling_master.xlsx</x:t>
        </x:is>
      </x:c>
    </x:row>
    <x:row r="93">
      <x:c r="A93" s="171" t="n">
        <x:v>46356</x:v>
      </x:c>
      <x:c r="B93" s="63" t="inlineStr">
        <x:is>
          <x:t xml:space="preserve">Thứ Hai</x:t>
        </x:is>
      </x:c>
      <x:c r="C93" s="63" t="inlineStr">
        <x:is>
          <x:t xml:space="preserve">00:30</x:t>
        </x:is>
      </x:c>
      <x:c r="D93" s="171" t="n">
        <x:v>46373</x:v>
      </x:c>
      <x:c r="E93" s="171" t="n">
        <x:v>46376</x:v>
      </x:c>
      <x:c r="F93" s="171" t="n">
        <x:v>46380</x:v>
      </x:c>
      <x:c r="G93" s="171" t="n">
        <x:v>46365</x:v>
      </x:c>
      <x:c r="H93" s="171" t="n">
        <x:v>46411</x:v>
      </x:c>
      <x:c r="I93" s="63" t="inlineStr">
        <x:is>
          <x:t xml:space="preserve">vps_crawl_sampling_master.xlsx</x:t>
        </x:is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20" customWidth="1"/>
    <x:col min="3" max="3" width="35" customWidth="1"/>
    <x:col min="4" max="4" width="15" customWidth="1"/>
    <x:col min="5" max="5" width="13" customWidth="1"/>
    <x:col min="6" max="6" width="18" customWidth="1"/>
    <x:col min="7" max="7" width="60" customWidth="1"/>
    <x:col min="8" max="8" width="42" customWidth="1"/>
    <x:col min="9" max="9" width="56" customWidth="1"/>
  </x:cols>
  <x:sheetData>
    <x:row r="1" ht="30" customHeight="1">
      <x:c r="A1" s="25" t="inlineStr">
        <x:is>
          <x:t xml:space="preserve">QUY TẮC MÁY PHỤ — 12 SLOT NGÀY 02/09; 10 SLOT TỪ 03/09</x:t>
        </x:is>
      </x:c>
    </x:row>
    <x:row r="2">
      <x:c r="A2" s="26" t="n"/>
      <x:c r="B2" s="26" t="n"/>
      <x:c r="C2" s="26" t="n"/>
      <x:c r="D2" s="26" t="n"/>
      <x:c r="E2" s="26" t="n"/>
      <x:c r="F2" s="26" t="n"/>
      <x:c r="G2" s="26" t="n"/>
      <x:c r="H2" s="26" t="n"/>
      <x:c r="I2" s="26" t="n"/>
    </x:row>
    <x:row r="3" ht="30" customHeight="1">
      <x:c r="A3" s="9" t="inlineStr">
        <x:is>
          <x:t xml:space="preserve">Slot</x:t>
        </x:is>
      </x:c>
      <x:c r="B3" s="9" t="inlineStr">
        <x:is>
          <x:t xml:space="preserve">Vai trò</x:t>
        </x:is>
      </x:c>
      <x:c r="C3" s="9" t="inlineStr">
        <x:is>
          <x:t xml:space="preserve">Mục đích</x:t>
        </x:is>
      </x:c>
      <x:c r="D3" s="9" t="inlineStr">
        <x:is>
          <x:t xml:space="preserve">Anchor đầu</x:t>
        </x:is>
      </x:c>
      <x:c r="E3" s="9" t="inlineStr">
        <x:is>
          <x:t xml:space="preserve">Cycle (ngày)</x:t>
        </x:is>
      </x:c>
      <x:c r="F3" s="9" t="inlineStr">
        <x:is>
          <x:t xml:space="preserve">Weekday anchor</x:t>
        </x:is>
      </x:c>
      <x:c r="G3" s="9" t="inlineStr">
        <x:is>
          <x:t xml:space="preserve">Chuỗi anchor</x:t>
        </x:is>
      </x:c>
      <x:c r="H3" s="9" t="inlineStr">
        <x:is>
          <x:t xml:space="preserve">Điều kiện roll</x:t>
        </x:is>
      </x:c>
      <x:c r="I3" s="9" t="inlineStr">
        <x:is>
          <x:t xml:space="preserve">Kiểm tra bắt buộc</x:t>
        </x:is>
      </x:c>
    </x:row>
    <x:row r="4">
      <x:c r="A4" s="113" t="inlineStr">
        <x:is>
          <x:t xml:space="preserve">AN1</x:t>
        </x:is>
      </x:c>
      <x:c r="B4" s="113" t="inlineStr">
        <x:is>
          <x:t xml:space="preserve">Near — Friday</x:t>
        </x:is>
      </x:c>
      <x:c r="C4" s="114" t="inlineStr">
        <x:is>
          <x:t xml:space="preserve">Bổ sung Friday near phase 1</x:t>
        </x:is>
      </x:c>
      <x:c r="D4" s="175" t="n">
        <x:v>46269</x:v>
      </x:c>
      <x:c r="E4" s="114" t="n">
        <x:v>28</x:v>
      </x:c>
      <x:c r="F4" s="114" t="inlineStr">
        <x:is>
          <x:t xml:space="preserve">Thứ Sáu</x:t>
        </x:is>
      </x:c>
      <x:c r="G4" s="114" t="inlineStr">
        <x:is>
          <x:t xml:space="preserve">04/09/2026 → 02/10/2026 → 30/10/2026 → 27/11/2026 → 25/12/2026</x:t>
        </x:is>
      </x:c>
      <x:c r="H4" s="114" t="inlineStr">
        <x:is>
          <x:t xml:space="preserve">Giữ đến hết ngày check-in; roll khi check-in &lt; crawl date</x:t>
        </x:is>
      </x:c>
      <x:c r="I4" s="114" t="inlineStr">
        <x:is>
          <x:t xml:space="preserve">Ngày &gt;= crawl date; khác 11 slot aux; không thuộc local 12 hoặc VPS 5 cùng ngày crawl</x:t>
        </x:is>
      </x:c>
    </x:row>
    <x:row r="5">
      <x:c r="A5" s="140" t="inlineStr">
        <x:is>
          <x:t xml:space="preserve">AN2</x:t>
        </x:is>
      </x:c>
      <x:c r="B5" s="140" t="inlineStr">
        <x:is>
          <x:t xml:space="preserve">Ngừng từ 03/09</x:t>
        </x:is>
      </x:c>
      <x:c r="C5" s="141" t="inlineStr">
        <x:is>
          <x:t xml:space="preserve">Friday phase 2 chỉ giữ làm lịch sử cho lượt 02/09</x:t>
        </x:is>
      </x:c>
      <x:c r="D5" s="176" t="n">
        <x:v>46276</x:v>
      </x:c>
      <x:c r="E5" s="141" t="n">
        <x:v>28</x:v>
      </x:c>
      <x:c r="F5" s="141" t="inlineStr">
        <x:is>
          <x:t xml:space="preserve">Thứ Sáu</x:t>
        </x:is>
      </x:c>
      <x:c r="G5" s="141" t="inlineStr">
        <x:is>
          <x:t xml:space="preserve">11/09/2026 → 09/10/2026 → 06/11/2026 → 04/12/2026</x:t>
        </x:is>
      </x:c>
      <x:c r="H5" s="141" t="inlineStr">
        <x:is>
          <x:t xml:space="preserve">Không roll sau 02/09</x:t>
        </x:is>
      </x:c>
      <x:c r="I5" s="141" t="inlineStr">
        <x:is>
          <x:t xml:space="preserve">Không chọn từ 03/09</x:t>
        </x:is>
      </x:c>
    </x:row>
    <x:row r="6">
      <x:c r="A6" s="140" t="inlineStr">
        <x:is>
          <x:t xml:space="preserve">AN3</x:t>
        </x:is>
      </x:c>
      <x:c r="B6" s="140" t="inlineStr">
        <x:is>
          <x:t xml:space="preserve">Ngừng từ 03/09</x:t>
        </x:is>
      </x:c>
      <x:c r="C6" s="141" t="inlineStr">
        <x:is>
          <x:t xml:space="preserve">Friday phase 3 chỉ giữ làm lịch sử cho lượt 02/09</x:t>
        </x:is>
      </x:c>
      <x:c r="D6" s="176" t="n">
        <x:v>46283</x:v>
      </x:c>
      <x:c r="E6" s="141" t="n">
        <x:v>28</x:v>
      </x:c>
      <x:c r="F6" s="141" t="inlineStr">
        <x:is>
          <x:t xml:space="preserve">Thứ Sáu</x:t>
        </x:is>
      </x:c>
      <x:c r="G6" s="141" t="inlineStr">
        <x:is>
          <x:t xml:space="preserve">18/09/2026 → 16/10/2026 → 13/11/2026 → 11/12/2026</x:t>
        </x:is>
      </x:c>
      <x:c r="H6" s="141" t="inlineStr">
        <x:is>
          <x:t xml:space="preserve">Không roll sau 02/09</x:t>
        </x:is>
      </x:c>
      <x:c r="I6" s="141" t="inlineStr">
        <x:is>
          <x:t xml:space="preserve">Không chọn từ 03/09</x:t>
        </x:is>
      </x:c>
    </x:row>
    <x:row r="7">
      <x:c r="A7" s="116" t="inlineStr">
        <x:is>
          <x:t xml:space="preserve">AN4</x:t>
        </x:is>
      </x:c>
      <x:c r="B7" s="116" t="inlineStr">
        <x:is>
          <x:t xml:space="preserve">Near — Friday</x:t>
        </x:is>
      </x:c>
      <x:c r="C7" s="117" t="inlineStr">
        <x:is>
          <x:t xml:space="preserve">Bổ sung Friday near phase 4</x:t>
        </x:is>
      </x:c>
      <x:c r="D7" s="177" t="n">
        <x:v>46290</x:v>
      </x:c>
      <x:c r="E7" s="117" t="n">
        <x:v>28</x:v>
      </x:c>
      <x:c r="F7" s="117" t="inlineStr">
        <x:is>
          <x:t xml:space="preserve">Thứ Sáu</x:t>
        </x:is>
      </x:c>
      <x:c r="G7" s="117" t="inlineStr">
        <x:is>
          <x:t xml:space="preserve">25/09/2026 → 23/10/2026 → 20/11/2026 → 18/12/2026</x:t>
        </x:is>
      </x:c>
      <x:c r="H7" s="117" t="inlineStr">
        <x:is>
          <x:t xml:space="preserve">Giữ đến hết ngày check-in; roll khi check-in &lt; crawl date</x:t>
        </x:is>
      </x:c>
      <x:c r="I7" s="117" t="inlineStr">
        <x:is>
          <x:t xml:space="preserve">Ngày &gt;= crawl date; khác 11 slot aux; không thuộc local 12 hoặc VPS 5 cùng ngày crawl</x:t>
        </x:is>
      </x:c>
    </x:row>
    <x:row r="8">
      <x:c r="A8" s="116" t="inlineStr">
        <x:is>
          <x:t xml:space="preserve">AN5</x:t>
        </x:is>
      </x:c>
      <x:c r="B8" s="116" t="inlineStr">
        <x:is>
          <x:t xml:space="preserve">Near — Monday</x:t>
        </x:is>
      </x:c>
      <x:c r="C8" s="117" t="inlineStr">
        <x:is>
          <x:t xml:space="preserve">Cân bằng Monday ở dải lead 0–27</x:t>
        </x:is>
      </x:c>
      <x:c r="D8" s="177" t="n">
        <x:v>46272</x:v>
      </x:c>
      <x:c r="E8" s="117" t="n">
        <x:v>28</x:v>
      </x:c>
      <x:c r="F8" s="117" t="inlineStr">
        <x:is>
          <x:t xml:space="preserve">Thứ Hai</x:t>
        </x:is>
      </x:c>
      <x:c r="G8" s="117" t="inlineStr">
        <x:is>
          <x:t xml:space="preserve">07/09/2026 → 05/10/2026 → 02/11/2026 → 30/11/2026 → 28/12/2026</x:t>
        </x:is>
      </x:c>
      <x:c r="H8" s="117" t="inlineStr">
        <x:is>
          <x:t xml:space="preserve">Giữ đến hết ngày check-in; roll khi check-in &lt; crawl date</x:t>
        </x:is>
      </x:c>
      <x:c r="I8" s="117" t="inlineStr">
        <x:is>
          <x:t xml:space="preserve">Ngày &gt;= crawl date; khác 11 slot aux; không thuộc local 12 hoặc VPS 5 cùng ngày crawl</x:t>
        </x:is>
      </x:c>
    </x:row>
    <x:row r="9">
      <x:c r="A9" s="116" t="inlineStr">
        <x:is>
          <x:t xml:space="preserve">AN6</x:t>
        </x:is>
      </x:c>
      <x:c r="B9" s="116" t="inlineStr">
        <x:is>
          <x:t xml:space="preserve">Near — Monday</x:t>
        </x:is>
      </x:c>
      <x:c r="C9" s="117" t="inlineStr">
        <x:is>
          <x:t xml:space="preserve">Cân bằng Monday, lệch phase AN5</x:t>
        </x:is>
      </x:c>
      <x:c r="D9" s="177" t="n">
        <x:v>46286</x:v>
      </x:c>
      <x:c r="E9" s="117" t="n">
        <x:v>28</x:v>
      </x:c>
      <x:c r="F9" s="117" t="inlineStr">
        <x:is>
          <x:t xml:space="preserve">Thứ Hai</x:t>
        </x:is>
      </x:c>
      <x:c r="G9" s="117" t="inlineStr">
        <x:is>
          <x:t xml:space="preserve">21/09/2026 → 19/10/2026 → 16/11/2026 → 14/12/2026</x:t>
        </x:is>
      </x:c>
      <x:c r="H9" s="117" t="inlineStr">
        <x:is>
          <x:t xml:space="preserve">Giữ đến hết ngày check-in; roll khi check-in &lt; crawl date</x:t>
        </x:is>
      </x:c>
      <x:c r="I9" s="117" t="inlineStr">
        <x:is>
          <x:t xml:space="preserve">Ngày &gt;= crawl date; khác 11 slot aux; không thuộc local 12 hoặc VPS 5 cùng ngày crawl</x:t>
        </x:is>
      </x:c>
    </x:row>
    <x:row r="10">
      <x:c r="A10" s="116" t="inlineStr">
        <x:is>
          <x:t xml:space="preserve">AN7</x:t>
        </x:is>
      </x:c>
      <x:c r="B10" s="116" t="inlineStr">
        <x:is>
          <x:t xml:space="preserve">Near — Tuesday</x:t>
        </x:is>
      </x:c>
      <x:c r="C10" s="117" t="inlineStr">
        <x:is>
          <x:t xml:space="preserve">Cân bằng Tuesday ở dải lead 0–27</x:t>
        </x:is>
      </x:c>
      <x:c r="D10" s="177" t="n">
        <x:v>46273</x:v>
      </x:c>
      <x:c r="E10" s="117" t="n">
        <x:v>28</x:v>
      </x:c>
      <x:c r="F10" s="117" t="inlineStr">
        <x:is>
          <x:t xml:space="preserve">Thứ Ba</x:t>
        </x:is>
      </x:c>
      <x:c r="G10" s="117" t="inlineStr">
        <x:is>
          <x:t xml:space="preserve">08/09/2026 → 06/10/2026 → 03/11/2026 → 01/12/2026</x:t>
        </x:is>
      </x:c>
      <x:c r="H10" s="117" t="inlineStr">
        <x:is>
          <x:t xml:space="preserve">Giữ đến hết ngày check-in; roll khi check-in &lt; crawl date</x:t>
        </x:is>
      </x:c>
      <x:c r="I10" s="117" t="inlineStr">
        <x:is>
          <x:t xml:space="preserve">Ngày &gt;= crawl date; khác 11 slot aux; không thuộc local 12 hoặc VPS 5 cùng ngày crawl</x:t>
        </x:is>
      </x:c>
    </x:row>
    <x:row r="11">
      <x:c r="A11" s="116" t="inlineStr">
        <x:is>
          <x:t xml:space="preserve">AN8</x:t>
        </x:is>
      </x:c>
      <x:c r="B11" s="116" t="inlineStr">
        <x:is>
          <x:t xml:space="preserve">Near — Tuesday</x:t>
        </x:is>
      </x:c>
      <x:c r="C11" s="117" t="inlineStr">
        <x:is>
          <x:t xml:space="preserve">Cân bằng Tuesday, lệch phase AN7</x:t>
        </x:is>
      </x:c>
      <x:c r="D11" s="177" t="n">
        <x:v>46280</x:v>
      </x:c>
      <x:c r="E11" s="117" t="n">
        <x:v>28</x:v>
      </x:c>
      <x:c r="F11" s="117" t="inlineStr">
        <x:is>
          <x:t xml:space="preserve">Thứ Ba</x:t>
        </x:is>
      </x:c>
      <x:c r="G11" s="117" t="inlineStr">
        <x:is>
          <x:t xml:space="preserve">15/09/2026 → 13/10/2026 → 10/11/2026 → 08/12/2026</x:t>
        </x:is>
      </x:c>
      <x:c r="H11" s="117" t="inlineStr">
        <x:is>
          <x:t xml:space="preserve">Giữ đến hết ngày check-in; roll khi check-in &lt; crawl date</x:t>
        </x:is>
      </x:c>
      <x:c r="I11" s="117" t="inlineStr">
        <x:is>
          <x:t xml:space="preserve">Ngày &gt;= crawl date; khác 11 slot aux; không thuộc local 12 hoặc VPS 5 cùng ngày crawl</x:t>
        </x:is>
      </x:c>
    </x:row>
    <x:row r="12">
      <x:c r="A12" s="116" t="inlineStr">
        <x:is>
          <x:t xml:space="preserve">AN9</x:t>
        </x:is>
      </x:c>
      <x:c r="B12" s="116" t="inlineStr">
        <x:is>
          <x:t xml:space="preserve">Near — Sunday</x:t>
        </x:is>
      </x:c>
      <x:c r="C12" s="117" t="inlineStr">
        <x:is>
          <x:t xml:space="preserve">Đưa Sunday lên mức phủ cân bằng</x:t>
        </x:is>
      </x:c>
      <x:c r="D12" s="177" t="n">
        <x:v>46285</x:v>
      </x:c>
      <x:c r="E12" s="117" t="n">
        <x:v>28</x:v>
      </x:c>
      <x:c r="F12" s="117" t="inlineStr">
        <x:is>
          <x:t xml:space="preserve">Chủ Nhật</x:t>
        </x:is>
      </x:c>
      <x:c r="G12" s="117" t="inlineStr">
        <x:is>
          <x:t xml:space="preserve">20/09/2026 → 18/10/2026 → 15/11/2026 → 13/12/2026</x:t>
        </x:is>
      </x:c>
      <x:c r="H12" s="117" t="inlineStr">
        <x:is>
          <x:t xml:space="preserve">Giữ đến hết ngày check-in; roll khi check-in &lt; crawl date</x:t>
        </x:is>
      </x:c>
      <x:c r="I12" s="117" t="inlineStr">
        <x:is>
          <x:t xml:space="preserve">Ngày &gt;= crawl date; khác 11 slot aux; không thuộc local 12 hoặc VPS 5 cùng ngày crawl</x:t>
        </x:is>
      </x:c>
    </x:row>
    <x:row r="13">
      <x:c r="A13" s="116" t="inlineStr">
        <x:is>
          <x:t xml:space="preserve">AF1</x:t>
        </x:is>
      </x:c>
      <x:c r="B13" s="116" t="inlineStr">
        <x:is>
          <x:t xml:space="preserve">Far — Monday</x:t>
        </x:is>
      </x:c>
      <x:c r="C13" s="117" t="inlineStr">
        <x:is>
          <x:t xml:space="preserve">Phủ lead time 0–69 và Monday vùng medium/far</x:t>
        </x:is>
      </x:c>
      <x:c r="D13" s="177" t="n">
        <x:v>46321</x:v>
      </x:c>
      <x:c r="E13" s="117" t="n">
        <x:v>70</x:v>
      </x:c>
      <x:c r="F13" s="117" t="inlineStr">
        <x:is>
          <x:t xml:space="preserve">Thứ Hai</x:t>
        </x:is>
      </x:c>
      <x:c r="G13" s="117" t="inlineStr">
        <x:is>
          <x:t xml:space="preserve">26/10/2026 → 04/01/2027</x:t>
        </x:is>
      </x:c>
      <x:c r="H13" s="117" t="inlineStr">
        <x:is>
          <x:t xml:space="preserve">Giữ đến hết ngày check-in; roll khi check-in &lt; crawl date</x:t>
        </x:is>
      </x:c>
      <x:c r="I13" s="117" t="inlineStr">
        <x:is>
          <x:t xml:space="preserve">Ngày &gt;= crawl date; khác 11 slot aux; không thuộc local 12 hoặc VPS 5 cùng ngày crawl</x:t>
        </x:is>
      </x:c>
    </x:row>
    <x:row r="14">
      <x:c r="A14" s="116" t="inlineStr">
        <x:is>
          <x:t xml:space="preserve">AF2</x:t>
        </x:is>
      </x:c>
      <x:c r="B14" s="116" t="inlineStr">
        <x:is>
          <x:t xml:space="preserve">Far — Tuesday</x:t>
        </x:is>
      </x:c>
      <x:c r="C14" s="117" t="inlineStr">
        <x:is>
          <x:t xml:space="preserve">Phủ lead time 0–97 và Tuesday vùng far</x:t>
        </x:is>
      </x:c>
      <x:c r="D14" s="177" t="n">
        <x:v>46350</x:v>
      </x:c>
      <x:c r="E14" s="117" t="n">
        <x:v>98</x:v>
      </x:c>
      <x:c r="F14" s="117" t="inlineStr">
        <x:is>
          <x:t xml:space="preserve">Thứ Ba</x:t>
        </x:is>
      </x:c>
      <x:c r="G14" s="117" t="inlineStr">
        <x:is>
          <x:t xml:space="preserve">24/11/2026 → 02/03/2027</x:t>
        </x:is>
      </x:c>
      <x:c r="H14" s="117" t="inlineStr">
        <x:is>
          <x:t xml:space="preserve">Giữ đến hết ngày check-in; roll khi check-in &lt; crawl date</x:t>
        </x:is>
      </x:c>
      <x:c r="I14" s="117" t="inlineStr">
        <x:is>
          <x:t xml:space="preserve">Ngày &gt;= crawl date; khác 11 slot aux; không thuộc local 12 hoặc VPS 5 cùng ngày crawl</x:t>
        </x:is>
      </x:c>
    </x:row>
    <x:row r="15">
      <x:c r="A15" s="119" t="inlineStr">
        <x:is>
          <x:t xml:space="preserve">AF3</x:t>
        </x:is>
      </x:c>
      <x:c r="B15" s="119" t="inlineStr">
        <x:is>
          <x:t xml:space="preserve">Far — Thursday</x:t>
        </x:is>
      </x:c>
      <x:c r="C15" s="120" t="inlineStr">
        <x:is>
          <x:t xml:space="preserve">Theo dõi dài hạn, lead time 66–155 trong cửa sổ</x:t>
        </x:is>
      </x:c>
      <x:c r="D15" s="178" t="n">
        <x:v>46422</x:v>
      </x:c>
      <x:c r="E15" s="120" t="n">
        <x:v>175</x:v>
      </x:c>
      <x:c r="F15" s="120" t="inlineStr">
        <x:is>
          <x:t xml:space="preserve">Thứ Năm</x:t>
        </x:is>
      </x:c>
      <x:c r="G15" s="120" t="inlineStr">
        <x:is>
          <x:t xml:space="preserve">04/02/2027</x:t>
        </x:is>
      </x:c>
      <x:c r="H15" s="120" t="inlineStr">
        <x:is>
          <x:t xml:space="preserve">Giữ đến hết ngày check-in; roll khi check-in &lt; crawl date</x:t>
        </x:is>
      </x:c>
      <x:c r="I15" s="120" t="inlineStr">
        <x:is>
          <x:t xml:space="preserve">Ngày &gt;= crawl date; khác 11 slot aux; không thuộc local 12 hoặc VPS 5 cùng ngày crawl</x:t>
        </x:is>
      </x:c>
    </x:row>
    <x:row r="16">
      <x:c r="A16" s="26" t="n"/>
      <x:c r="B16" s="26" t="n"/>
      <x:c r="C16" s="26" t="n"/>
      <x:c r="D16" s="26" t="n"/>
      <x:c r="E16" s="26" t="n"/>
      <x:c r="F16" s="26" t="n"/>
      <x:c r="G16" s="26" t="n"/>
      <x:c r="H16" s="26" t="n"/>
      <x:c r="I16" s="26" t="n"/>
    </x:row>
    <x:row r="17">
      <x:c r="A17" s="122" t="inlineStr">
        <x:is>
          <x:t xml:space="preserve">Quy tắc chung</x:t>
        </x:is>
      </x:c>
      <x:c r="B17" s="122" t="inlineStr">
        <x:is>
          <x:t xml:space="preserve">Không random hằng ngày</x:t>
        </x:is>
      </x:c>
      <x:c r="C17" s="122" t="inlineStr">
        <x:is>
          <x:t xml:space="preserve">02/09 có 12 slot; từ 03/09 có 10 slot active (7 near + 3 far)</x:t>
        </x:is>
      </x:c>
      <x:c r="D17" s="122" t="n"/>
      <x:c r="E17" s="122" t="n"/>
      <x:c r="F17" s="122" t="n"/>
      <x:c r="G17" s="122" t="n"/>
      <x:c r="H17" s="122" t="n"/>
      <x:c r="I17" s="122" t="n"/>
    </x:row>
    <x:row r="18">
      <x:c r="A18" s="123" t="inlineStr">
        <x:is>
          <x:t xml:space="preserve">Lead time 0</x:t>
        </x:is>
      </x:c>
      <x:c r="B18" s="123" t="inlineStr">
        <x:is>
          <x:t xml:space="preserve">Hợp lệ</x:t>
        </x:is>
      </x:c>
      <x:c r="C18" s="123" t="inlineStr">
        <x:is>
          <x:t xml:space="preserve">Chỉ roll từ ngày sau check-in</x:t>
        </x:is>
      </x:c>
      <x:c r="D18" s="123" t="n"/>
      <x:c r="E18" s="123" t="n"/>
      <x:c r="F18" s="123" t="n"/>
      <x:c r="G18" s="123" t="n"/>
      <x:c r="H18" s="123" t="n"/>
      <x:c r="I18" s="123" t="n"/>
    </x:row>
    <x:row r="19">
      <x:c r="A19" s="123" t="inlineStr">
        <x:is>
          <x:t xml:space="preserve">Nguồn thứ ba</x:t>
        </x:is>
      </x:c>
      <x:c r="B19" s="123" t="inlineStr">
        <x:is>
          <x:t xml:space="preserve">local_aux</x:t>
        </x:is>
      </x:c>
      <x:c r="C19" s="123" t="inlineStr">
        <x:is>
          <x:t xml:space="preserve">Không dùng chung source_code với local_primary hoặc VPS trong warehouse</x:t>
        </x:is>
      </x:c>
      <x:c r="D19" s="123" t="n"/>
      <x:c r="E19" s="123" t="n"/>
      <x:c r="F19" s="123" t="n"/>
      <x:c r="G19" s="123" t="n"/>
      <x:c r="H19" s="123" t="n"/>
      <x:c r="I19" s="123" t="n"/>
    </x:row>
    <x:row r="20">
      <x:c r="A20" s="124" t="inlineStr">
        <x:is>
          <x:t xml:space="preserve">Gate vận hành</x:t>
        </x:is>
      </x:c>
      <x:c r="B20" s="124" t="inlineStr">
        <x:is>
          <x:t xml:space="preserve">Bắt buộc</x:t>
        </x:is>
      </x:c>
      <x:c r="C20" s="124" t="inlineStr">
        <x:is>
          <x:t xml:space="preserve">Theo dõi capacity thực tế; dead-link two-confirmation vẫn là remediation riêng</x:t>
        </x:is>
      </x:c>
      <x:c r="D20" s="124" t="n"/>
      <x:c r="E20" s="124" t="n"/>
      <x:c r="F20" s="124" t="n"/>
      <x:c r="G20" s="124" t="n"/>
      <x:c r="H20" s="124" t="n"/>
      <x:c r="I20" s="124" t="n"/>
    </x:row>
  </x:sheetData>
  <x:mergeCells>
    <x:mergeCell ref="A1:I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22" customWidth="1"/>
    <x:col min="3" max="3" width="12" customWidth="1"/>
    <x:col min="4" max="4" width="12" customWidth="1"/>
    <x:col min="5" max="5" width="12" customWidth="1"/>
    <x:col min="6" max="6" width="12" customWidth="1"/>
    <x:col min="7" max="7" width="12" customWidth="1"/>
    <x:col min="8" max="8" width="18" customWidth="1"/>
  </x:cols>
  <x:sheetData>
    <x:row r="1" ht="30" customHeight="1">
      <x:c r="A1" s="3" t="inlineStr">
        <x:is>
          <x:t xml:space="preserve">LABEL-YIELD PROXY — 02/09 CÓ 12 SLOT; TỪ 03/09 CÓ 10 SLOT</x:t>
        </x:is>
      </x:c>
    </x:row>
    <x:row r="2">
      <x:c r="A2" s="36" t="inlineStr">
        <x:is>
          <x:t xml:space="preserve">AN2/AN3 chỉ chạy ngày 02/09 nên chưa đủ 3 run để tạo label proxy; từ 03/09 còn 7 near + 3 far. Đây là upper bound, không phải số label đảm bảo.</x:t>
        </x:is>
      </x:c>
    </x:row>
    <x:row r="3" ht="30" customHeight="1">
      <x:c r="A3" s="9" t="inlineStr">
        <x:is>
          <x:t xml:space="preserve">Slot</x:t>
        </x:is>
      </x:c>
      <x:c r="B3" s="9" t="inlineStr">
        <x:is>
          <x:t xml:space="preserve">Role</x:t>
        </x:is>
      </x:c>
      <x:c r="C3" s="9" t="inlineStr">
        <x:is>
          <x:t xml:space="preserve">Cycle</x:t>
        </x:is>
      </x:c>
      <x:c r="D3" s="9" t="inlineStr">
        <x:is>
          <x:t xml:space="preserve">Min lead</x:t>
        </x:is>
      </x:c>
      <x:c r="E3" s="9" t="inlineStr">
        <x:is>
          <x:t xml:space="preserve">Max lead</x:t>
        </x:is>
      </x:c>
      <x:c r="F3" s="9" t="inlineStr">
        <x:is>
          <x:t xml:space="preserve">h1</x:t>
        </x:is>
      </x:c>
      <x:c r="G3" s="9" t="inlineStr">
        <x:is>
          <x:t xml:space="preserve">h3</x:t>
        </x:is>
      </x:c>
      <x:c r="H3" s="9" t="inlineStr">
        <x:is>
          <x:t xml:space="preserve">h7 / h14</x:t>
        </x:is>
      </x:c>
    </x:row>
    <x:row r="4">
      <x:c r="A4" s="77" t="inlineStr">
        <x:is>
          <x:t xml:space="preserve">AN1</x:t>
        </x:is>
      </x:c>
      <x:c r="B4" s="55" t="inlineStr">
        <x:is>
          <x:t xml:space="preserve">Near — Friday</x:t>
        </x:is>
      </x:c>
      <x:c r="C4" s="130" t="n">
        <x:v>28</x:v>
      </x:c>
      <x:c r="D4" s="130" t="n">
        <x:v>0</x:v>
      </x:c>
      <x:c r="E4" s="130" t="n">
        <x:v>27</x:v>
      </x:c>
      <x:c r="F4" s="130" t="n">
        <x:v>72</x:v>
      </x:c>
      <x:c r="G4" s="130" t="n">
        <x:v>66</x:v>
      </x:c>
      <x:c r="H4" s="55" t="inlineStr">
        <x:is>
          <x:t xml:space="preserve">54 / 33</x:t>
        </x:is>
      </x:c>
    </x:row>
    <x:row r="5">
      <x:c r="A5" s="146" t="inlineStr">
        <x:is>
          <x:t xml:space="preserve">AN2</x:t>
        </x:is>
      </x:c>
      <x:c r="B5" s="147" t="inlineStr">
        <x:is>
          <x:t xml:space="preserve">Inactive after 02/09</x:t>
        </x:is>
      </x:c>
      <x:c r="C5" s="148" t="n">
        <x:v>28</x:v>
      </x:c>
      <x:c r="D5" s="148" t="n">
        <x:v>0</x:v>
      </x:c>
      <x:c r="E5" s="148" t="n">
        <x:v>27</x:v>
      </x:c>
      <x:c r="F5" s="148" t="n">
        <x:v>0</x:v>
      </x:c>
      <x:c r="G5" s="148" t="n">
        <x:v>0</x:v>
      </x:c>
      <x:c r="H5" s="147" t="inlineStr">
        <x:is>
          <x:t xml:space="preserve">0 / 0</x:t>
        </x:is>
      </x:c>
    </x:row>
    <x:row r="6">
      <x:c r="A6" s="146" t="inlineStr">
        <x:is>
          <x:t xml:space="preserve">AN3</x:t>
        </x:is>
      </x:c>
      <x:c r="B6" s="147" t="inlineStr">
        <x:is>
          <x:t xml:space="preserve">Inactive after 02/09</x:t>
        </x:is>
      </x:c>
      <x:c r="C6" s="148" t="n">
        <x:v>28</x:v>
      </x:c>
      <x:c r="D6" s="148" t="n">
        <x:v>0</x:v>
      </x:c>
      <x:c r="E6" s="148" t="n">
        <x:v>27</x:v>
      </x:c>
      <x:c r="F6" s="148" t="n">
        <x:v>0</x:v>
      </x:c>
      <x:c r="G6" s="148" t="n">
        <x:v>0</x:v>
      </x:c>
      <x:c r="H6" s="147" t="inlineStr">
        <x:is>
          <x:t xml:space="preserve">0 / 0</x:t>
        </x:is>
      </x:c>
    </x:row>
    <x:row r="7">
      <x:c r="A7" s="83" t="inlineStr">
        <x:is>
          <x:t xml:space="preserve">AN4</x:t>
        </x:is>
      </x:c>
      <x:c r="B7" s="59" t="inlineStr">
        <x:is>
          <x:t xml:space="preserve">Near — Friday</x:t>
        </x:is>
      </x:c>
      <x:c r="C7" s="131" t="n">
        <x:v>28</x:v>
      </x:c>
      <x:c r="D7" s="131" t="n">
        <x:v>0</x:v>
      </x:c>
      <x:c r="E7" s="131" t="n">
        <x:v>27</x:v>
      </x:c>
      <x:c r="F7" s="131" t="n">
        <x:v>74</x:v>
      </x:c>
      <x:c r="G7" s="131" t="n">
        <x:v>66</x:v>
      </x:c>
      <x:c r="H7" s="59" t="inlineStr">
        <x:is>
          <x:t xml:space="preserve">50 / 29</x:t>
        </x:is>
      </x:c>
    </x:row>
    <x:row r="8">
      <x:c r="A8" s="83" t="inlineStr">
        <x:is>
          <x:t xml:space="preserve">AN5</x:t>
        </x:is>
      </x:c>
      <x:c r="B8" s="59" t="inlineStr">
        <x:is>
          <x:t xml:space="preserve">Near — Monday</x:t>
        </x:is>
      </x:c>
      <x:c r="C8" s="131" t="n">
        <x:v>28</x:v>
      </x:c>
      <x:c r="D8" s="131" t="n">
        <x:v>0</x:v>
      </x:c>
      <x:c r="E8" s="131" t="n">
        <x:v>27</x:v>
      </x:c>
      <x:c r="F8" s="131" t="n">
        <x:v>74</x:v>
      </x:c>
      <x:c r="G8" s="131" t="n">
        <x:v>66</x:v>
      </x:c>
      <x:c r="H8" s="59" t="inlineStr">
        <x:is>
          <x:t xml:space="preserve">54 / 33</x:t>
        </x:is>
      </x:c>
    </x:row>
    <x:row r="9">
      <x:c r="A9" s="83" t="inlineStr">
        <x:is>
          <x:t xml:space="preserve">AN6</x:t>
        </x:is>
      </x:c>
      <x:c r="B9" s="59" t="inlineStr">
        <x:is>
          <x:t xml:space="preserve">Near — Monday</x:t>
        </x:is>
      </x:c>
      <x:c r="C9" s="131" t="n">
        <x:v>28</x:v>
      </x:c>
      <x:c r="D9" s="131" t="n">
        <x:v>0</x:v>
      </x:c>
      <x:c r="E9" s="131" t="n">
        <x:v>27</x:v>
      </x:c>
      <x:c r="F9" s="131" t="n">
        <x:v>74</x:v>
      </x:c>
      <x:c r="G9" s="131" t="n">
        <x:v>66</x:v>
      </x:c>
      <x:c r="H9" s="59" t="inlineStr">
        <x:is>
          <x:t xml:space="preserve">50 / 25</x:t>
        </x:is>
      </x:c>
    </x:row>
    <x:row r="10">
      <x:c r="A10" s="83" t="inlineStr">
        <x:is>
          <x:t xml:space="preserve">AN7</x:t>
        </x:is>
      </x:c>
      <x:c r="B10" s="59" t="inlineStr">
        <x:is>
          <x:t xml:space="preserve">Near — Tuesday</x:t>
        </x:is>
      </x:c>
      <x:c r="C10" s="131" t="n">
        <x:v>28</x:v>
      </x:c>
      <x:c r="D10" s="131" t="n">
        <x:v>0</x:v>
      </x:c>
      <x:c r="E10" s="131" t="n">
        <x:v>27</x:v>
      </x:c>
      <x:c r="F10" s="131" t="n">
        <x:v>74</x:v>
      </x:c>
      <x:c r="G10" s="131" t="n">
        <x:v>66</x:v>
      </x:c>
      <x:c r="H10" s="59" t="inlineStr">
        <x:is>
          <x:t xml:space="preserve">53 / 32</x:t>
        </x:is>
      </x:c>
    </x:row>
    <x:row r="11">
      <x:c r="A11" s="83" t="inlineStr">
        <x:is>
          <x:t xml:space="preserve">AN8</x:t>
        </x:is>
      </x:c>
      <x:c r="B11" s="59" t="inlineStr">
        <x:is>
          <x:t xml:space="preserve">Near — Tuesday</x:t>
        </x:is>
      </x:c>
      <x:c r="C11" s="131" t="n">
        <x:v>28</x:v>
      </x:c>
      <x:c r="D11" s="131" t="n">
        <x:v>0</x:v>
      </x:c>
      <x:c r="E11" s="131" t="n">
        <x:v>27</x:v>
      </x:c>
      <x:c r="F11" s="131" t="n">
        <x:v>74</x:v>
      </x:c>
      <x:c r="G11" s="131" t="n">
        <x:v>66</x:v>
      </x:c>
      <x:c r="H11" s="59" t="inlineStr">
        <x:is>
          <x:t xml:space="preserve">50 / 25</x:t>
        </x:is>
      </x:c>
    </x:row>
    <x:row r="12">
      <x:c r="A12" s="83" t="inlineStr">
        <x:is>
          <x:t xml:space="preserve">AN9</x:t>
        </x:is>
      </x:c>
      <x:c r="B12" s="59" t="inlineStr">
        <x:is>
          <x:t xml:space="preserve">Near — Sunday</x:t>
        </x:is>
      </x:c>
      <x:c r="C12" s="131" t="n">
        <x:v>28</x:v>
      </x:c>
      <x:c r="D12" s="131" t="n">
        <x:v>0</x:v>
      </x:c>
      <x:c r="E12" s="131" t="n">
        <x:v>27</x:v>
      </x:c>
      <x:c r="F12" s="131" t="n">
        <x:v>74</x:v>
      </x:c>
      <x:c r="G12" s="131" t="n">
        <x:v>66</x:v>
      </x:c>
      <x:c r="H12" s="59" t="inlineStr">
        <x:is>
          <x:t xml:space="preserve">50 / 24</x:t>
        </x:is>
      </x:c>
    </x:row>
    <x:row r="13">
      <x:c r="A13" s="83" t="inlineStr">
        <x:is>
          <x:t xml:space="preserve">AF1</x:t>
        </x:is>
      </x:c>
      <x:c r="B13" s="59" t="inlineStr">
        <x:is>
          <x:t xml:space="preserve">Far — Monday</x:t>
        </x:is>
      </x:c>
      <x:c r="C13" s="131" t="n">
        <x:v>70</x:v>
      </x:c>
      <x:c r="D13" s="131" t="n">
        <x:v>0</x:v>
      </x:c>
      <x:c r="E13" s="131" t="n">
        <x:v>69</x:v>
      </x:c>
      <x:c r="F13" s="131" t="n">
        <x:v>82</x:v>
      </x:c>
      <x:c r="G13" s="131" t="n">
        <x:v>78</x:v>
      </x:c>
      <x:c r="H13" s="59" t="inlineStr">
        <x:is>
          <x:t xml:space="preserve">70 / 56</x:t>
        </x:is>
      </x:c>
    </x:row>
    <x:row r="14">
      <x:c r="A14" s="83" t="inlineStr">
        <x:is>
          <x:t xml:space="preserve">AF2</x:t>
        </x:is>
      </x:c>
      <x:c r="B14" s="59" t="inlineStr">
        <x:is>
          <x:t xml:space="preserve">Far — Tuesday</x:t>
        </x:is>
      </x:c>
      <x:c r="C14" s="131" t="n">
        <x:v>98</x:v>
      </x:c>
      <x:c r="D14" s="131" t="n">
        <x:v>0</x:v>
      </x:c>
      <x:c r="E14" s="131" t="n">
        <x:v>97</x:v>
      </x:c>
      <x:c r="F14" s="131" t="n">
        <x:v>82</x:v>
      </x:c>
      <x:c r="G14" s="131" t="n">
        <x:v>78</x:v>
      </x:c>
      <x:c r="H14" s="59" t="inlineStr">
        <x:is>
          <x:t xml:space="preserve">74 / 67</x:t>
        </x:is>
      </x:c>
    </x:row>
    <x:row r="15">
      <x:c r="A15" s="83" t="inlineStr">
        <x:is>
          <x:t xml:space="preserve">AF3</x:t>
        </x:is>
      </x:c>
      <x:c r="B15" s="59" t="inlineStr">
        <x:is>
          <x:t xml:space="preserve">Far — Thursday</x:t>
        </x:is>
      </x:c>
      <x:c r="C15" s="131" t="n">
        <x:v>175</x:v>
      </x:c>
      <x:c r="D15" s="131" t="n">
        <x:v>66</x:v>
      </x:c>
      <x:c r="E15" s="131" t="n">
        <x:v>155</x:v>
      </x:c>
      <x:c r="F15" s="131" t="n">
        <x:v>86</x:v>
      </x:c>
      <x:c r="G15" s="131" t="n">
        <x:v>84</x:v>
      </x:c>
      <x:c r="H15" s="59" t="inlineStr">
        <x:is>
          <x:t xml:space="preserve">80 / 73</x:t>
        </x:is>
      </x:c>
    </x:row>
    <x:row r="16">
      <x:c r="A16" s="129" t="inlineStr">
        <x:is>
          <x:t xml:space="preserve">TOTAL</x:t>
        </x:is>
      </x:c>
      <x:c r="B16" s="129" t="n"/>
      <x:c r="C16" s="132" t="n"/>
      <x:c r="D16" s="132" t="n"/>
      <x:c r="E16" s="132" t="n"/>
      <x:c r="F16" s="132" t="n">
        <x:v>766</x:v>
      </x:c>
      <x:c r="G16" s="132" t="n">
        <x:v>702</x:v>
      </x:c>
      <x:c r="H16" s="129" t="inlineStr">
        <x:is>
          <x:t xml:space="preserve">585 / 397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48" customWidth="1"/>
    <x:col min="3" max="3" width="42" customWidth="1"/>
    <x:col min="4" max="4" width="52" customWidth="1"/>
  </x:cols>
  <x:sheetData>
    <x:row r="1" ht="30" customHeight="1">
      <x:c r="A1" s="25" t="inlineStr">
        <x:is>
          <x:t xml:space="preserve">HƯỚNG DẪN SỬ DỤNG LỊCH CRAWL MÁY PHỤ</x:t>
        </x:is>
      </x:c>
    </x:row>
    <x:row r="2">
      <x:c r="A2" s="26" t="n"/>
      <x:c r="B2" s="26" t="n"/>
      <x:c r="C2" s="26" t="n"/>
      <x:c r="D2" s="26" t="n"/>
    </x:row>
    <x:row r="3" ht="30" customHeight="1">
      <x:c r="A3" s="9" t="inlineStr">
        <x:is>
          <x:t xml:space="preserve">Bước</x:t>
        </x:is>
      </x:c>
      <x:c r="B3" s="9" t="inlineStr">
        <x:is>
          <x:t xml:space="preserve">Thao tác</x:t>
        </x:is>
      </x:c>
      <x:c r="C3" s="9" t="inlineStr">
        <x:is>
          <x:t xml:space="preserve">Kết quả mong đợi</x:t>
        </x:is>
      </x:c>
      <x:c r="D3" s="9" t="inlineStr">
        <x:is>
          <x:t xml:space="preserve">Lưu ý</x:t>
        </x:is>
      </x:c>
    </x:row>
    <x:row r="4">
      <x:c r="A4" s="113" t="n">
        <x:v>1</x:v>
      </x:c>
      <x:c r="B4" s="114" t="inlineStr">
        <x:is>
          <x:t xml:space="preserve">Xác nhận SUMMARY: benchmark và dead-link gate đã PASS</x:t>
        </x:is>
      </x:c>
      <x:c r="C4" s="114" t="inlineStr">
        <x:is>
          <x:t xml:space="preserve">Máy phụ sẵn sàng vận hành</x:t>
        </x:is>
      </x:c>
      <x:c r="D4" s="114" t="inlineStr">
        <x:is>
          <x:t xml:space="preserve">Không bỏ qua hai gate PENDING</x:t>
        </x:is>
      </x:c>
    </x:row>
    <x:row r="5">
      <x:c r="A5" s="116" t="n">
        <x:v>2</x:v>
      </x:c>
      <x:c r="B5" s="117" t="inlineStr">
        <x:is>
          <x:t xml:space="preserve">Mở AUX_CRAWL_PLAN và tìm Crawl date hôm nay</x:t>
        </x:is>
      </x:c>
      <x:c r="C5" s="117" t="inlineStr">
        <x:is>
          <x:t xml:space="preserve">02/09 có 12 ngày; từ 03/09 có đúng 10 ngày active</x:t>
        </x:is>
      </x:c>
      <x:c r="D5" s="117" t="inlineStr">
        <x:is>
          <x:t xml:space="preserve">AN2/AN3 để trống từ 03/09; các cột kiểm tra phải PASS</x:t>
        </x:is>
      </x:c>
    </x:row>
    <x:row r="6">
      <x:c r="A6" s="116" t="n">
        <x:v>3</x:v>
      </x:c>
      <x:c r="B6" s="117" t="inlineStr">
        <x:is>
          <x:t xml:space="preserve">Mở web scraper trên máy local phụ</x:t>
        </x:is>
      </x:c>
      <x:c r="C6" s="117" t="inlineStr">
        <x:is>
          <x:t xml:space="preserve">Trang nhập file/ngày check-in sẵn sàng</x:t>
        </x:is>
      </x:c>
      <x:c r="D6" s="117" t="inlineStr">
        <x:is>
          <x:t xml:space="preserve">Đây không phải VPS hotel.projecthub.io.vn</x:t>
        </x:is>
      </x:c>
    </x:row>
    <x:row r="7">
      <x:c r="A7" s="116" t="n">
        <x:v>4</x:v>
      </x:c>
      <x:c r="B7" s="117" t="inlineStr">
        <x:is>
          <x:t xml:space="preserve">Upload link_hotel_data_expanded.xlsx</x:t>
        </x:is>
      </x:c>
      <x:c r="C7" s="117" t="inlineStr">
        <x:is>
          <x:t xml:space="preserve">354 khách sạn hợp lệ (cohort v2)</x:t>
        </x:is>
      </x:c>
      <x:c r="D7" s="117" t="inlineStr">
        <x:is>
          <x:t xml:space="preserve">Dùng đúng cohort hiện hành; dữ liệu cohort v1 vẫn giữ lịch sử</x:t>
        </x:is>
      </x:c>
    </x:row>
    <x:row r="8">
      <x:c r="A8" s="116" t="n">
        <x:v>5</x:v>
      </x:c>
      <x:c r="B8" s="117" t="inlineStr">
        <x:is>
          <x:t xml:space="preserve">Chọn đúng các ngày không trống trong dòng hôm nay</x:t>
        </x:is>
      </x:c>
      <x:c r="C8" s="117" t="inlineStr">
        <x:is>
          <x:t xml:space="preserve">02/09: 4.248 item; từ 03/09: 3.540 item</x:t>
        </x:is>
      </x:c>
      <x:c r="D8" s="117" t="inlineStr">
        <x:is>
          <x:t xml:space="preserve">Từ 03/09 chọn AN1, AN4–AN9 và AF1–AF3; không tự thay ngày</x:t>
        </x:is>
      </x:c>
    </x:row>
    <x:row r="9">
      <x:c r="A9" s="116" t="n">
        <x:v>6</x:v>
      </x:c>
      <x:c r="B9" s="117" t="inlineStr">
        <x:is>
          <x:t xml:space="preserve">Tắt lưu screenshot/HTML nếu không cần audit</x:t>
        </x:is>
      </x:c>
      <x:c r="C9" s="117" t="inlineStr">
        <x:is>
          <x:t xml:space="preserve">Không tích luỹ artifact không cần thiết</x:t>
        </x:is>
      </x:c>
      <x:c r="D9" s="117" t="inlineStr">
        <x:is>
          <x:t xml:space="preserve">Artifact không phải feature train</x:t>
        </x:is>
      </x:c>
    </x:row>
    <x:row r="10">
      <x:c r="A10" s="116" t="n">
        <x:v>7</x:v>
      </x:c>
      <x:c r="B10" s="117" t="inlineStr">
        <x:is>
          <x:t xml:space="preserve">Bắt đầu crawl và theo dõi run</x:t>
        </x:is>
      </x:c>
      <x:c r="C10" s="117" t="inlineStr">
        <x:is>
          <x:t xml:space="preserve">Worker hoàn tất trước lượt hôm sau</x:t>
        </x:is>
      </x:c>
      <x:c r="D10" s="117" t="inlineStr">
        <x:is>
          <x:t xml:space="preserve">Không chạy chồng backlog</x:t>
        </x:is>
      </x:c>
    </x:row>
    <x:row r="11">
      <x:c r="A11" s="116" t="n">
        <x:v>8</x:v>
      </x:c>
      <x:c r="B11" s="117" t="inlineStr">
        <x:is>
          <x:t xml:space="preserve">Khi kết thúc, cập nhật CRAWL_LOG</x:t>
        </x:is>
      </x:c>
      <x:c r="C11" s="117" t="inlineStr">
        <x:is>
          <x:t xml:space="preserve">Có run id, thời gian và aggregate</x:t>
        </x:is>
      </x:c>
      <x:c r="D11" s="117" t="inlineStr">
        <x:is>
          <x:t xml:space="preserve">Hoàn thành có lỗi vẫn phải ghi số liệu</x:t>
        </x:is>
      </x:c>
    </x:row>
    <x:row r="12">
      <x:c r="A12" s="119" t="n">
        <x:v>9</x:v>
      </x:c>
      <x:c r="B12" s="120" t="inlineStr">
        <x:is>
          <x:t xml:space="preserve">Nếu lịch local/VPS thay đổi, tái sinh workbook</x:t>
        </x:is>
      </x:c>
      <x:c r="C12" s="120" t="inlineStr">
        <x:is>
          <x:t xml:space="preserve">Collision checks vẫn có giá trị</x:t>
        </x:is>
      </x:c>
      <x:c r="D12" s="120" t="inlineStr">
        <x:is>
          <x:t xml:space="preserve">Không sửa LOCAL_REFERENCE/VPS_REFERENCE bằng tay</x:t>
        </x:is>
      </x:c>
    </x:row>
  </x:sheetData>
  <x:mergeCells>
    <x:mergeCell ref="A1:D1"/>
  </x:mergeCells>
  <x:pageMargins left="0.7" right="0.7" top="0.75" bottom="0.75" header="0.3" footer="0.3"/>
</x:worksheet>
</file>