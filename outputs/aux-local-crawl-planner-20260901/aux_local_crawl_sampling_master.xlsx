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AUX_CRAWL_PLAN" sheetId="2" state="visible" r:id="rId2"/>
    <sheet xmlns:r="http://schemas.openxmlformats.org/officeDocument/2006/relationships" name="CRAWL_LOG" sheetId="3" state="visible" r:id="rId3"/>
    <sheet xmlns:r="http://schemas.openxmlformats.org/officeDocument/2006/relationships" name="LOCAL_REFERENCE" sheetId="4" state="visible" r:id="rId4"/>
    <sheet xmlns:r="http://schemas.openxmlformats.org/officeDocument/2006/relationships" name="VPS_REFERENCE" sheetId="5" state="visible" r:id="rId5"/>
    <sheet xmlns:r="http://schemas.openxmlformats.org/officeDocument/2006/relationships" name="SLOT_RULES" sheetId="6" state="visible" r:id="rId6"/>
    <sheet xmlns:r="http://schemas.openxmlformats.org/officeDocument/2006/relationships" name="LABEL_YIELD" sheetId="7" state="visible" r:id="rId7"/>
    <sheet xmlns:r="http://schemas.openxmlformats.org/officeDocument/2006/relationships" name="README" sheetId="8" state="visible" r:id="rId8"/>
  </sheets>
  <definedNames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"/>
  </numFmts>
  <fonts count="11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b val="1"/>
      <color rgb="FF18323F"/>
      <sz val="11"/>
    </font>
    <font>
      <name val="Carlito"/>
      <color rgb="FF2E7D32"/>
      <sz val="11"/>
    </font>
    <font>
      <name val="Carlito"/>
      <b val="1"/>
      <color rgb="FF8A5A00"/>
      <sz val="11"/>
    </font>
    <font>
      <name val="Carlito"/>
      <b val="1"/>
      <color rgb="FF2E7D32"/>
      <sz val="11"/>
    </font>
    <font>
      <name val="Carlito"/>
      <i val="1"/>
      <color rgb="FF18323F"/>
      <sz val="11"/>
    </font>
    <font>
      <name val="Carlito"/>
      <color rgb="FF18323F"/>
      <sz val="10"/>
    </font>
    <font>
      <name val="Carlito"/>
      <b val="1"/>
      <color rgb="FFFFFFFF"/>
      <sz val="10"/>
    </font>
    <font>
      <name val="Carlito"/>
      <i val="1"/>
      <color rgb="FF6B7280"/>
      <sz val="10"/>
    </font>
  </fonts>
  <fills count="12">
    <fill>
      <patternFill/>
    </fill>
    <fill>
      <patternFill patternType="gray125"/>
    </fill>
    <fill>
      <patternFill patternType="solid">
        <fgColor rgb="FF173D56"/>
      </patternFill>
    </fill>
    <fill>
      <patternFill patternType="solid">
        <fgColor rgb="FF258F8B"/>
      </patternFill>
    </fill>
    <fill>
      <patternFill patternType="solid">
        <fgColor rgb="FFD8F0F0"/>
      </patternFill>
    </fill>
    <fill>
      <patternFill patternType="solid">
        <fgColor rgb="FFE7EEF3"/>
      </patternFill>
    </fill>
    <fill>
      <patternFill patternType="solid">
        <fgColor rgb="FFDDF2DF"/>
      </patternFill>
    </fill>
    <fill>
      <patternFill patternType="solid">
        <fgColor rgb="FFFFF5CE"/>
      </patternFill>
    </fill>
    <fill>
      <patternFill patternType="solid">
        <fgColor rgb="FFCDEDF8"/>
      </patternFill>
    </fill>
    <fill>
      <patternFill patternType="solid">
        <fgColor rgb="FFE8F5FA"/>
      </patternFill>
    </fill>
    <fill>
      <patternFill patternType="solid">
        <fgColor rgb="FF17706D"/>
      </patternFill>
    </fill>
    <fill>
      <patternFill patternType="solid">
        <fgColor rgb="FFE5E7EB"/>
      </patternFill>
    </fill>
  </fills>
  <borders count="5">
    <border/>
    <border>
      <left style="thin">
        <color rgb="FF6EC8E6"/>
      </left>
      <right style="thin">
        <color rgb="FF6EC8E6"/>
      </right>
      <top style="thin">
        <color rgb="FF6EC8E6"/>
      </top>
      <bottom style="thin">
        <color rgb="FF6EC8E6"/>
      </bottom>
    </border>
    <border>
      <bottom style="thin">
        <color rgb="FF6EC8E6"/>
      </bottom>
    </border>
    <border>
      <top style="thin">
        <color rgb="FF6EC8E6"/>
      </top>
      <bottom style="thin">
        <color rgb="FF6EC8E6"/>
      </bottom>
    </border>
    <border>
      <top style="thin">
        <color rgb="FF6EC8E6"/>
      </top>
    </border>
  </borders>
  <cellStyleXfs count="1">
    <xf numFmtId="0" fontId="0" fillId="0" borderId="0"/>
  </cellStyleXfs>
  <cellXfs count="17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vertical="center" wrapText="1"/>
    </xf>
    <xf numFmtId="0" fontId="0" fillId="5" borderId="0" pivotButton="0" quotePrefix="0" xfId="0"/>
    <xf numFmtId="0" fontId="3" fillId="5" borderId="0" pivotButton="0" quotePrefix="0" xfId="0"/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3" fontId="0" fillId="0" borderId="0" pivotButton="0" quotePrefix="0" xfId="0"/>
    <xf numFmtId="0" fontId="0" fillId="6" borderId="0" pivotButton="0" quotePrefix="0" xfId="0"/>
    <xf numFmtId="0" fontId="4" fillId="6" borderId="0" pivotButton="0" quotePrefix="0" xfId="0"/>
    <xf numFmtId="0" fontId="0" fillId="7" borderId="0" pivotButton="0" quotePrefix="0" xfId="0"/>
    <xf numFmtId="0" fontId="5" fillId="7" borderId="0" pivotButton="0" quotePrefix="0" xfId="0"/>
    <xf numFmtId="0" fontId="6" fillId="6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3" fillId="5" borderId="0" applyAlignment="1" pivotButton="0" quotePrefix="0" xfId="0">
      <alignment wrapText="1"/>
    </xf>
    <xf numFmtId="164" fontId="0" fillId="0" borderId="0" applyAlignment="1" pivotButton="0" quotePrefix="0" xfId="0">
      <alignment horizontal="right" wrapText="1"/>
    </xf>
    <xf numFmtId="3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 wrapText="1"/>
    </xf>
    <xf numFmtId="0" fontId="4" fillId="6" borderId="0" applyAlignment="1" pivotButton="0" quotePrefix="0" xfId="0">
      <alignment wrapText="1"/>
    </xf>
    <xf numFmtId="3" fontId="0" fillId="0" borderId="0" applyAlignment="1" pivotButton="0" quotePrefix="0" xfId="0">
      <alignment horizontal="right" wrapText="1"/>
    </xf>
    <xf numFmtId="0" fontId="5" fillId="7" borderId="0" applyAlignment="1" pivotButton="0" quotePrefix="0" xfId="0">
      <alignment wrapText="1"/>
    </xf>
    <xf numFmtId="0" fontId="6" fillId="6" borderId="0" applyAlignment="1" pivotButton="0" quotePrefix="0" xfId="0">
      <alignment wrapText="1"/>
    </xf>
    <xf numFmtId="0" fontId="7" fillId="4" borderId="0" pivotButton="0" quotePrefix="0" xfId="0"/>
    <xf numFmtId="0" fontId="7" fillId="4" borderId="0" applyAlignment="1" pivotButton="0" quotePrefix="0" xfId="0">
      <alignment wrapText="1"/>
    </xf>
    <xf numFmtId="0" fontId="0" fillId="8" borderId="0" pivotButton="0" quotePrefix="0" xfId="0"/>
    <xf numFmtId="0" fontId="0" fillId="9" borderId="0" pivotButton="0" quotePrefix="0" xfId="0"/>
    <xf numFmtId="0" fontId="8" fillId="8" borderId="0" pivotButton="0" quotePrefix="0" xfId="0"/>
    <xf numFmtId="0" fontId="8" fillId="7" borderId="0" pivotButton="0" quotePrefix="0" xfId="0"/>
    <xf numFmtId="0" fontId="8" fillId="6" borderId="0" pivotButton="0" quotePrefix="0" xfId="0"/>
    <xf numFmtId="0" fontId="8" fillId="9" borderId="0" pivotButton="0" quotePrefix="0" xfId="0"/>
    <xf numFmtId="0" fontId="8" fillId="8" borderId="2" pivotButton="0" quotePrefix="0" xfId="0"/>
    <xf numFmtId="0" fontId="8" fillId="7" borderId="2" pivotButton="0" quotePrefix="0" xfId="0"/>
    <xf numFmtId="0" fontId="8" fillId="6" borderId="2" pivotButton="0" quotePrefix="0" xfId="0"/>
    <xf numFmtId="0" fontId="8" fillId="9" borderId="2" pivotButton="0" quotePrefix="0" xfId="0"/>
    <xf numFmtId="0" fontId="8" fillId="8" borderId="3" pivotButton="0" quotePrefix="0" xfId="0"/>
    <xf numFmtId="0" fontId="8" fillId="7" borderId="3" pivotButton="0" quotePrefix="0" xfId="0"/>
    <xf numFmtId="0" fontId="8" fillId="6" borderId="3" pivotButton="0" quotePrefix="0" xfId="0"/>
    <xf numFmtId="0" fontId="8" fillId="9" borderId="3" pivotButton="0" quotePrefix="0" xfId="0"/>
    <xf numFmtId="0" fontId="8" fillId="8" borderId="4" pivotButton="0" quotePrefix="0" xfId="0"/>
    <xf numFmtId="0" fontId="8" fillId="7" borderId="4" pivotButton="0" quotePrefix="0" xfId="0"/>
    <xf numFmtId="0" fontId="8" fillId="6" borderId="4" pivotButton="0" quotePrefix="0" xfId="0"/>
    <xf numFmtId="0" fontId="8" fillId="9" borderId="4" pivotButton="0" quotePrefix="0" xfId="0"/>
    <xf numFmtId="0" fontId="8" fillId="8" borderId="2" applyAlignment="1" pivotButton="0" quotePrefix="0" xfId="0">
      <alignment vertical="center"/>
    </xf>
    <xf numFmtId="0" fontId="8" fillId="7" borderId="2" applyAlignment="1" pivotButton="0" quotePrefix="0" xfId="0">
      <alignment vertical="center"/>
    </xf>
    <xf numFmtId="0" fontId="8" fillId="6" borderId="2" applyAlignment="1" pivotButton="0" quotePrefix="0" xfId="0">
      <alignment vertical="center"/>
    </xf>
    <xf numFmtId="0" fontId="8" fillId="9" borderId="2" applyAlignment="1" pivotButton="0" quotePrefix="0" xfId="0">
      <alignment vertical="center"/>
    </xf>
    <xf numFmtId="0" fontId="8" fillId="8" borderId="3" applyAlignment="1" pivotButton="0" quotePrefix="0" xfId="0">
      <alignment vertical="center"/>
    </xf>
    <xf numFmtId="0" fontId="8" fillId="7" borderId="3" applyAlignment="1" pivotButton="0" quotePrefix="0" xfId="0">
      <alignment vertical="center"/>
    </xf>
    <xf numFmtId="0" fontId="8" fillId="6" borderId="3" applyAlignment="1" pivotButton="0" quotePrefix="0" xfId="0">
      <alignment vertical="center"/>
    </xf>
    <xf numFmtId="0" fontId="8" fillId="9" borderId="3" applyAlignment="1" pivotButton="0" quotePrefix="0" xfId="0">
      <alignment vertical="center"/>
    </xf>
    <xf numFmtId="0" fontId="8" fillId="8" borderId="4" applyAlignment="1" pivotButton="0" quotePrefix="0" xfId="0">
      <alignment vertical="center"/>
    </xf>
    <xf numFmtId="0" fontId="8" fillId="7" borderId="4" applyAlignment="1" pivotButton="0" quotePrefix="0" xfId="0">
      <alignment vertical="center"/>
    </xf>
    <xf numFmtId="0" fontId="8" fillId="6" borderId="4" applyAlignment="1" pivotButton="0" quotePrefix="0" xfId="0">
      <alignment vertical="center"/>
    </xf>
    <xf numFmtId="0" fontId="8" fillId="9" borderId="4" applyAlignment="1" pivotButton="0" quotePrefix="0" xfId="0">
      <alignment vertical="center"/>
    </xf>
    <xf numFmtId="164" fontId="8" fillId="8" borderId="2" applyAlignment="1" pivotButton="0" quotePrefix="0" xfId="0">
      <alignment vertical="center"/>
    </xf>
    <xf numFmtId="164" fontId="8" fillId="8" borderId="3" applyAlignment="1" pivotButton="0" quotePrefix="0" xfId="0">
      <alignment vertical="center"/>
    </xf>
    <xf numFmtId="164" fontId="8" fillId="8" borderId="4" applyAlignment="1" pivotButton="0" quotePrefix="0" xfId="0">
      <alignment vertical="center"/>
    </xf>
    <xf numFmtId="164" fontId="8" fillId="7" borderId="2" applyAlignment="1" pivotButton="0" quotePrefix="0" xfId="0">
      <alignment vertical="center"/>
    </xf>
    <xf numFmtId="164" fontId="8" fillId="7" borderId="3" applyAlignment="1" pivotButton="0" quotePrefix="0" xfId="0">
      <alignment vertical="center"/>
    </xf>
    <xf numFmtId="164" fontId="8" fillId="7" borderId="4" applyAlignment="1" pivotButton="0" quotePrefix="0" xfId="0">
      <alignment vertical="center"/>
    </xf>
    <xf numFmtId="1" fontId="8" fillId="6" borderId="2" applyAlignment="1" pivotButton="0" quotePrefix="0" xfId="0">
      <alignment vertical="center"/>
    </xf>
    <xf numFmtId="1" fontId="8" fillId="6" borderId="3" applyAlignment="1" pivotButton="0" quotePrefix="0" xfId="0">
      <alignment vertical="center"/>
    </xf>
    <xf numFmtId="1" fontId="8" fillId="6" borderId="4" applyAlignment="1" pivotButton="0" quotePrefix="0" xfId="0">
      <alignment vertical="center"/>
    </xf>
    <xf numFmtId="164" fontId="8" fillId="8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164" fontId="8" fillId="7" borderId="2" applyAlignment="1" pivotButton="0" quotePrefix="0" xfId="0">
      <alignment horizontal="center" vertical="center"/>
    </xf>
    <xf numFmtId="1" fontId="8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164" fontId="8" fillId="8" borderId="3" applyAlignment="1" pivotButton="0" quotePrefix="0" xfId="0">
      <alignment horizontal="center" vertical="center"/>
    </xf>
    <xf numFmtId="0" fontId="8" fillId="8" borderId="3" applyAlignment="1" pivotButton="0" quotePrefix="0" xfId="0">
      <alignment horizontal="center" vertical="center"/>
    </xf>
    <xf numFmtId="164" fontId="8" fillId="7" borderId="3" applyAlignment="1" pivotButton="0" quotePrefix="0" xfId="0">
      <alignment horizontal="center" vertical="center"/>
    </xf>
    <xf numFmtId="1" fontId="8" fillId="6" borderId="3" applyAlignment="1" pivotButton="0" quotePrefix="0" xfId="0">
      <alignment horizontal="center" vertical="center"/>
    </xf>
    <xf numFmtId="0" fontId="8" fillId="6" borderId="3" applyAlignment="1" pivotButton="0" quotePrefix="0" xfId="0">
      <alignment horizontal="center" vertical="center"/>
    </xf>
    <xf numFmtId="0" fontId="8" fillId="9" borderId="3" applyAlignment="1" pivotButton="0" quotePrefix="0" xfId="0">
      <alignment horizontal="center" vertical="center"/>
    </xf>
    <xf numFmtId="164" fontId="8" fillId="8" borderId="4" applyAlignment="1" pivotButton="0" quotePrefix="0" xfId="0">
      <alignment horizontal="center" vertical="center"/>
    </xf>
    <xf numFmtId="0" fontId="8" fillId="8" borderId="4" applyAlignment="1" pivotButton="0" quotePrefix="0" xfId="0">
      <alignment horizontal="center" vertical="center"/>
    </xf>
    <xf numFmtId="164" fontId="8" fillId="7" borderId="4" applyAlignment="1" pivotButton="0" quotePrefix="0" xfId="0">
      <alignment horizontal="center" vertical="center"/>
    </xf>
    <xf numFmtId="1" fontId="8" fillId="6" borderId="4" applyAlignment="1" pivotButton="0" quotePrefix="0" xfId="0">
      <alignment horizontal="center" vertical="center"/>
    </xf>
    <xf numFmtId="0" fontId="8" fillId="6" borderId="4" applyAlignment="1" pivotButton="0" quotePrefix="0" xfId="0">
      <alignment horizontal="center" vertical="center"/>
    </xf>
    <xf numFmtId="0" fontId="8" fillId="9" borderId="4" applyAlignment="1" pivotButton="0" quotePrefix="0" xfId="0">
      <alignment horizontal="center" vertical="center"/>
    </xf>
    <xf numFmtId="0" fontId="8" fillId="9" borderId="2" applyAlignment="1" pivotButton="0" quotePrefix="0" xfId="0">
      <alignment horizontal="left" vertical="center"/>
    </xf>
    <xf numFmtId="0" fontId="8" fillId="9" borderId="3" applyAlignment="1" pivotButton="0" quotePrefix="0" xfId="0">
      <alignment horizontal="left" vertical="center"/>
    </xf>
    <xf numFmtId="0" fontId="8" fillId="9" borderId="4" applyAlignment="1" pivotButton="0" quotePrefix="0" xfId="0">
      <alignment horizontal="left" vertical="center"/>
    </xf>
    <xf numFmtId="165" fontId="8" fillId="8" borderId="2" applyAlignment="1" pivotButton="0" quotePrefix="0" xfId="0">
      <alignment vertical="center"/>
    </xf>
    <xf numFmtId="165" fontId="8" fillId="8" borderId="3" applyAlignment="1" pivotButton="0" quotePrefix="0" xfId="0">
      <alignment vertical="center"/>
    </xf>
    <xf numFmtId="165" fontId="8" fillId="8" borderId="4" applyAlignment="1" pivotButton="0" quotePrefix="0" xfId="0">
      <alignment vertical="center"/>
    </xf>
    <xf numFmtId="2" fontId="8" fillId="8" borderId="2" applyAlignment="1" pivotButton="0" quotePrefix="0" xfId="0">
      <alignment vertical="center"/>
    </xf>
    <xf numFmtId="2" fontId="8" fillId="8" borderId="3" applyAlignment="1" pivotButton="0" quotePrefix="0" xfId="0">
      <alignment vertical="center"/>
    </xf>
    <xf numFmtId="2" fontId="8" fillId="8" borderId="4" applyAlignment="1" pivotButton="0" quotePrefix="0" xfId="0">
      <alignment vertical="center"/>
    </xf>
    <xf numFmtId="3" fontId="8" fillId="8" borderId="2" applyAlignment="1" pivotButton="0" quotePrefix="0" xfId="0">
      <alignment vertical="center"/>
    </xf>
    <xf numFmtId="3" fontId="8" fillId="8" borderId="3" applyAlignment="1" pivotButton="0" quotePrefix="0" xfId="0">
      <alignment vertical="center"/>
    </xf>
    <xf numFmtId="3" fontId="8" fillId="8" borderId="4" applyAlignment="1" pivotButton="0" quotePrefix="0" xfId="0">
      <alignment vertical="center"/>
    </xf>
    <xf numFmtId="0" fontId="8" fillId="4" borderId="0" pivotButton="0" quotePrefix="0" xfId="0"/>
    <xf numFmtId="0" fontId="8" fillId="4" borderId="2" pivotButton="0" quotePrefix="0" xfId="0"/>
    <xf numFmtId="0" fontId="8" fillId="4" borderId="3" pivotButton="0" quotePrefix="0" xfId="0"/>
    <xf numFmtId="0" fontId="8" fillId="4" borderId="4" pivotButton="0" quotePrefix="0" xfId="0"/>
    <xf numFmtId="0" fontId="8" fillId="4" borderId="2" applyAlignment="1" pivotButton="0" quotePrefix="0" xfId="0">
      <alignment vertical="center"/>
    </xf>
    <xf numFmtId="0" fontId="8" fillId="4" borderId="3" applyAlignment="1" pivotButton="0" quotePrefix="0" xfId="0">
      <alignment vertical="center"/>
    </xf>
    <xf numFmtId="0" fontId="8" fillId="4" borderId="4" applyAlignment="1" pivotButton="0" quotePrefix="0" xfId="0">
      <alignment vertical="center"/>
    </xf>
    <xf numFmtId="0" fontId="8" fillId="8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vertical="center" wrapText="1"/>
    </xf>
    <xf numFmtId="164" fontId="8" fillId="8" borderId="2" applyAlignment="1" pivotButton="0" quotePrefix="0" xfId="0">
      <alignment vertical="center" wrapText="1"/>
    </xf>
    <xf numFmtId="0" fontId="8" fillId="8" borderId="3" applyAlignment="1" pivotButton="0" quotePrefix="0" xfId="0">
      <alignment horizontal="center" vertical="center" wrapText="1"/>
    </xf>
    <xf numFmtId="0" fontId="8" fillId="8" borderId="3" applyAlignment="1" pivotButton="0" quotePrefix="0" xfId="0">
      <alignment vertical="center" wrapText="1"/>
    </xf>
    <xf numFmtId="164" fontId="8" fillId="8" borderId="3" applyAlignment="1" pivotButton="0" quotePrefix="0" xfId="0">
      <alignment vertical="center" wrapText="1"/>
    </xf>
    <xf numFmtId="0" fontId="8" fillId="8" borderId="4" applyAlignment="1" pivotButton="0" quotePrefix="0" xfId="0">
      <alignment horizontal="center" vertical="center" wrapText="1"/>
    </xf>
    <xf numFmtId="0" fontId="8" fillId="8" borderId="4" applyAlignment="1" pivotButton="0" quotePrefix="0" xfId="0">
      <alignment vertical="center" wrapText="1"/>
    </xf>
    <xf numFmtId="164" fontId="8" fillId="8" borderId="4" applyAlignment="1" pivotButton="0" quotePrefix="0" xfId="0">
      <alignment vertical="center" wrapText="1"/>
    </xf>
    <xf numFmtId="0" fontId="8" fillId="4" borderId="2" applyAlignment="1" pivotButton="0" quotePrefix="0" xfId="0">
      <alignment vertical="center" wrapText="1"/>
    </xf>
    <xf numFmtId="0" fontId="8" fillId="4" borderId="3" applyAlignment="1" pivotButton="0" quotePrefix="0" xfId="0">
      <alignment vertical="center" wrapText="1"/>
    </xf>
    <xf numFmtId="0" fontId="8" fillId="4" borderId="4" applyAlignment="1" pivotButton="0" quotePrefix="0" xfId="0">
      <alignment vertical="center" wrapText="1"/>
    </xf>
    <xf numFmtId="0" fontId="8" fillId="0" borderId="0" pivotButton="0" quotePrefix="0" xfId="0"/>
    <xf numFmtId="0" fontId="8" fillId="0" borderId="4" pivotButton="0" quotePrefix="0" xfId="0"/>
    <xf numFmtId="0" fontId="8" fillId="0" borderId="4" applyAlignment="1" pivotButton="0" quotePrefix="0" xfId="0">
      <alignment vertical="center"/>
    </xf>
    <xf numFmtId="0" fontId="8" fillId="10" borderId="4" applyAlignment="1" pivotButton="0" quotePrefix="0" xfId="0">
      <alignment vertical="center"/>
    </xf>
    <xf numFmtId="0" fontId="9" fillId="10" borderId="4" applyAlignment="1" pivotButton="0" quotePrefix="0" xfId="0">
      <alignment vertical="center"/>
    </xf>
    <xf numFmtId="0" fontId="8" fillId="8" borderId="2" applyAlignment="1" pivotButton="0" quotePrefix="0" xfId="0">
      <alignment horizontal="right" vertical="center"/>
    </xf>
    <xf numFmtId="0" fontId="8" fillId="8" borderId="3" applyAlignment="1" pivotButton="0" quotePrefix="0" xfId="0">
      <alignment horizontal="right" vertical="center"/>
    </xf>
    <xf numFmtId="0" fontId="9" fillId="10" borderId="4" applyAlignment="1" pivotButton="0" quotePrefix="0" xfId="0">
      <alignment horizontal="right" vertical="center"/>
    </xf>
    <xf numFmtId="164" fontId="8" fillId="11" borderId="3" applyAlignment="1" pivotButton="0" quotePrefix="0" xfId="0">
      <alignment horizontal="center" vertical="center"/>
    </xf>
    <xf numFmtId="164" fontId="8" fillId="11" borderId="4" applyAlignment="1" pivotButton="0" quotePrefix="0" xfId="0">
      <alignment horizontal="center" vertical="center"/>
    </xf>
    <xf numFmtId="164" fontId="10" fillId="11" borderId="3" applyAlignment="1" pivotButton="0" quotePrefix="0" xfId="0">
      <alignment horizontal="center" vertical="center"/>
    </xf>
    <xf numFmtId="164" fontId="10" fillId="11" borderId="4" applyAlignment="1" pivotButton="0" quotePrefix="0" xfId="0">
      <alignment horizontal="center" vertical="center"/>
    </xf>
    <xf numFmtId="0" fontId="8" fillId="11" borderId="3" applyAlignment="1" pivotButton="0" quotePrefix="0" xfId="0">
      <alignment horizontal="center" vertical="center" wrapText="1"/>
    </xf>
    <xf numFmtId="0" fontId="8" fillId="11" borderId="3" applyAlignment="1" pivotButton="0" quotePrefix="0" xfId="0">
      <alignment vertical="center" wrapText="1"/>
    </xf>
    <xf numFmtId="164" fontId="8" fillId="11" borderId="3" applyAlignment="1" pivotButton="0" quotePrefix="0" xfId="0">
      <alignment vertical="center" wrapText="1"/>
    </xf>
    <xf numFmtId="0" fontId="10" fillId="11" borderId="3" applyAlignment="1" pivotButton="0" quotePrefix="0" xfId="0">
      <alignment horizontal="center" vertical="center" wrapText="1"/>
    </xf>
    <xf numFmtId="0" fontId="10" fillId="11" borderId="3" applyAlignment="1" pivotButton="0" quotePrefix="0" xfId="0">
      <alignment vertical="center" wrapText="1"/>
    </xf>
    <xf numFmtId="164" fontId="10" fillId="11" borderId="3" applyAlignment="1" pivotButton="0" quotePrefix="0" xfId="0">
      <alignment vertical="center" wrapText="1"/>
    </xf>
    <xf numFmtId="0" fontId="8" fillId="11" borderId="3" applyAlignment="1" pivotButton="0" quotePrefix="0" xfId="0">
      <alignment horizontal="center" vertical="center"/>
    </xf>
    <xf numFmtId="0" fontId="8" fillId="11" borderId="3" applyAlignment="1" pivotButton="0" quotePrefix="0" xfId="0">
      <alignment vertical="center"/>
    </xf>
    <xf numFmtId="0" fontId="8" fillId="11" borderId="3" applyAlignment="1" pivotButton="0" quotePrefix="0" xfId="0">
      <alignment horizontal="right" vertical="center"/>
    </xf>
    <xf numFmtId="0" fontId="10" fillId="11" borderId="3" applyAlignment="1" pivotButton="0" quotePrefix="0" xfId="0">
      <alignment horizontal="center" vertical="center"/>
    </xf>
    <xf numFmtId="0" fontId="10" fillId="11" borderId="3" applyAlignment="1" pivotButton="0" quotePrefix="0" xfId="0">
      <alignment vertical="center"/>
    </xf>
    <xf numFmtId="0" fontId="10" fillId="11" borderId="3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wrapText="1"/>
    </xf>
    <xf numFmtId="3" fontId="0" fillId="0" borderId="0" applyAlignment="1" pivotButton="0" quotePrefix="0" xfId="0">
      <alignment wrapText="1"/>
    </xf>
    <xf numFmtId="3" fontId="0" fillId="0" borderId="0" applyAlignment="1" pivotButton="0" quotePrefix="0" xfId="0">
      <alignment horizontal="right" wrapText="1"/>
    </xf>
    <xf numFmtId="164" fontId="8" fillId="8" borderId="2" applyAlignment="1" pivotButton="0" quotePrefix="0" xfId="0">
      <alignment horizontal="center" vertical="center"/>
    </xf>
    <xf numFmtId="164" fontId="8" fillId="7" borderId="2" applyAlignment="1" pivotButton="0" quotePrefix="0" xfId="0">
      <alignment horizontal="center" vertical="center"/>
    </xf>
    <xf numFmtId="1" fontId="8" fillId="6" borderId="2" applyAlignment="1" pivotButton="0" quotePrefix="0" xfId="0">
      <alignment horizontal="center" vertical="center"/>
    </xf>
    <xf numFmtId="164" fontId="8" fillId="8" borderId="3" applyAlignment="1" pivotButton="0" quotePrefix="0" xfId="0">
      <alignment horizontal="center" vertical="center"/>
    </xf>
    <xf numFmtId="164" fontId="8" fillId="7" borderId="3" applyAlignment="1" pivotButton="0" quotePrefix="0" xfId="0">
      <alignment horizontal="center" vertical="center"/>
    </xf>
    <xf numFmtId="164" fontId="10" fillId="11" borderId="3" applyAlignment="1" pivotButton="0" quotePrefix="0" xfId="0">
      <alignment horizontal="center" vertical="center"/>
    </xf>
    <xf numFmtId="1" fontId="8" fillId="6" borderId="3" applyAlignment="1" pivotButton="0" quotePrefix="0" xfId="0">
      <alignment horizontal="center" vertical="center"/>
    </xf>
    <xf numFmtId="164" fontId="8" fillId="8" borderId="4" applyAlignment="1" pivotButton="0" quotePrefix="0" xfId="0">
      <alignment horizontal="center" vertical="center"/>
    </xf>
    <xf numFmtId="164" fontId="8" fillId="7" borderId="4" applyAlignment="1" pivotButton="0" quotePrefix="0" xfId="0">
      <alignment horizontal="center" vertical="center"/>
    </xf>
    <xf numFmtId="164" fontId="10" fillId="11" borderId="4" applyAlignment="1" pivotButton="0" quotePrefix="0" xfId="0">
      <alignment horizontal="center" vertical="center"/>
    </xf>
    <xf numFmtId="1" fontId="8" fillId="6" borderId="4" applyAlignment="1" pivotButton="0" quotePrefix="0" xfId="0">
      <alignment horizontal="center" vertical="center"/>
    </xf>
    <xf numFmtId="164" fontId="8" fillId="8" borderId="2" applyAlignment="1" pivotButton="0" quotePrefix="0" xfId="0">
      <alignment vertical="center"/>
    </xf>
    <xf numFmtId="165" fontId="8" fillId="8" borderId="2" applyAlignment="1" pivotButton="0" quotePrefix="0" xfId="0">
      <alignment vertical="center"/>
    </xf>
    <xf numFmtId="2" fontId="8" fillId="8" borderId="2" applyAlignment="1" pivotButton="0" quotePrefix="0" xfId="0">
      <alignment vertical="center"/>
    </xf>
    <xf numFmtId="3" fontId="8" fillId="8" borderId="2" applyAlignment="1" pivotButton="0" quotePrefix="0" xfId="0">
      <alignment vertical="center"/>
    </xf>
    <xf numFmtId="164" fontId="8" fillId="8" borderId="3" applyAlignment="1" pivotButton="0" quotePrefix="0" xfId="0">
      <alignment vertical="center"/>
    </xf>
    <xf numFmtId="165" fontId="8" fillId="8" borderId="3" applyAlignment="1" pivotButton="0" quotePrefix="0" xfId="0">
      <alignment vertical="center"/>
    </xf>
    <xf numFmtId="2" fontId="8" fillId="8" borderId="3" applyAlignment="1" pivotButton="0" quotePrefix="0" xfId="0">
      <alignment vertical="center"/>
    </xf>
    <xf numFmtId="3" fontId="8" fillId="8" borderId="3" applyAlignment="1" pivotButton="0" quotePrefix="0" xfId="0">
      <alignment vertical="center"/>
    </xf>
    <xf numFmtId="164" fontId="8" fillId="8" borderId="4" applyAlignment="1" pivotButton="0" quotePrefix="0" xfId="0">
      <alignment vertical="center"/>
    </xf>
    <xf numFmtId="165" fontId="8" fillId="8" borderId="4" applyAlignment="1" pivotButton="0" quotePrefix="0" xfId="0">
      <alignment vertical="center"/>
    </xf>
    <xf numFmtId="2" fontId="8" fillId="8" borderId="4" applyAlignment="1" pivotButton="0" quotePrefix="0" xfId="0">
      <alignment vertical="center"/>
    </xf>
    <xf numFmtId="3" fontId="8" fillId="8" borderId="4" applyAlignment="1" pivotButton="0" quotePrefix="0" xfId="0">
      <alignment vertical="center"/>
    </xf>
    <xf numFmtId="164" fontId="8" fillId="8" borderId="2" applyAlignment="1" pivotButton="0" quotePrefix="0" xfId="0">
      <alignment vertical="center" wrapText="1"/>
    </xf>
    <xf numFmtId="164" fontId="10" fillId="11" borderId="3" applyAlignment="1" pivotButton="0" quotePrefix="0" xfId="0">
      <alignment vertical="center" wrapText="1"/>
    </xf>
    <xf numFmtId="164" fontId="8" fillId="8" borderId="3" applyAlignment="1" pivotButton="0" quotePrefix="0" xfId="0">
      <alignment vertical="center" wrapText="1"/>
    </xf>
    <xf numFmtId="164" fontId="8" fillId="8" borderId="4" applyAlignment="1" pivotButton="0" quotePrefix="0" xfId="0">
      <alignment vertical="center" wrapText="1"/>
    </xf>
  </cellXfs>
  <cellStyles count="1">
    <cellStyle name="Normal" xfId="0"/>
  </cellStyles>
  <dxfs count="2">
    <dxf>
      <font>
        <color rgb="FF2E7D32"/>
      </font>
      <fill>
        <patternFill>
          <bgColor rgb="FFDDF2DF"/>
        </patternFill>
      </fill>
    </dxf>
    <dxf>
      <font>
        <color rgb="FFB3261E"/>
      </font>
      <fill>
        <patternFill>
          <bgColor rgb="FFFCE0E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4" customWidth="1" min="3" max="3"/>
    <col width="35" customWidth="1" min="4" max="4"/>
    <col width="26" customWidth="1" min="5" max="5"/>
  </cols>
  <sheetData>
    <row r="1" ht="30" customHeight="1">
      <c r="A1" s="25" t="inlineStr">
        <is>
          <t>LỊCH CRAWL MÁY PHỤ — 02/09: 12 CHECK-IN; TỪ 03/09: 10 CHECK-IN</t>
        </is>
      </c>
    </row>
    <row r="2">
      <c r="A2" s="26" t="n"/>
      <c r="B2" s="26" t="n"/>
      <c r="C2" s="26" t="n"/>
      <c r="D2" s="26" t="n"/>
      <c r="E2" s="26" t="n"/>
    </row>
    <row r="3" ht="30" customHeight="1">
      <c r="A3" s="9" t="inlineStr">
        <is>
          <t>Thông số</t>
        </is>
      </c>
      <c r="B3" s="9" t="inlineStr">
        <is>
          <t>Giá trị</t>
        </is>
      </c>
      <c r="C3" s="26" t="n"/>
      <c r="D3" s="9" t="inlineStr">
        <is>
          <t>Kiểm tra</t>
        </is>
      </c>
      <c r="E3" s="9" t="inlineStr">
        <is>
          <t>Kết quả</t>
        </is>
      </c>
    </row>
    <row r="4">
      <c r="A4" s="27" t="inlineStr">
        <is>
          <t>Ngày bắt đầu</t>
        </is>
      </c>
      <c r="B4" s="149" t="n">
        <v>46267</v>
      </c>
      <c r="C4" s="26" t="n"/>
      <c r="D4" s="27" t="inlineStr">
        <is>
          <t>Số ngày mong đợi</t>
        </is>
      </c>
      <c r="E4" s="150">
        <f>B5-B4+1</f>
        <v/>
      </c>
    </row>
    <row r="5">
      <c r="A5" s="27" t="inlineStr">
        <is>
          <t>Ngày kết thúc</t>
        </is>
      </c>
      <c r="B5" s="149" t="n">
        <v>46356</v>
      </c>
      <c r="C5" s="26" t="n"/>
      <c r="D5" s="27" t="inlineStr">
        <is>
          <t>Số dòng lịch thực tế</t>
        </is>
      </c>
      <c r="E5" s="150">
        <f>ROWS('AUX_CRAWL_PLAN'!A4:A93)</f>
        <v/>
      </c>
    </row>
    <row r="6">
      <c r="A6" s="27" t="inlineStr">
        <is>
          <t>Giờ bắt đầu mỗi ngày</t>
        </is>
      </c>
      <c r="B6" s="30" t="inlineStr">
        <is>
          <t>00:30</t>
        </is>
      </c>
      <c r="C6" s="26" t="n"/>
      <c r="D6" s="27" t="inlineStr">
        <is>
          <t>02/09 đủ 12; từ 03/09 đủ 10</t>
        </is>
      </c>
      <c r="E6" s="31">
        <f>IF(COUNTIF('AUX_CRAWL_PLAN'!S4:S93,"FAIL")=0,"PASS","FAIL")</f>
        <v/>
      </c>
    </row>
    <row r="7">
      <c r="A7" s="27" t="inlineStr">
        <is>
          <t>Múi giờ</t>
        </is>
      </c>
      <c r="B7" s="30" t="inlineStr">
        <is>
          <t>Asia/Ho_Chi_Minh</t>
        </is>
      </c>
      <c r="C7" s="26" t="n"/>
      <c r="D7" s="27" t="inlineStr">
        <is>
          <t>Không trùng local chính</t>
        </is>
      </c>
      <c r="E7" s="31">
        <f>IF(COUNTIF('AUX_CRAWL_PLAN'!T4:T93,"FAIL")=0,"PASS","FAIL")</f>
        <v/>
      </c>
    </row>
    <row r="8">
      <c r="A8" s="27" t="inlineStr">
        <is>
          <t>Tổng số ngày theo lịch</t>
        </is>
      </c>
      <c r="B8" s="151">
        <f>'AUX_CRAWL_PLAN'!A93-'AUX_CRAWL_PLAN'!A4+1</f>
        <v/>
      </c>
      <c r="C8" s="26" t="n"/>
      <c r="D8" s="27" t="inlineStr">
        <is>
          <t>Không trùng VPS</t>
        </is>
      </c>
      <c r="E8" s="31">
        <f>IF(COUNTIF('AUX_CRAWL_PLAN'!U4:U93,"FAIL")=0,"PASS","FAIL")</f>
        <v/>
      </c>
    </row>
    <row r="9">
      <c r="A9" s="27" t="inlineStr">
        <is>
          <t>Số khách sạn (cohort v2)</t>
        </is>
      </c>
      <c r="B9" s="151" t="n">
        <v>354</v>
      </c>
      <c r="C9" s="26" t="n"/>
      <c r="D9" s="27" t="inlineStr">
        <is>
          <t>Không trùng nội bộ máy phụ</t>
        </is>
      </c>
      <c r="E9" s="31">
        <f>IF(COUNTIF('AUX_CRAWL_PLAN'!V4:V93,"FAIL")=0,"PASS","FAIL")</f>
        <v/>
      </c>
    </row>
    <row r="10">
      <c r="A10" s="27" t="inlineStr">
        <is>
          <t>Check-in mỗi ngày từ 03/09</t>
        </is>
      </c>
      <c r="B10" s="151" t="n">
        <v>10</v>
      </c>
      <c r="C10" s="26" t="n"/>
      <c r="D10" s="27" t="inlineStr">
        <is>
          <t>Benchmark capacity máy phụ</t>
        </is>
      </c>
      <c r="E10" s="33">
        <f>"PENDING"</f>
        <v/>
      </c>
    </row>
    <row r="11">
      <c r="A11" s="27" t="inlineStr">
        <is>
          <t>Item dự kiến mỗi ngày từ 03/09</t>
        </is>
      </c>
      <c r="B11" s="151">
        <f>B9*B10</f>
        <v/>
      </c>
      <c r="C11" s="26" t="n"/>
      <c r="D11" s="27" t="inlineStr">
        <is>
          <t>Dead-link two-confirmation đã deploy</t>
        </is>
      </c>
      <c r="E11" s="33">
        <f>"PENDING"</f>
        <v/>
      </c>
    </row>
    <row r="12">
      <c r="A12" s="27" t="inlineStr">
        <is>
          <t>Tổng item lý thuyết</t>
        </is>
      </c>
      <c r="B12" s="151">
        <f>B9*12+B9*B10*(B8-1)</f>
        <v/>
      </c>
      <c r="C12" s="26" t="n"/>
      <c r="D12" s="27" t="inlineStr">
        <is>
          <t>Trạng thái kỹ thuật workbook</t>
        </is>
      </c>
      <c r="E12" s="34">
        <f>IF(AND(E4=E5,E6="PASS",E7="PASS",E8="PASS",E9="PASS"),"PASS — chờ 2 gate vận hành","FAIL")</f>
        <v/>
      </c>
    </row>
    <row r="13">
      <c r="A13" s="27" t="inlineStr">
        <is>
          <t>Đã hoàn thành</t>
        </is>
      </c>
      <c r="B13" s="151">
        <f>COUNTIFS('CRAWL_LOG'!B4:B93,"Hoàn thành")+COUNTIFS('CRAWL_LOG'!B4:B93,"Hoàn thành có lỗi")</f>
        <v/>
      </c>
      <c r="C13" s="26" t="n"/>
      <c r="D13" s="26" t="n"/>
      <c r="E13" s="26" t="n"/>
    </row>
    <row r="14">
      <c r="A14" s="27" t="inlineStr">
        <is>
          <t>Chưa chạy</t>
        </is>
      </c>
      <c r="B14" s="151">
        <f>COUNTIF('CRAWL_LOG'!B4:B93,"Chưa chạy")</f>
        <v/>
      </c>
      <c r="C14" s="26" t="n"/>
      <c r="D14" s="26" t="n"/>
      <c r="E14" s="26" t="n"/>
    </row>
    <row r="15">
      <c r="A15" s="26" t="n"/>
      <c r="B15" s="26" t="n"/>
      <c r="C15" s="26" t="n"/>
      <c r="D15" s="26" t="n"/>
      <c r="E15" s="26" t="n"/>
    </row>
    <row r="16">
      <c r="A16" s="13" t="inlineStr">
        <is>
          <t>Máy phụ là nguồn thứ ba độc lập (local_aux). Lượt 02/09 giữ 12 check-in; từ 03/09 dùng 7 near + 3 far để giảm tải. Cohort v2 có 354 khách sạn. Không thay đổi lịch local chính hoặc VPS.</t>
        </is>
      </c>
    </row>
    <row r="17"/>
  </sheetData>
  <mergeCells count="2">
    <mergeCell ref="A1:E1"/>
    <mergeCell ref="A16:E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5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0" customWidth="1" min="17" max="17"/>
    <col width="10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42" customWidth="1" min="24" max="24"/>
  </cols>
  <sheetData>
    <row r="1" ht="30" customHeight="1">
      <c r="A1" s="3" t="inlineStr">
        <is>
          <t>AUX-LOCAL CRAWL PLAN — 02/09: 12 SLOT; TỪ 03/09: 10 SLOT (7 NEAR + 3 FAR)</t>
        </is>
      </c>
    </row>
    <row r="2">
      <c r="A2" s="36" t="inlineStr">
        <is>
          <t>Từ 03/09, AN2 và AN3 ngừng sử dụng; giữ AN1, AN4–AN9 và AF1–AF3. Mọi ngày vẫn đối chiếu local chính/VPS; roll khi check-in &lt; crawl date; lead time 0 hợp lệ.</t>
        </is>
      </c>
    </row>
    <row r="3" ht="30" customHeight="1">
      <c r="A3" s="9" t="inlineStr">
        <is>
          <t>Crawl date</t>
        </is>
      </c>
      <c r="B3" s="9" t="inlineStr">
        <is>
          <t>Thứ</t>
        </is>
      </c>
      <c r="C3" s="9" t="inlineStr">
        <is>
          <t>Phase</t>
        </is>
      </c>
      <c r="D3" s="9" t="inlineStr">
        <is>
          <t>Start time (ICT)</t>
        </is>
      </c>
      <c r="E3" s="9" t="inlineStr">
        <is>
          <t>AN1</t>
        </is>
      </c>
      <c r="F3" s="9" t="inlineStr">
        <is>
          <t>AN2 (chỉ 02/09)</t>
        </is>
      </c>
      <c r="G3" s="9" t="inlineStr">
        <is>
          <t>AN3 (chỉ 02/09)</t>
        </is>
      </c>
      <c r="H3" s="9" t="inlineStr">
        <is>
          <t>AN4</t>
        </is>
      </c>
      <c r="I3" s="9" t="inlineStr">
        <is>
          <t>AN5</t>
        </is>
      </c>
      <c r="J3" s="9" t="inlineStr">
        <is>
          <t>AN6</t>
        </is>
      </c>
      <c r="K3" s="9" t="inlineStr">
        <is>
          <t>AN7</t>
        </is>
      </c>
      <c r="L3" s="9" t="inlineStr">
        <is>
          <t>AN8</t>
        </is>
      </c>
      <c r="M3" s="9" t="inlineStr">
        <is>
          <t>AN9</t>
        </is>
      </c>
      <c r="N3" s="9" t="inlineStr">
        <is>
          <t>AF1</t>
        </is>
      </c>
      <c r="O3" s="9" t="inlineStr">
        <is>
          <t>AF2</t>
        </is>
      </c>
      <c r="P3" s="9" t="inlineStr">
        <is>
          <t>AF3</t>
        </is>
      </c>
      <c r="Q3" s="9" t="inlineStr">
        <is>
          <t>Min lead</t>
        </is>
      </c>
      <c r="R3" s="9" t="inlineStr">
        <is>
          <t>Max lead</t>
        </is>
      </c>
      <c r="S3" s="9" t="inlineStr">
        <is>
          <t>Số ngày hợp lệ</t>
        </is>
      </c>
      <c r="T3" s="9" t="inlineStr">
        <is>
          <t>Không trùng local</t>
        </is>
      </c>
      <c r="U3" s="9" t="inlineStr">
        <is>
          <t>Không trùng VPS</t>
        </is>
      </c>
      <c r="V3" s="9" t="inlineStr">
        <is>
          <t>Không trùng nội bộ</t>
        </is>
      </c>
      <c r="W3" s="9" t="inlineStr">
        <is>
          <t>Crawl status</t>
        </is>
      </c>
      <c r="X3" s="9" t="inlineStr">
        <is>
          <t>Sampling note</t>
        </is>
      </c>
    </row>
    <row r="4">
      <c r="A4" s="152" t="n">
        <v>46267</v>
      </c>
      <c r="B4" s="77" t="inlineStr">
        <is>
          <t>Thứ Tư</t>
        </is>
      </c>
      <c r="C4" s="77" t="inlineStr">
        <is>
          <t>Official</t>
        </is>
      </c>
      <c r="D4" s="77" t="inlineStr">
        <is>
          <t>00:30</t>
        </is>
      </c>
      <c r="E4" s="153">
        <f>'SLOT_RULES'!$D$4+IF($A4&lt;='SLOT_RULES'!$D$4,0,INT(($A4-'SLOT_RULES'!$D$4-1)/'SLOT_RULES'!$E$4)+1)*'SLOT_RULES'!$E$4</f>
        <v/>
      </c>
      <c r="F4" s="153">
        <f>'SLOT_RULES'!$D$5+IF($A4&lt;='SLOT_RULES'!$D$5,0,INT(($A4-'SLOT_RULES'!$D$5-1)/'SLOT_RULES'!$E$5)+1)*'SLOT_RULES'!$E$5</f>
        <v/>
      </c>
      <c r="G4" s="153">
        <f>'SLOT_RULES'!$D$6+IF($A4&lt;='SLOT_RULES'!$D$6,0,INT(($A4-'SLOT_RULES'!$D$6-1)/'SLOT_RULES'!$E$6)+1)*'SLOT_RULES'!$E$6</f>
        <v/>
      </c>
      <c r="H4" s="153">
        <f>'SLOT_RULES'!$D$7+IF($A4&lt;='SLOT_RULES'!$D$7,0,INT(($A4-'SLOT_RULES'!$D$7-1)/'SLOT_RULES'!$E$7)+1)*'SLOT_RULES'!$E$7</f>
        <v/>
      </c>
      <c r="I4" s="153">
        <f>'SLOT_RULES'!$D$8+IF($A4&lt;='SLOT_RULES'!$D$8,0,INT(($A4-'SLOT_RULES'!$D$8-1)/'SLOT_RULES'!$E$8)+1)*'SLOT_RULES'!$E$8</f>
        <v/>
      </c>
      <c r="J4" s="153">
        <f>'SLOT_RULES'!$D$9+IF($A4&lt;='SLOT_RULES'!$D$9,0,INT(($A4-'SLOT_RULES'!$D$9-1)/'SLOT_RULES'!$E$9)+1)*'SLOT_RULES'!$E$9</f>
        <v/>
      </c>
      <c r="K4" s="153">
        <f>'SLOT_RULES'!$D$10+IF($A4&lt;='SLOT_RULES'!$D$10,0,INT(($A4-'SLOT_RULES'!$D$10-1)/'SLOT_RULES'!$E$10)+1)*'SLOT_RULES'!$E$10</f>
        <v/>
      </c>
      <c r="L4" s="153">
        <f>'SLOT_RULES'!$D$11+IF($A4&lt;='SLOT_RULES'!$D$11,0,INT(($A4-'SLOT_RULES'!$D$11-1)/'SLOT_RULES'!$E$11)+1)*'SLOT_RULES'!$E$11</f>
        <v/>
      </c>
      <c r="M4" s="153">
        <f>'SLOT_RULES'!$D$12+IF($A4&lt;='SLOT_RULES'!$D$12,0,INT(($A4-'SLOT_RULES'!$D$12-1)/'SLOT_RULES'!$E$12)+1)*'SLOT_RULES'!$E$12</f>
        <v/>
      </c>
      <c r="N4" s="153">
        <f>'SLOT_RULES'!$D$13+IF($A4&lt;='SLOT_RULES'!$D$13,0,INT(($A4-'SLOT_RULES'!$D$13-1)/'SLOT_RULES'!$E$13)+1)*'SLOT_RULES'!$E$13</f>
        <v/>
      </c>
      <c r="O4" s="153">
        <f>'SLOT_RULES'!$D$14+IF($A4&lt;='SLOT_RULES'!$D$14,0,INT(($A4-'SLOT_RULES'!$D$14-1)/'SLOT_RULES'!$E$14)+1)*'SLOT_RULES'!$E$14</f>
        <v/>
      </c>
      <c r="P4" s="153">
        <f>'SLOT_RULES'!$D$15+IF($A4&lt;='SLOT_RULES'!$D$15,0,INT(($A4-'SLOT_RULES'!$D$15-1)/'SLOT_RULES'!$E$15)+1)*'SLOT_RULES'!$E$15</f>
        <v/>
      </c>
      <c r="Q4" s="154">
        <f>MIN(E4:P4)-A4</f>
        <v/>
      </c>
      <c r="R4" s="154">
        <f>MAX(E4:P4)-A4</f>
        <v/>
      </c>
      <c r="S4" s="80">
        <f>IF(AND(COUNT(E4:P4)=12,MIN(E4:P4)&gt;=A4),"PASS","FAIL")</f>
        <v/>
      </c>
      <c r="T4" s="80">
        <f>IF((COUNTIF('LOCAL_REFERENCE'!$D4:$O4,E4)+COUNTIF('LOCAL_REFERENCE'!$D4:$O4,F4)+COUNTIF('LOCAL_REFERENCE'!$D4:$O4,G4)+COUNTIF('LOCAL_REFERENCE'!$D4:$O4,H4)+COUNTIF('LOCAL_REFERENCE'!$D4:$O4,I4)+COUNTIF('LOCAL_REFERENCE'!$D4:$O4,J4)+COUNTIF('LOCAL_REFERENCE'!$D4:$O4,K4)+COUNTIF('LOCAL_REFERENCE'!$D4:$O4,L4)+COUNTIF('LOCAL_REFERENCE'!$D4:$O4,M4)+COUNTIF('LOCAL_REFERENCE'!$D4:$O4,N4)+COUNTIF('LOCAL_REFERENCE'!$D4:$O4,O4)+COUNTIF('LOCAL_REFERENCE'!$D4:$O4,P4))=0,"PASS","FAIL")</f>
        <v/>
      </c>
      <c r="U4" s="80">
        <f>IF((COUNTIF('VPS_REFERENCE'!$D4:$H4,E4)+COUNTIF('VPS_REFERENCE'!$D4:$H4,F4)+COUNTIF('VPS_REFERENCE'!$D4:$H4,G4)+COUNTIF('VPS_REFERENCE'!$D4:$H4,H4)+COUNTIF('VPS_REFERENCE'!$D4:$H4,I4)+COUNTIF('VPS_REFERENCE'!$D4:$H4,J4)+COUNTIF('VPS_REFERENCE'!$D4:$H4,K4)+COUNTIF('VPS_REFERENCE'!$D4:$H4,L4)+COUNTIF('VPS_REFERENCE'!$D4:$H4,M4)+COUNTIF('VPS_REFERENCE'!$D4:$H4,N4)+COUNTIF('VPS_REFERENCE'!$D4:$H4,O4)+COUNTIF('VPS_REFERENCE'!$D4:$H4,P4))=0,"PASS","FAIL")</f>
        <v/>
      </c>
      <c r="V4" s="80">
        <f>IF(OR(E4=F4,E4=G4,E4=H4,E4=I4,E4=J4,E4=K4,E4=L4,E4=M4,E4=N4,E4=O4,E4=P4,F4=G4,F4=H4,F4=I4,F4=J4,F4=K4,F4=L4,F4=M4,F4=N4,F4=O4,F4=P4,G4=H4,G4=I4,G4=J4,G4=K4,G4=L4,G4=M4,G4=N4,G4=O4,G4=P4,H4=I4,H4=J4,H4=K4,H4=L4,H4=M4,H4=N4,H4=O4,H4=P4,I4=J4,I4=K4,I4=L4,I4=M4,I4=N4,I4=O4,I4=P4,J4=K4,J4=L4,J4=M4,J4=N4,J4=O4,J4=P4,K4=L4,K4=M4,K4=N4,K4=O4,K4=P4,L4=M4,L4=N4,L4=O4,L4=P4,M4=N4,M4=O4,M4=P4,N4=O4,N4=P4,O4=P4),"FAIL","PASS")</f>
        <v/>
      </c>
      <c r="W4" s="81">
        <f>'CRAWL_LOG'!B4</f>
        <v/>
      </c>
      <c r="X4" s="94" t="inlineStr">
        <is>
          <t>Lượt đầu 02/09 giữ 12 slot; chuyển sang 10 slot từ ngày kế tiếp</t>
        </is>
      </c>
    </row>
    <row r="5">
      <c r="A5" s="155" t="n">
        <v>46268</v>
      </c>
      <c r="B5" s="83" t="inlineStr">
        <is>
          <t>Thứ Năm</t>
        </is>
      </c>
      <c r="C5" s="83" t="inlineStr">
        <is>
          <t>Official</t>
        </is>
      </c>
      <c r="D5" s="83" t="inlineStr">
        <is>
          <t>00:30</t>
        </is>
      </c>
      <c r="E5" s="156">
        <f>'SLOT_RULES'!$D$4+IF($A5&lt;='SLOT_RULES'!$D$4,0,INT(($A5-'SLOT_RULES'!$D$4-1)/'SLOT_RULES'!$E$4)+1)*'SLOT_RULES'!$E$4</f>
        <v/>
      </c>
      <c r="F5" s="157" t="n"/>
      <c r="G5" s="157" t="n"/>
      <c r="H5" s="156">
        <f>'SLOT_RULES'!$D$7+IF($A5&lt;='SLOT_RULES'!$D$7,0,INT(($A5-'SLOT_RULES'!$D$7-1)/'SLOT_RULES'!$E$7)+1)*'SLOT_RULES'!$E$7</f>
        <v/>
      </c>
      <c r="I5" s="156">
        <f>'SLOT_RULES'!$D$8+IF($A5&lt;='SLOT_RULES'!$D$8,0,INT(($A5-'SLOT_RULES'!$D$8-1)/'SLOT_RULES'!$E$8)+1)*'SLOT_RULES'!$E$8</f>
        <v/>
      </c>
      <c r="J5" s="156">
        <f>'SLOT_RULES'!$D$9+IF($A5&lt;='SLOT_RULES'!$D$9,0,INT(($A5-'SLOT_RULES'!$D$9-1)/'SLOT_RULES'!$E$9)+1)*'SLOT_RULES'!$E$9</f>
        <v/>
      </c>
      <c r="K5" s="156">
        <f>'SLOT_RULES'!$D$10+IF($A5&lt;='SLOT_RULES'!$D$10,0,INT(($A5-'SLOT_RULES'!$D$10-1)/'SLOT_RULES'!$E$10)+1)*'SLOT_RULES'!$E$10</f>
        <v/>
      </c>
      <c r="L5" s="156">
        <f>'SLOT_RULES'!$D$11+IF($A5&lt;='SLOT_RULES'!$D$11,0,INT(($A5-'SLOT_RULES'!$D$11-1)/'SLOT_RULES'!$E$11)+1)*'SLOT_RULES'!$E$11</f>
        <v/>
      </c>
      <c r="M5" s="156">
        <f>'SLOT_RULES'!$D$12+IF($A5&lt;='SLOT_RULES'!$D$12,0,INT(($A5-'SLOT_RULES'!$D$12-1)/'SLOT_RULES'!$E$12)+1)*'SLOT_RULES'!$E$12</f>
        <v/>
      </c>
      <c r="N5" s="156">
        <f>'SLOT_RULES'!$D$13+IF($A5&lt;='SLOT_RULES'!$D$13,0,INT(($A5-'SLOT_RULES'!$D$13-1)/'SLOT_RULES'!$E$13)+1)*'SLOT_RULES'!$E$13</f>
        <v/>
      </c>
      <c r="O5" s="156">
        <f>'SLOT_RULES'!$D$14+IF($A5&lt;='SLOT_RULES'!$D$14,0,INT(($A5-'SLOT_RULES'!$D$14-1)/'SLOT_RULES'!$E$14)+1)*'SLOT_RULES'!$E$14</f>
        <v/>
      </c>
      <c r="P5" s="156">
        <f>'SLOT_RULES'!$D$15+IF($A5&lt;='SLOT_RULES'!$D$15,0,INT(($A5-'SLOT_RULES'!$D$15-1)/'SLOT_RULES'!$E$15)+1)*'SLOT_RULES'!$E$15</f>
        <v/>
      </c>
      <c r="Q5" s="158">
        <f>MIN(E5:P5)-A5</f>
        <v/>
      </c>
      <c r="R5" s="158">
        <f>MAX(E5:P5)-A5</f>
        <v/>
      </c>
      <c r="S5" s="86">
        <f>IF(AND(COUNT(E5:P5)=10,MIN(E5:P5)&gt;=A5),"PASS","FAIL")</f>
        <v/>
      </c>
      <c r="T5" s="86">
        <f>IF((COUNTIF('LOCAL_REFERENCE'!$D5:$O5,E5)+COUNTIF('LOCAL_REFERENCE'!$D5:$O5,H5)+COUNTIF('LOCAL_REFERENCE'!$D5:$O5,I5)+COUNTIF('LOCAL_REFERENCE'!$D5:$O5,J5)+COUNTIF('LOCAL_REFERENCE'!$D5:$O5,K5)+COUNTIF('LOCAL_REFERENCE'!$D5:$O5,L5)+COUNTIF('LOCAL_REFERENCE'!$D5:$O5,M5)+COUNTIF('LOCAL_REFERENCE'!$D5:$O5,N5)+COUNTIF('LOCAL_REFERENCE'!$D5:$O5,O5)+COUNTIF('LOCAL_REFERENCE'!$D5:$O5,P5))=0,"PASS","FAIL")</f>
        <v/>
      </c>
      <c r="U5" s="86">
        <f>IF((COUNTIF('VPS_REFERENCE'!$D5:$H5,E5)+COUNTIF('VPS_REFERENCE'!$D5:$H5,H5)+COUNTIF('VPS_REFERENCE'!$D5:$H5,I5)+COUNTIF('VPS_REFERENCE'!$D5:$H5,J5)+COUNTIF('VPS_REFERENCE'!$D5:$H5,K5)+COUNTIF('VPS_REFERENCE'!$D5:$H5,L5)+COUNTIF('VPS_REFERENCE'!$D5:$H5,M5)+COUNTIF('VPS_REFERENCE'!$D5:$H5,N5)+COUNTIF('VPS_REFERENCE'!$D5:$H5,O5)+COUNTIF('VPS_REFERENCE'!$D5:$H5,P5))=0,"PASS","FAIL")</f>
        <v/>
      </c>
      <c r="V5" s="86">
        <f>IF(OR(E5=H5,E5=I5,E5=J5,E5=K5,E5=L5,E5=M5,E5=N5,E5=O5,E5=P5,H5=I5,H5=J5,H5=K5,H5=L5,H5=M5,H5=N5,H5=O5,H5=P5,I5=J5,I5=K5,I5=L5,I5=M5,I5=N5,I5=O5,I5=P5,J5=K5,J5=L5,J5=M5,J5=N5,J5=O5,J5=P5,K5=L5,K5=M5,K5=N5,K5=O5,K5=P5,L5=M5,L5=N5,L5=O5,L5=P5,M5=N5,M5=O5,M5=P5,N5=O5,N5=P5,O5=P5),"FAIL","PASS")</f>
        <v/>
      </c>
      <c r="W5" s="87">
        <f>'CRAWL_LOG'!B5</f>
        <v/>
      </c>
      <c r="X5" s="95" t="inlineStr">
        <is>
          <t>10-slot panel: 7 near + 3 far; AN2/AN3 inactive from 03/09</t>
        </is>
      </c>
    </row>
    <row r="6">
      <c r="A6" s="155" t="n">
        <v>46269</v>
      </c>
      <c r="B6" s="83" t="inlineStr">
        <is>
          <t>Thứ Sáu</t>
        </is>
      </c>
      <c r="C6" s="83" t="inlineStr">
        <is>
          <t>Official</t>
        </is>
      </c>
      <c r="D6" s="83" t="inlineStr">
        <is>
          <t>00:30</t>
        </is>
      </c>
      <c r="E6" s="156">
        <f>'SLOT_RULES'!$D$4+IF($A6&lt;='SLOT_RULES'!$D$4,0,INT(($A6-'SLOT_RULES'!$D$4-1)/'SLOT_RULES'!$E$4)+1)*'SLOT_RULES'!$E$4</f>
        <v/>
      </c>
      <c r="F6" s="157" t="n"/>
      <c r="G6" s="157" t="n"/>
      <c r="H6" s="156">
        <f>'SLOT_RULES'!$D$7+IF($A6&lt;='SLOT_RULES'!$D$7,0,INT(($A6-'SLOT_RULES'!$D$7-1)/'SLOT_RULES'!$E$7)+1)*'SLOT_RULES'!$E$7</f>
        <v/>
      </c>
      <c r="I6" s="156">
        <f>'SLOT_RULES'!$D$8+IF($A6&lt;='SLOT_RULES'!$D$8,0,INT(($A6-'SLOT_RULES'!$D$8-1)/'SLOT_RULES'!$E$8)+1)*'SLOT_RULES'!$E$8</f>
        <v/>
      </c>
      <c r="J6" s="156">
        <f>'SLOT_RULES'!$D$9+IF($A6&lt;='SLOT_RULES'!$D$9,0,INT(($A6-'SLOT_RULES'!$D$9-1)/'SLOT_RULES'!$E$9)+1)*'SLOT_RULES'!$E$9</f>
        <v/>
      </c>
      <c r="K6" s="156">
        <f>'SLOT_RULES'!$D$10+IF($A6&lt;='SLOT_RULES'!$D$10,0,INT(($A6-'SLOT_RULES'!$D$10-1)/'SLOT_RULES'!$E$10)+1)*'SLOT_RULES'!$E$10</f>
        <v/>
      </c>
      <c r="L6" s="156">
        <f>'SLOT_RULES'!$D$11+IF($A6&lt;='SLOT_RULES'!$D$11,0,INT(($A6-'SLOT_RULES'!$D$11-1)/'SLOT_RULES'!$E$11)+1)*'SLOT_RULES'!$E$11</f>
        <v/>
      </c>
      <c r="M6" s="156">
        <f>'SLOT_RULES'!$D$12+IF($A6&lt;='SLOT_RULES'!$D$12,0,INT(($A6-'SLOT_RULES'!$D$12-1)/'SLOT_RULES'!$E$12)+1)*'SLOT_RULES'!$E$12</f>
        <v/>
      </c>
      <c r="N6" s="156">
        <f>'SLOT_RULES'!$D$13+IF($A6&lt;='SLOT_RULES'!$D$13,0,INT(($A6-'SLOT_RULES'!$D$13-1)/'SLOT_RULES'!$E$13)+1)*'SLOT_RULES'!$E$13</f>
        <v/>
      </c>
      <c r="O6" s="156">
        <f>'SLOT_RULES'!$D$14+IF($A6&lt;='SLOT_RULES'!$D$14,0,INT(($A6-'SLOT_RULES'!$D$14-1)/'SLOT_RULES'!$E$14)+1)*'SLOT_RULES'!$E$14</f>
        <v/>
      </c>
      <c r="P6" s="156">
        <f>'SLOT_RULES'!$D$15+IF($A6&lt;='SLOT_RULES'!$D$15,0,INT(($A6-'SLOT_RULES'!$D$15-1)/'SLOT_RULES'!$E$15)+1)*'SLOT_RULES'!$E$15</f>
        <v/>
      </c>
      <c r="Q6" s="158">
        <f>MIN(E6:P6)-A6</f>
        <v/>
      </c>
      <c r="R6" s="158">
        <f>MAX(E6:P6)-A6</f>
        <v/>
      </c>
      <c r="S6" s="86">
        <f>IF(AND(COUNT(E6:P6)=10,MIN(E6:P6)&gt;=A6),"PASS","FAIL")</f>
        <v/>
      </c>
      <c r="T6" s="86">
        <f>IF((COUNTIF('LOCAL_REFERENCE'!$D6:$O6,E6)+COUNTIF('LOCAL_REFERENCE'!$D6:$O6,H6)+COUNTIF('LOCAL_REFERENCE'!$D6:$O6,I6)+COUNTIF('LOCAL_REFERENCE'!$D6:$O6,J6)+COUNTIF('LOCAL_REFERENCE'!$D6:$O6,K6)+COUNTIF('LOCAL_REFERENCE'!$D6:$O6,L6)+COUNTIF('LOCAL_REFERENCE'!$D6:$O6,M6)+COUNTIF('LOCAL_REFERENCE'!$D6:$O6,N6)+COUNTIF('LOCAL_REFERENCE'!$D6:$O6,O6)+COUNTIF('LOCAL_REFERENCE'!$D6:$O6,P6))=0,"PASS","FAIL")</f>
        <v/>
      </c>
      <c r="U6" s="86">
        <f>IF((COUNTIF('VPS_REFERENCE'!$D6:$H6,E6)+COUNTIF('VPS_REFERENCE'!$D6:$H6,H6)+COUNTIF('VPS_REFERENCE'!$D6:$H6,I6)+COUNTIF('VPS_REFERENCE'!$D6:$H6,J6)+COUNTIF('VPS_REFERENCE'!$D6:$H6,K6)+COUNTIF('VPS_REFERENCE'!$D6:$H6,L6)+COUNTIF('VPS_REFERENCE'!$D6:$H6,M6)+COUNTIF('VPS_REFERENCE'!$D6:$H6,N6)+COUNTIF('VPS_REFERENCE'!$D6:$H6,O6)+COUNTIF('VPS_REFERENCE'!$D6:$H6,P6))=0,"PASS","FAIL")</f>
        <v/>
      </c>
      <c r="V6" s="86">
        <f>IF(OR(E6=H6,E6=I6,E6=J6,E6=K6,E6=L6,E6=M6,E6=N6,E6=O6,E6=P6,H6=I6,H6=J6,H6=K6,H6=L6,H6=M6,H6=N6,H6=O6,H6=P6,I6=J6,I6=K6,I6=L6,I6=M6,I6=N6,I6=O6,I6=P6,J6=K6,J6=L6,J6=M6,J6=N6,J6=O6,J6=P6,K6=L6,K6=M6,K6=N6,K6=O6,K6=P6,L6=M6,L6=N6,L6=O6,L6=P6,M6=N6,M6=O6,M6=P6,N6=O6,N6=P6,O6=P6),"FAIL","PASS")</f>
        <v/>
      </c>
      <c r="W6" s="87">
        <f>'CRAWL_LOG'!B6</f>
        <v/>
      </c>
      <c r="X6" s="95" t="inlineStr">
        <is>
          <t>10-slot panel: 7 near + 3 far; AN2/AN3 inactive from 03/09</t>
        </is>
      </c>
    </row>
    <row r="7">
      <c r="A7" s="155" t="n">
        <v>46270</v>
      </c>
      <c r="B7" s="83" t="inlineStr">
        <is>
          <t>Thứ Bảy</t>
        </is>
      </c>
      <c r="C7" s="83" t="inlineStr">
        <is>
          <t>Official</t>
        </is>
      </c>
      <c r="D7" s="83" t="inlineStr">
        <is>
          <t>00:30</t>
        </is>
      </c>
      <c r="E7" s="156">
        <f>'SLOT_RULES'!$D$4+IF($A7&lt;='SLOT_RULES'!$D$4,0,INT(($A7-'SLOT_RULES'!$D$4-1)/'SLOT_RULES'!$E$4)+1)*'SLOT_RULES'!$E$4</f>
        <v/>
      </c>
      <c r="F7" s="157" t="n"/>
      <c r="G7" s="157" t="n"/>
      <c r="H7" s="156">
        <f>'SLOT_RULES'!$D$7+IF($A7&lt;='SLOT_RULES'!$D$7,0,INT(($A7-'SLOT_RULES'!$D$7-1)/'SLOT_RULES'!$E$7)+1)*'SLOT_RULES'!$E$7</f>
        <v/>
      </c>
      <c r="I7" s="156">
        <f>'SLOT_RULES'!$D$8+IF($A7&lt;='SLOT_RULES'!$D$8,0,INT(($A7-'SLOT_RULES'!$D$8-1)/'SLOT_RULES'!$E$8)+1)*'SLOT_RULES'!$E$8</f>
        <v/>
      </c>
      <c r="J7" s="156">
        <f>'SLOT_RULES'!$D$9+IF($A7&lt;='SLOT_RULES'!$D$9,0,INT(($A7-'SLOT_RULES'!$D$9-1)/'SLOT_RULES'!$E$9)+1)*'SLOT_RULES'!$E$9</f>
        <v/>
      </c>
      <c r="K7" s="156">
        <f>'SLOT_RULES'!$D$10+IF($A7&lt;='SLOT_RULES'!$D$10,0,INT(($A7-'SLOT_RULES'!$D$10-1)/'SLOT_RULES'!$E$10)+1)*'SLOT_RULES'!$E$10</f>
        <v/>
      </c>
      <c r="L7" s="156">
        <f>'SLOT_RULES'!$D$11+IF($A7&lt;='SLOT_RULES'!$D$11,0,INT(($A7-'SLOT_RULES'!$D$11-1)/'SLOT_RULES'!$E$11)+1)*'SLOT_RULES'!$E$11</f>
        <v/>
      </c>
      <c r="M7" s="156">
        <f>'SLOT_RULES'!$D$12+IF($A7&lt;='SLOT_RULES'!$D$12,0,INT(($A7-'SLOT_RULES'!$D$12-1)/'SLOT_RULES'!$E$12)+1)*'SLOT_RULES'!$E$12</f>
        <v/>
      </c>
      <c r="N7" s="156">
        <f>'SLOT_RULES'!$D$13+IF($A7&lt;='SLOT_RULES'!$D$13,0,INT(($A7-'SLOT_RULES'!$D$13-1)/'SLOT_RULES'!$E$13)+1)*'SLOT_RULES'!$E$13</f>
        <v/>
      </c>
      <c r="O7" s="156">
        <f>'SLOT_RULES'!$D$14+IF($A7&lt;='SLOT_RULES'!$D$14,0,INT(($A7-'SLOT_RULES'!$D$14-1)/'SLOT_RULES'!$E$14)+1)*'SLOT_RULES'!$E$14</f>
        <v/>
      </c>
      <c r="P7" s="156">
        <f>'SLOT_RULES'!$D$15+IF($A7&lt;='SLOT_RULES'!$D$15,0,INT(($A7-'SLOT_RULES'!$D$15-1)/'SLOT_RULES'!$E$15)+1)*'SLOT_RULES'!$E$15</f>
        <v/>
      </c>
      <c r="Q7" s="158">
        <f>MIN(E7:P7)-A7</f>
        <v/>
      </c>
      <c r="R7" s="158">
        <f>MAX(E7:P7)-A7</f>
        <v/>
      </c>
      <c r="S7" s="86">
        <f>IF(AND(COUNT(E7:P7)=10,MIN(E7:P7)&gt;=A7),"PASS","FAIL")</f>
        <v/>
      </c>
      <c r="T7" s="86">
        <f>IF((COUNTIF('LOCAL_REFERENCE'!$D7:$O7,E7)+COUNTIF('LOCAL_REFERENCE'!$D7:$O7,H7)+COUNTIF('LOCAL_REFERENCE'!$D7:$O7,I7)+COUNTIF('LOCAL_REFERENCE'!$D7:$O7,J7)+COUNTIF('LOCAL_REFERENCE'!$D7:$O7,K7)+COUNTIF('LOCAL_REFERENCE'!$D7:$O7,L7)+COUNTIF('LOCAL_REFERENCE'!$D7:$O7,M7)+COUNTIF('LOCAL_REFERENCE'!$D7:$O7,N7)+COUNTIF('LOCAL_REFERENCE'!$D7:$O7,O7)+COUNTIF('LOCAL_REFERENCE'!$D7:$O7,P7))=0,"PASS","FAIL")</f>
        <v/>
      </c>
      <c r="U7" s="86">
        <f>IF((COUNTIF('VPS_REFERENCE'!$D7:$H7,E7)+COUNTIF('VPS_REFERENCE'!$D7:$H7,H7)+COUNTIF('VPS_REFERENCE'!$D7:$H7,I7)+COUNTIF('VPS_REFERENCE'!$D7:$H7,J7)+COUNTIF('VPS_REFERENCE'!$D7:$H7,K7)+COUNTIF('VPS_REFERENCE'!$D7:$H7,L7)+COUNTIF('VPS_REFERENCE'!$D7:$H7,M7)+COUNTIF('VPS_REFERENCE'!$D7:$H7,N7)+COUNTIF('VPS_REFERENCE'!$D7:$H7,O7)+COUNTIF('VPS_REFERENCE'!$D7:$H7,P7))=0,"PASS","FAIL")</f>
        <v/>
      </c>
      <c r="V7" s="86">
        <f>IF(OR(E7=H7,E7=I7,E7=J7,E7=K7,E7=L7,E7=M7,E7=N7,E7=O7,E7=P7,H7=I7,H7=J7,H7=K7,H7=L7,H7=M7,H7=N7,H7=O7,H7=P7,I7=J7,I7=K7,I7=L7,I7=M7,I7=N7,I7=O7,I7=P7,J7=K7,J7=L7,J7=M7,J7=N7,J7=O7,J7=P7,K7=L7,K7=M7,K7=N7,K7=O7,K7=P7,L7=M7,L7=N7,L7=O7,L7=P7,M7=N7,M7=O7,M7=P7,N7=O7,N7=P7,O7=P7),"FAIL","PASS")</f>
        <v/>
      </c>
      <c r="W7" s="87">
        <f>'CRAWL_LOG'!B7</f>
        <v/>
      </c>
      <c r="X7" s="95" t="inlineStr">
        <is>
          <t>10-slot panel: 7 near + 3 far; AN2/AN3 inactive from 03/09</t>
        </is>
      </c>
    </row>
    <row r="8">
      <c r="A8" s="155" t="n">
        <v>46271</v>
      </c>
      <c r="B8" s="83" t="inlineStr">
        <is>
          <t>Chủ Nhật</t>
        </is>
      </c>
      <c r="C8" s="83" t="inlineStr">
        <is>
          <t>Official</t>
        </is>
      </c>
      <c r="D8" s="83" t="inlineStr">
        <is>
          <t>00:30</t>
        </is>
      </c>
      <c r="E8" s="156">
        <f>'SLOT_RULES'!$D$4+IF($A8&lt;='SLOT_RULES'!$D$4,0,INT(($A8-'SLOT_RULES'!$D$4-1)/'SLOT_RULES'!$E$4)+1)*'SLOT_RULES'!$E$4</f>
        <v/>
      </c>
      <c r="F8" s="157" t="n"/>
      <c r="G8" s="157" t="n"/>
      <c r="H8" s="156">
        <f>'SLOT_RULES'!$D$7+IF($A8&lt;='SLOT_RULES'!$D$7,0,INT(($A8-'SLOT_RULES'!$D$7-1)/'SLOT_RULES'!$E$7)+1)*'SLOT_RULES'!$E$7</f>
        <v/>
      </c>
      <c r="I8" s="156">
        <f>'SLOT_RULES'!$D$8+IF($A8&lt;='SLOT_RULES'!$D$8,0,INT(($A8-'SLOT_RULES'!$D$8-1)/'SLOT_RULES'!$E$8)+1)*'SLOT_RULES'!$E$8</f>
        <v/>
      </c>
      <c r="J8" s="156">
        <f>'SLOT_RULES'!$D$9+IF($A8&lt;='SLOT_RULES'!$D$9,0,INT(($A8-'SLOT_RULES'!$D$9-1)/'SLOT_RULES'!$E$9)+1)*'SLOT_RULES'!$E$9</f>
        <v/>
      </c>
      <c r="K8" s="156">
        <f>'SLOT_RULES'!$D$10+IF($A8&lt;='SLOT_RULES'!$D$10,0,INT(($A8-'SLOT_RULES'!$D$10-1)/'SLOT_RULES'!$E$10)+1)*'SLOT_RULES'!$E$10</f>
        <v/>
      </c>
      <c r="L8" s="156">
        <f>'SLOT_RULES'!$D$11+IF($A8&lt;='SLOT_RULES'!$D$11,0,INT(($A8-'SLOT_RULES'!$D$11-1)/'SLOT_RULES'!$E$11)+1)*'SLOT_RULES'!$E$11</f>
        <v/>
      </c>
      <c r="M8" s="156">
        <f>'SLOT_RULES'!$D$12+IF($A8&lt;='SLOT_RULES'!$D$12,0,INT(($A8-'SLOT_RULES'!$D$12-1)/'SLOT_RULES'!$E$12)+1)*'SLOT_RULES'!$E$12</f>
        <v/>
      </c>
      <c r="N8" s="156">
        <f>'SLOT_RULES'!$D$13+IF($A8&lt;='SLOT_RULES'!$D$13,0,INT(($A8-'SLOT_RULES'!$D$13-1)/'SLOT_RULES'!$E$13)+1)*'SLOT_RULES'!$E$13</f>
        <v/>
      </c>
      <c r="O8" s="156">
        <f>'SLOT_RULES'!$D$14+IF($A8&lt;='SLOT_RULES'!$D$14,0,INT(($A8-'SLOT_RULES'!$D$14-1)/'SLOT_RULES'!$E$14)+1)*'SLOT_RULES'!$E$14</f>
        <v/>
      </c>
      <c r="P8" s="156">
        <f>'SLOT_RULES'!$D$15+IF($A8&lt;='SLOT_RULES'!$D$15,0,INT(($A8-'SLOT_RULES'!$D$15-1)/'SLOT_RULES'!$E$15)+1)*'SLOT_RULES'!$E$15</f>
        <v/>
      </c>
      <c r="Q8" s="158">
        <f>MIN(E8:P8)-A8</f>
        <v/>
      </c>
      <c r="R8" s="158">
        <f>MAX(E8:P8)-A8</f>
        <v/>
      </c>
      <c r="S8" s="86">
        <f>IF(AND(COUNT(E8:P8)=10,MIN(E8:P8)&gt;=A8),"PASS","FAIL")</f>
        <v/>
      </c>
      <c r="T8" s="86">
        <f>IF((COUNTIF('LOCAL_REFERENCE'!$D8:$O8,E8)+COUNTIF('LOCAL_REFERENCE'!$D8:$O8,H8)+COUNTIF('LOCAL_REFERENCE'!$D8:$O8,I8)+COUNTIF('LOCAL_REFERENCE'!$D8:$O8,J8)+COUNTIF('LOCAL_REFERENCE'!$D8:$O8,K8)+COUNTIF('LOCAL_REFERENCE'!$D8:$O8,L8)+COUNTIF('LOCAL_REFERENCE'!$D8:$O8,M8)+COUNTIF('LOCAL_REFERENCE'!$D8:$O8,N8)+COUNTIF('LOCAL_REFERENCE'!$D8:$O8,O8)+COUNTIF('LOCAL_REFERENCE'!$D8:$O8,P8))=0,"PASS","FAIL")</f>
        <v/>
      </c>
      <c r="U8" s="86">
        <f>IF((COUNTIF('VPS_REFERENCE'!$D8:$H8,E8)+COUNTIF('VPS_REFERENCE'!$D8:$H8,H8)+COUNTIF('VPS_REFERENCE'!$D8:$H8,I8)+COUNTIF('VPS_REFERENCE'!$D8:$H8,J8)+COUNTIF('VPS_REFERENCE'!$D8:$H8,K8)+COUNTIF('VPS_REFERENCE'!$D8:$H8,L8)+COUNTIF('VPS_REFERENCE'!$D8:$H8,M8)+COUNTIF('VPS_REFERENCE'!$D8:$H8,N8)+COUNTIF('VPS_REFERENCE'!$D8:$H8,O8)+COUNTIF('VPS_REFERENCE'!$D8:$H8,P8))=0,"PASS","FAIL")</f>
        <v/>
      </c>
      <c r="V8" s="86">
        <f>IF(OR(E8=H8,E8=I8,E8=J8,E8=K8,E8=L8,E8=M8,E8=N8,E8=O8,E8=P8,H8=I8,H8=J8,H8=K8,H8=L8,H8=M8,H8=N8,H8=O8,H8=P8,I8=J8,I8=K8,I8=L8,I8=M8,I8=N8,I8=O8,I8=P8,J8=K8,J8=L8,J8=M8,J8=N8,J8=O8,J8=P8,K8=L8,K8=M8,K8=N8,K8=O8,K8=P8,L8=M8,L8=N8,L8=O8,L8=P8,M8=N8,M8=O8,M8=P8,N8=O8,N8=P8,O8=P8),"FAIL","PASS")</f>
        <v/>
      </c>
      <c r="W8" s="87">
        <f>'CRAWL_LOG'!B8</f>
        <v/>
      </c>
      <c r="X8" s="95" t="inlineStr">
        <is>
          <t>10-slot panel: 7 near + 3 far; AN2/AN3 inactive from 03/09</t>
        </is>
      </c>
    </row>
    <row r="9">
      <c r="A9" s="155" t="n">
        <v>46272</v>
      </c>
      <c r="B9" s="83" t="inlineStr">
        <is>
          <t>Thứ Hai</t>
        </is>
      </c>
      <c r="C9" s="83" t="inlineStr">
        <is>
          <t>Official</t>
        </is>
      </c>
      <c r="D9" s="83" t="inlineStr">
        <is>
          <t>00:30</t>
        </is>
      </c>
      <c r="E9" s="156">
        <f>'SLOT_RULES'!$D$4+IF($A9&lt;='SLOT_RULES'!$D$4,0,INT(($A9-'SLOT_RULES'!$D$4-1)/'SLOT_RULES'!$E$4)+1)*'SLOT_RULES'!$E$4</f>
        <v/>
      </c>
      <c r="F9" s="157" t="n"/>
      <c r="G9" s="157" t="n"/>
      <c r="H9" s="156">
        <f>'SLOT_RULES'!$D$7+IF($A9&lt;='SLOT_RULES'!$D$7,0,INT(($A9-'SLOT_RULES'!$D$7-1)/'SLOT_RULES'!$E$7)+1)*'SLOT_RULES'!$E$7</f>
        <v/>
      </c>
      <c r="I9" s="156">
        <f>'SLOT_RULES'!$D$8+IF($A9&lt;='SLOT_RULES'!$D$8,0,INT(($A9-'SLOT_RULES'!$D$8-1)/'SLOT_RULES'!$E$8)+1)*'SLOT_RULES'!$E$8</f>
        <v/>
      </c>
      <c r="J9" s="156">
        <f>'SLOT_RULES'!$D$9+IF($A9&lt;='SLOT_RULES'!$D$9,0,INT(($A9-'SLOT_RULES'!$D$9-1)/'SLOT_RULES'!$E$9)+1)*'SLOT_RULES'!$E$9</f>
        <v/>
      </c>
      <c r="K9" s="156">
        <f>'SLOT_RULES'!$D$10+IF($A9&lt;='SLOT_RULES'!$D$10,0,INT(($A9-'SLOT_RULES'!$D$10-1)/'SLOT_RULES'!$E$10)+1)*'SLOT_RULES'!$E$10</f>
        <v/>
      </c>
      <c r="L9" s="156">
        <f>'SLOT_RULES'!$D$11+IF($A9&lt;='SLOT_RULES'!$D$11,0,INT(($A9-'SLOT_RULES'!$D$11-1)/'SLOT_RULES'!$E$11)+1)*'SLOT_RULES'!$E$11</f>
        <v/>
      </c>
      <c r="M9" s="156">
        <f>'SLOT_RULES'!$D$12+IF($A9&lt;='SLOT_RULES'!$D$12,0,INT(($A9-'SLOT_RULES'!$D$12-1)/'SLOT_RULES'!$E$12)+1)*'SLOT_RULES'!$E$12</f>
        <v/>
      </c>
      <c r="N9" s="156">
        <f>'SLOT_RULES'!$D$13+IF($A9&lt;='SLOT_RULES'!$D$13,0,INT(($A9-'SLOT_RULES'!$D$13-1)/'SLOT_RULES'!$E$13)+1)*'SLOT_RULES'!$E$13</f>
        <v/>
      </c>
      <c r="O9" s="156">
        <f>'SLOT_RULES'!$D$14+IF($A9&lt;='SLOT_RULES'!$D$14,0,INT(($A9-'SLOT_RULES'!$D$14-1)/'SLOT_RULES'!$E$14)+1)*'SLOT_RULES'!$E$14</f>
        <v/>
      </c>
      <c r="P9" s="156">
        <f>'SLOT_RULES'!$D$15+IF($A9&lt;='SLOT_RULES'!$D$15,0,INT(($A9-'SLOT_RULES'!$D$15-1)/'SLOT_RULES'!$E$15)+1)*'SLOT_RULES'!$E$15</f>
        <v/>
      </c>
      <c r="Q9" s="158">
        <f>MIN(E9:P9)-A9</f>
        <v/>
      </c>
      <c r="R9" s="158">
        <f>MAX(E9:P9)-A9</f>
        <v/>
      </c>
      <c r="S9" s="86">
        <f>IF(AND(COUNT(E9:P9)=10,MIN(E9:P9)&gt;=A9),"PASS","FAIL")</f>
        <v/>
      </c>
      <c r="T9" s="86">
        <f>IF((COUNTIF('LOCAL_REFERENCE'!$D9:$O9,E9)+COUNTIF('LOCAL_REFERENCE'!$D9:$O9,H9)+COUNTIF('LOCAL_REFERENCE'!$D9:$O9,I9)+COUNTIF('LOCAL_REFERENCE'!$D9:$O9,J9)+COUNTIF('LOCAL_REFERENCE'!$D9:$O9,K9)+COUNTIF('LOCAL_REFERENCE'!$D9:$O9,L9)+COUNTIF('LOCAL_REFERENCE'!$D9:$O9,M9)+COUNTIF('LOCAL_REFERENCE'!$D9:$O9,N9)+COUNTIF('LOCAL_REFERENCE'!$D9:$O9,O9)+COUNTIF('LOCAL_REFERENCE'!$D9:$O9,P9))=0,"PASS","FAIL")</f>
        <v/>
      </c>
      <c r="U9" s="86">
        <f>IF((COUNTIF('VPS_REFERENCE'!$D9:$H9,E9)+COUNTIF('VPS_REFERENCE'!$D9:$H9,H9)+COUNTIF('VPS_REFERENCE'!$D9:$H9,I9)+COUNTIF('VPS_REFERENCE'!$D9:$H9,J9)+COUNTIF('VPS_REFERENCE'!$D9:$H9,K9)+COUNTIF('VPS_REFERENCE'!$D9:$H9,L9)+COUNTIF('VPS_REFERENCE'!$D9:$H9,M9)+COUNTIF('VPS_REFERENCE'!$D9:$H9,N9)+COUNTIF('VPS_REFERENCE'!$D9:$H9,O9)+COUNTIF('VPS_REFERENCE'!$D9:$H9,P9))=0,"PASS","FAIL")</f>
        <v/>
      </c>
      <c r="V9" s="86">
        <f>IF(OR(E9=H9,E9=I9,E9=J9,E9=K9,E9=L9,E9=M9,E9=N9,E9=O9,E9=P9,H9=I9,H9=J9,H9=K9,H9=L9,H9=M9,H9=N9,H9=O9,H9=P9,I9=J9,I9=K9,I9=L9,I9=M9,I9=N9,I9=O9,I9=P9,J9=K9,J9=L9,J9=M9,J9=N9,J9=O9,J9=P9,K9=L9,K9=M9,K9=N9,K9=O9,K9=P9,L9=M9,L9=N9,L9=O9,L9=P9,M9=N9,M9=O9,M9=P9,N9=O9,N9=P9,O9=P9),"FAIL","PASS")</f>
        <v/>
      </c>
      <c r="W9" s="87">
        <f>'CRAWL_LOG'!B9</f>
        <v/>
      </c>
      <c r="X9" s="95" t="inlineStr">
        <is>
          <t>10-slot panel: 7 near + 3 far; AN2/AN3 inactive from 03/09</t>
        </is>
      </c>
    </row>
    <row r="10">
      <c r="A10" s="155" t="n">
        <v>46273</v>
      </c>
      <c r="B10" s="83" t="inlineStr">
        <is>
          <t>Thứ Ba</t>
        </is>
      </c>
      <c r="C10" s="83" t="inlineStr">
        <is>
          <t>Official</t>
        </is>
      </c>
      <c r="D10" s="83" t="inlineStr">
        <is>
          <t>00:30</t>
        </is>
      </c>
      <c r="E10" s="156">
        <f>'SLOT_RULES'!$D$4+IF($A10&lt;='SLOT_RULES'!$D$4,0,INT(($A10-'SLOT_RULES'!$D$4-1)/'SLOT_RULES'!$E$4)+1)*'SLOT_RULES'!$E$4</f>
        <v/>
      </c>
      <c r="F10" s="157" t="n"/>
      <c r="G10" s="157" t="n"/>
      <c r="H10" s="156">
        <f>'SLOT_RULES'!$D$7+IF($A10&lt;='SLOT_RULES'!$D$7,0,INT(($A10-'SLOT_RULES'!$D$7-1)/'SLOT_RULES'!$E$7)+1)*'SLOT_RULES'!$E$7</f>
        <v/>
      </c>
      <c r="I10" s="156">
        <f>'SLOT_RULES'!$D$8+IF($A10&lt;='SLOT_RULES'!$D$8,0,INT(($A10-'SLOT_RULES'!$D$8-1)/'SLOT_RULES'!$E$8)+1)*'SLOT_RULES'!$E$8</f>
        <v/>
      </c>
      <c r="J10" s="156">
        <f>'SLOT_RULES'!$D$9+IF($A10&lt;='SLOT_RULES'!$D$9,0,INT(($A10-'SLOT_RULES'!$D$9-1)/'SLOT_RULES'!$E$9)+1)*'SLOT_RULES'!$E$9</f>
        <v/>
      </c>
      <c r="K10" s="156">
        <f>'SLOT_RULES'!$D$10+IF($A10&lt;='SLOT_RULES'!$D$10,0,INT(($A10-'SLOT_RULES'!$D$10-1)/'SLOT_RULES'!$E$10)+1)*'SLOT_RULES'!$E$10</f>
        <v/>
      </c>
      <c r="L10" s="156">
        <f>'SLOT_RULES'!$D$11+IF($A10&lt;='SLOT_RULES'!$D$11,0,INT(($A10-'SLOT_RULES'!$D$11-1)/'SLOT_RULES'!$E$11)+1)*'SLOT_RULES'!$E$11</f>
        <v/>
      </c>
      <c r="M10" s="156">
        <f>'SLOT_RULES'!$D$12+IF($A10&lt;='SLOT_RULES'!$D$12,0,INT(($A10-'SLOT_RULES'!$D$12-1)/'SLOT_RULES'!$E$12)+1)*'SLOT_RULES'!$E$12</f>
        <v/>
      </c>
      <c r="N10" s="156">
        <f>'SLOT_RULES'!$D$13+IF($A10&lt;='SLOT_RULES'!$D$13,0,INT(($A10-'SLOT_RULES'!$D$13-1)/'SLOT_RULES'!$E$13)+1)*'SLOT_RULES'!$E$13</f>
        <v/>
      </c>
      <c r="O10" s="156">
        <f>'SLOT_RULES'!$D$14+IF($A10&lt;='SLOT_RULES'!$D$14,0,INT(($A10-'SLOT_RULES'!$D$14-1)/'SLOT_RULES'!$E$14)+1)*'SLOT_RULES'!$E$14</f>
        <v/>
      </c>
      <c r="P10" s="156">
        <f>'SLOT_RULES'!$D$15+IF($A10&lt;='SLOT_RULES'!$D$15,0,INT(($A10-'SLOT_RULES'!$D$15-1)/'SLOT_RULES'!$E$15)+1)*'SLOT_RULES'!$E$15</f>
        <v/>
      </c>
      <c r="Q10" s="158">
        <f>MIN(E10:P10)-A10</f>
        <v/>
      </c>
      <c r="R10" s="158">
        <f>MAX(E10:P10)-A10</f>
        <v/>
      </c>
      <c r="S10" s="86">
        <f>IF(AND(COUNT(E10:P10)=10,MIN(E10:P10)&gt;=A10),"PASS","FAIL")</f>
        <v/>
      </c>
      <c r="T10" s="86">
        <f>IF((COUNTIF('LOCAL_REFERENCE'!$D10:$O10,E10)+COUNTIF('LOCAL_REFERENCE'!$D10:$O10,H10)+COUNTIF('LOCAL_REFERENCE'!$D10:$O10,I10)+COUNTIF('LOCAL_REFERENCE'!$D10:$O10,J10)+COUNTIF('LOCAL_REFERENCE'!$D10:$O10,K10)+COUNTIF('LOCAL_REFERENCE'!$D10:$O10,L10)+COUNTIF('LOCAL_REFERENCE'!$D10:$O10,M10)+COUNTIF('LOCAL_REFERENCE'!$D10:$O10,N10)+COUNTIF('LOCAL_REFERENCE'!$D10:$O10,O10)+COUNTIF('LOCAL_REFERENCE'!$D10:$O10,P10))=0,"PASS","FAIL")</f>
        <v/>
      </c>
      <c r="U10" s="86">
        <f>IF((COUNTIF('VPS_REFERENCE'!$D10:$H10,E10)+COUNTIF('VPS_REFERENCE'!$D10:$H10,H10)+COUNTIF('VPS_REFERENCE'!$D10:$H10,I10)+COUNTIF('VPS_REFERENCE'!$D10:$H10,J10)+COUNTIF('VPS_REFERENCE'!$D10:$H10,K10)+COUNTIF('VPS_REFERENCE'!$D10:$H10,L10)+COUNTIF('VPS_REFERENCE'!$D10:$H10,M10)+COUNTIF('VPS_REFERENCE'!$D10:$H10,N10)+COUNTIF('VPS_REFERENCE'!$D10:$H10,O10)+COUNTIF('VPS_REFERENCE'!$D10:$H10,P10))=0,"PASS","FAIL")</f>
        <v/>
      </c>
      <c r="V10" s="86">
        <f>IF(OR(E10=H10,E10=I10,E10=J10,E10=K10,E10=L10,E10=M10,E10=N10,E10=O10,E10=P10,H10=I10,H10=J10,H10=K10,H10=L10,H10=M10,H10=N10,H10=O10,H10=P10,I10=J10,I10=K10,I10=L10,I10=M10,I10=N10,I10=O10,I10=P10,J10=K10,J10=L10,J10=M10,J10=N10,J10=O10,J10=P10,K10=L10,K10=M10,K10=N10,K10=O10,K10=P10,L10=M10,L10=N10,L10=O10,L10=P10,M10=N10,M10=O10,M10=P10,N10=O10,N10=P10,O10=P10),"FAIL","PASS")</f>
        <v/>
      </c>
      <c r="W10" s="87">
        <f>'CRAWL_LOG'!B10</f>
        <v/>
      </c>
      <c r="X10" s="95" t="inlineStr">
        <is>
          <t>10-slot panel: 7 near + 3 far; AN2/AN3 inactive from 03/09</t>
        </is>
      </c>
    </row>
    <row r="11">
      <c r="A11" s="155" t="n">
        <v>46274</v>
      </c>
      <c r="B11" s="83" t="inlineStr">
        <is>
          <t>Thứ Tư</t>
        </is>
      </c>
      <c r="C11" s="83" t="inlineStr">
        <is>
          <t>Official</t>
        </is>
      </c>
      <c r="D11" s="83" t="inlineStr">
        <is>
          <t>00:30</t>
        </is>
      </c>
      <c r="E11" s="156">
        <f>'SLOT_RULES'!$D$4+IF($A11&lt;='SLOT_RULES'!$D$4,0,INT(($A11-'SLOT_RULES'!$D$4-1)/'SLOT_RULES'!$E$4)+1)*'SLOT_RULES'!$E$4</f>
        <v/>
      </c>
      <c r="F11" s="157" t="n"/>
      <c r="G11" s="157" t="n"/>
      <c r="H11" s="156">
        <f>'SLOT_RULES'!$D$7+IF($A11&lt;='SLOT_RULES'!$D$7,0,INT(($A11-'SLOT_RULES'!$D$7-1)/'SLOT_RULES'!$E$7)+1)*'SLOT_RULES'!$E$7</f>
        <v/>
      </c>
      <c r="I11" s="156">
        <f>'SLOT_RULES'!$D$8+IF($A11&lt;='SLOT_RULES'!$D$8,0,INT(($A11-'SLOT_RULES'!$D$8-1)/'SLOT_RULES'!$E$8)+1)*'SLOT_RULES'!$E$8</f>
        <v/>
      </c>
      <c r="J11" s="156">
        <f>'SLOT_RULES'!$D$9+IF($A11&lt;='SLOT_RULES'!$D$9,0,INT(($A11-'SLOT_RULES'!$D$9-1)/'SLOT_RULES'!$E$9)+1)*'SLOT_RULES'!$E$9</f>
        <v/>
      </c>
      <c r="K11" s="156">
        <f>'SLOT_RULES'!$D$10+IF($A11&lt;='SLOT_RULES'!$D$10,0,INT(($A11-'SLOT_RULES'!$D$10-1)/'SLOT_RULES'!$E$10)+1)*'SLOT_RULES'!$E$10</f>
        <v/>
      </c>
      <c r="L11" s="156">
        <f>'SLOT_RULES'!$D$11+IF($A11&lt;='SLOT_RULES'!$D$11,0,INT(($A11-'SLOT_RULES'!$D$11-1)/'SLOT_RULES'!$E$11)+1)*'SLOT_RULES'!$E$11</f>
        <v/>
      </c>
      <c r="M11" s="156">
        <f>'SLOT_RULES'!$D$12+IF($A11&lt;='SLOT_RULES'!$D$12,0,INT(($A11-'SLOT_RULES'!$D$12-1)/'SLOT_RULES'!$E$12)+1)*'SLOT_RULES'!$E$12</f>
        <v/>
      </c>
      <c r="N11" s="156">
        <f>'SLOT_RULES'!$D$13+IF($A11&lt;='SLOT_RULES'!$D$13,0,INT(($A11-'SLOT_RULES'!$D$13-1)/'SLOT_RULES'!$E$13)+1)*'SLOT_RULES'!$E$13</f>
        <v/>
      </c>
      <c r="O11" s="156">
        <f>'SLOT_RULES'!$D$14+IF($A11&lt;='SLOT_RULES'!$D$14,0,INT(($A11-'SLOT_RULES'!$D$14-1)/'SLOT_RULES'!$E$14)+1)*'SLOT_RULES'!$E$14</f>
        <v/>
      </c>
      <c r="P11" s="156">
        <f>'SLOT_RULES'!$D$15+IF($A11&lt;='SLOT_RULES'!$D$15,0,INT(($A11-'SLOT_RULES'!$D$15-1)/'SLOT_RULES'!$E$15)+1)*'SLOT_RULES'!$E$15</f>
        <v/>
      </c>
      <c r="Q11" s="158">
        <f>MIN(E11:P11)-A11</f>
        <v/>
      </c>
      <c r="R11" s="158">
        <f>MAX(E11:P11)-A11</f>
        <v/>
      </c>
      <c r="S11" s="86">
        <f>IF(AND(COUNT(E11:P11)=10,MIN(E11:P11)&gt;=A11),"PASS","FAIL")</f>
        <v/>
      </c>
      <c r="T11" s="86">
        <f>IF((COUNTIF('LOCAL_REFERENCE'!$D11:$O11,E11)+COUNTIF('LOCAL_REFERENCE'!$D11:$O11,H11)+COUNTIF('LOCAL_REFERENCE'!$D11:$O11,I11)+COUNTIF('LOCAL_REFERENCE'!$D11:$O11,J11)+COUNTIF('LOCAL_REFERENCE'!$D11:$O11,K11)+COUNTIF('LOCAL_REFERENCE'!$D11:$O11,L11)+COUNTIF('LOCAL_REFERENCE'!$D11:$O11,M11)+COUNTIF('LOCAL_REFERENCE'!$D11:$O11,N11)+COUNTIF('LOCAL_REFERENCE'!$D11:$O11,O11)+COUNTIF('LOCAL_REFERENCE'!$D11:$O11,P11))=0,"PASS","FAIL")</f>
        <v/>
      </c>
      <c r="U11" s="86">
        <f>IF((COUNTIF('VPS_REFERENCE'!$D11:$H11,E11)+COUNTIF('VPS_REFERENCE'!$D11:$H11,H11)+COUNTIF('VPS_REFERENCE'!$D11:$H11,I11)+COUNTIF('VPS_REFERENCE'!$D11:$H11,J11)+COUNTIF('VPS_REFERENCE'!$D11:$H11,K11)+COUNTIF('VPS_REFERENCE'!$D11:$H11,L11)+COUNTIF('VPS_REFERENCE'!$D11:$H11,M11)+COUNTIF('VPS_REFERENCE'!$D11:$H11,N11)+COUNTIF('VPS_REFERENCE'!$D11:$H11,O11)+COUNTIF('VPS_REFERENCE'!$D11:$H11,P11))=0,"PASS","FAIL")</f>
        <v/>
      </c>
      <c r="V11" s="86">
        <f>IF(OR(E11=H11,E11=I11,E11=J11,E11=K11,E11=L11,E11=M11,E11=N11,E11=O11,E11=P11,H11=I11,H11=J11,H11=K11,H11=L11,H11=M11,H11=N11,H11=O11,H11=P11,I11=J11,I11=K11,I11=L11,I11=M11,I11=N11,I11=O11,I11=P11,J11=K11,J11=L11,J11=M11,J11=N11,J11=O11,J11=P11,K11=L11,K11=M11,K11=N11,K11=O11,K11=P11,L11=M11,L11=N11,L11=O11,L11=P11,M11=N11,M11=O11,M11=P11,N11=O11,N11=P11,O11=P11),"FAIL","PASS")</f>
        <v/>
      </c>
      <c r="W11" s="87">
        <f>'CRAWL_LOG'!B11</f>
        <v/>
      </c>
      <c r="X11" s="95" t="inlineStr">
        <is>
          <t>10-slot panel: 7 near + 3 far; AN2/AN3 inactive from 03/09</t>
        </is>
      </c>
    </row>
    <row r="12">
      <c r="A12" s="155" t="n">
        <v>46275</v>
      </c>
      <c r="B12" s="83" t="inlineStr">
        <is>
          <t>Thứ Năm</t>
        </is>
      </c>
      <c r="C12" s="83" t="inlineStr">
        <is>
          <t>Official</t>
        </is>
      </c>
      <c r="D12" s="83" t="inlineStr">
        <is>
          <t>00:30</t>
        </is>
      </c>
      <c r="E12" s="156">
        <f>'SLOT_RULES'!$D$4+IF($A12&lt;='SLOT_RULES'!$D$4,0,INT(($A12-'SLOT_RULES'!$D$4-1)/'SLOT_RULES'!$E$4)+1)*'SLOT_RULES'!$E$4</f>
        <v/>
      </c>
      <c r="F12" s="157" t="n"/>
      <c r="G12" s="157" t="n"/>
      <c r="H12" s="156">
        <f>'SLOT_RULES'!$D$7+IF($A12&lt;='SLOT_RULES'!$D$7,0,INT(($A12-'SLOT_RULES'!$D$7-1)/'SLOT_RULES'!$E$7)+1)*'SLOT_RULES'!$E$7</f>
        <v/>
      </c>
      <c r="I12" s="156">
        <f>'SLOT_RULES'!$D$8+IF($A12&lt;='SLOT_RULES'!$D$8,0,INT(($A12-'SLOT_RULES'!$D$8-1)/'SLOT_RULES'!$E$8)+1)*'SLOT_RULES'!$E$8</f>
        <v/>
      </c>
      <c r="J12" s="156">
        <f>'SLOT_RULES'!$D$9+IF($A12&lt;='SLOT_RULES'!$D$9,0,INT(($A12-'SLOT_RULES'!$D$9-1)/'SLOT_RULES'!$E$9)+1)*'SLOT_RULES'!$E$9</f>
        <v/>
      </c>
      <c r="K12" s="156">
        <f>'SLOT_RULES'!$D$10+IF($A12&lt;='SLOT_RULES'!$D$10,0,INT(($A12-'SLOT_RULES'!$D$10-1)/'SLOT_RULES'!$E$10)+1)*'SLOT_RULES'!$E$10</f>
        <v/>
      </c>
      <c r="L12" s="156">
        <f>'SLOT_RULES'!$D$11+IF($A12&lt;='SLOT_RULES'!$D$11,0,INT(($A12-'SLOT_RULES'!$D$11-1)/'SLOT_RULES'!$E$11)+1)*'SLOT_RULES'!$E$11</f>
        <v/>
      </c>
      <c r="M12" s="156">
        <f>'SLOT_RULES'!$D$12+IF($A12&lt;='SLOT_RULES'!$D$12,0,INT(($A12-'SLOT_RULES'!$D$12-1)/'SLOT_RULES'!$E$12)+1)*'SLOT_RULES'!$E$12</f>
        <v/>
      </c>
      <c r="N12" s="156">
        <f>'SLOT_RULES'!$D$13+IF($A12&lt;='SLOT_RULES'!$D$13,0,INT(($A12-'SLOT_RULES'!$D$13-1)/'SLOT_RULES'!$E$13)+1)*'SLOT_RULES'!$E$13</f>
        <v/>
      </c>
      <c r="O12" s="156">
        <f>'SLOT_RULES'!$D$14+IF($A12&lt;='SLOT_RULES'!$D$14,0,INT(($A12-'SLOT_RULES'!$D$14-1)/'SLOT_RULES'!$E$14)+1)*'SLOT_RULES'!$E$14</f>
        <v/>
      </c>
      <c r="P12" s="156">
        <f>'SLOT_RULES'!$D$15+IF($A12&lt;='SLOT_RULES'!$D$15,0,INT(($A12-'SLOT_RULES'!$D$15-1)/'SLOT_RULES'!$E$15)+1)*'SLOT_RULES'!$E$15</f>
        <v/>
      </c>
      <c r="Q12" s="158">
        <f>MIN(E12:P12)-A12</f>
        <v/>
      </c>
      <c r="R12" s="158">
        <f>MAX(E12:P12)-A12</f>
        <v/>
      </c>
      <c r="S12" s="86">
        <f>IF(AND(COUNT(E12:P12)=10,MIN(E12:P12)&gt;=A12),"PASS","FAIL")</f>
        <v/>
      </c>
      <c r="T12" s="86">
        <f>IF((COUNTIF('LOCAL_REFERENCE'!$D12:$O12,E12)+COUNTIF('LOCAL_REFERENCE'!$D12:$O12,H12)+COUNTIF('LOCAL_REFERENCE'!$D12:$O12,I12)+COUNTIF('LOCAL_REFERENCE'!$D12:$O12,J12)+COUNTIF('LOCAL_REFERENCE'!$D12:$O12,K12)+COUNTIF('LOCAL_REFERENCE'!$D12:$O12,L12)+COUNTIF('LOCAL_REFERENCE'!$D12:$O12,M12)+COUNTIF('LOCAL_REFERENCE'!$D12:$O12,N12)+COUNTIF('LOCAL_REFERENCE'!$D12:$O12,O12)+COUNTIF('LOCAL_REFERENCE'!$D12:$O12,P12))=0,"PASS","FAIL")</f>
        <v/>
      </c>
      <c r="U12" s="86">
        <f>IF((COUNTIF('VPS_REFERENCE'!$D12:$H12,E12)+COUNTIF('VPS_REFERENCE'!$D12:$H12,H12)+COUNTIF('VPS_REFERENCE'!$D12:$H12,I12)+COUNTIF('VPS_REFERENCE'!$D12:$H12,J12)+COUNTIF('VPS_REFERENCE'!$D12:$H12,K12)+COUNTIF('VPS_REFERENCE'!$D12:$H12,L12)+COUNTIF('VPS_REFERENCE'!$D12:$H12,M12)+COUNTIF('VPS_REFERENCE'!$D12:$H12,N12)+COUNTIF('VPS_REFERENCE'!$D12:$H12,O12)+COUNTIF('VPS_REFERENCE'!$D12:$H12,P12))=0,"PASS","FAIL")</f>
        <v/>
      </c>
      <c r="V12" s="86">
        <f>IF(OR(E12=H12,E12=I12,E12=J12,E12=K12,E12=L12,E12=M12,E12=N12,E12=O12,E12=P12,H12=I12,H12=J12,H12=K12,H12=L12,H12=M12,H12=N12,H12=O12,H12=P12,I12=J12,I12=K12,I12=L12,I12=M12,I12=N12,I12=O12,I12=P12,J12=K12,J12=L12,J12=M12,J12=N12,J12=O12,J12=P12,K12=L12,K12=M12,K12=N12,K12=O12,K12=P12,L12=M12,L12=N12,L12=O12,L12=P12,M12=N12,M12=O12,M12=P12,N12=O12,N12=P12,O12=P12),"FAIL","PASS")</f>
        <v/>
      </c>
      <c r="W12" s="87">
        <f>'CRAWL_LOG'!B12</f>
        <v/>
      </c>
      <c r="X12" s="95" t="inlineStr">
        <is>
          <t>10-slot panel: 7 near + 3 far; AN2/AN3 inactive from 03/09</t>
        </is>
      </c>
    </row>
    <row r="13">
      <c r="A13" s="155" t="n">
        <v>46276</v>
      </c>
      <c r="B13" s="83" t="inlineStr">
        <is>
          <t>Thứ Sáu</t>
        </is>
      </c>
      <c r="C13" s="83" t="inlineStr">
        <is>
          <t>Official</t>
        </is>
      </c>
      <c r="D13" s="83" t="inlineStr">
        <is>
          <t>00:30</t>
        </is>
      </c>
      <c r="E13" s="156">
        <f>'SLOT_RULES'!$D$4+IF($A13&lt;='SLOT_RULES'!$D$4,0,INT(($A13-'SLOT_RULES'!$D$4-1)/'SLOT_RULES'!$E$4)+1)*'SLOT_RULES'!$E$4</f>
        <v/>
      </c>
      <c r="F13" s="157" t="n"/>
      <c r="G13" s="157" t="n"/>
      <c r="H13" s="156">
        <f>'SLOT_RULES'!$D$7+IF($A13&lt;='SLOT_RULES'!$D$7,0,INT(($A13-'SLOT_RULES'!$D$7-1)/'SLOT_RULES'!$E$7)+1)*'SLOT_RULES'!$E$7</f>
        <v/>
      </c>
      <c r="I13" s="156">
        <f>'SLOT_RULES'!$D$8+IF($A13&lt;='SLOT_RULES'!$D$8,0,INT(($A13-'SLOT_RULES'!$D$8-1)/'SLOT_RULES'!$E$8)+1)*'SLOT_RULES'!$E$8</f>
        <v/>
      </c>
      <c r="J13" s="156">
        <f>'SLOT_RULES'!$D$9+IF($A13&lt;='SLOT_RULES'!$D$9,0,INT(($A13-'SLOT_RULES'!$D$9-1)/'SLOT_RULES'!$E$9)+1)*'SLOT_RULES'!$E$9</f>
        <v/>
      </c>
      <c r="K13" s="156">
        <f>'SLOT_RULES'!$D$10+IF($A13&lt;='SLOT_RULES'!$D$10,0,INT(($A13-'SLOT_RULES'!$D$10-1)/'SLOT_RULES'!$E$10)+1)*'SLOT_RULES'!$E$10</f>
        <v/>
      </c>
      <c r="L13" s="156">
        <f>'SLOT_RULES'!$D$11+IF($A13&lt;='SLOT_RULES'!$D$11,0,INT(($A13-'SLOT_RULES'!$D$11-1)/'SLOT_RULES'!$E$11)+1)*'SLOT_RULES'!$E$11</f>
        <v/>
      </c>
      <c r="M13" s="156">
        <f>'SLOT_RULES'!$D$12+IF($A13&lt;='SLOT_RULES'!$D$12,0,INT(($A13-'SLOT_RULES'!$D$12-1)/'SLOT_RULES'!$E$12)+1)*'SLOT_RULES'!$E$12</f>
        <v/>
      </c>
      <c r="N13" s="156">
        <f>'SLOT_RULES'!$D$13+IF($A13&lt;='SLOT_RULES'!$D$13,0,INT(($A13-'SLOT_RULES'!$D$13-1)/'SLOT_RULES'!$E$13)+1)*'SLOT_RULES'!$E$13</f>
        <v/>
      </c>
      <c r="O13" s="156">
        <f>'SLOT_RULES'!$D$14+IF($A13&lt;='SLOT_RULES'!$D$14,0,INT(($A13-'SLOT_RULES'!$D$14-1)/'SLOT_RULES'!$E$14)+1)*'SLOT_RULES'!$E$14</f>
        <v/>
      </c>
      <c r="P13" s="156">
        <f>'SLOT_RULES'!$D$15+IF($A13&lt;='SLOT_RULES'!$D$15,0,INT(($A13-'SLOT_RULES'!$D$15-1)/'SLOT_RULES'!$E$15)+1)*'SLOT_RULES'!$E$15</f>
        <v/>
      </c>
      <c r="Q13" s="158">
        <f>MIN(E13:P13)-A13</f>
        <v/>
      </c>
      <c r="R13" s="158">
        <f>MAX(E13:P13)-A13</f>
        <v/>
      </c>
      <c r="S13" s="86">
        <f>IF(AND(COUNT(E13:P13)=10,MIN(E13:P13)&gt;=A13),"PASS","FAIL")</f>
        <v/>
      </c>
      <c r="T13" s="86">
        <f>IF((COUNTIF('LOCAL_REFERENCE'!$D13:$O13,E13)+COUNTIF('LOCAL_REFERENCE'!$D13:$O13,H13)+COUNTIF('LOCAL_REFERENCE'!$D13:$O13,I13)+COUNTIF('LOCAL_REFERENCE'!$D13:$O13,J13)+COUNTIF('LOCAL_REFERENCE'!$D13:$O13,K13)+COUNTIF('LOCAL_REFERENCE'!$D13:$O13,L13)+COUNTIF('LOCAL_REFERENCE'!$D13:$O13,M13)+COUNTIF('LOCAL_REFERENCE'!$D13:$O13,N13)+COUNTIF('LOCAL_REFERENCE'!$D13:$O13,O13)+COUNTIF('LOCAL_REFERENCE'!$D13:$O13,P13))=0,"PASS","FAIL")</f>
        <v/>
      </c>
      <c r="U13" s="86">
        <f>IF((COUNTIF('VPS_REFERENCE'!$D13:$H13,E13)+COUNTIF('VPS_REFERENCE'!$D13:$H13,H13)+COUNTIF('VPS_REFERENCE'!$D13:$H13,I13)+COUNTIF('VPS_REFERENCE'!$D13:$H13,J13)+COUNTIF('VPS_REFERENCE'!$D13:$H13,K13)+COUNTIF('VPS_REFERENCE'!$D13:$H13,L13)+COUNTIF('VPS_REFERENCE'!$D13:$H13,M13)+COUNTIF('VPS_REFERENCE'!$D13:$H13,N13)+COUNTIF('VPS_REFERENCE'!$D13:$H13,O13)+COUNTIF('VPS_REFERENCE'!$D13:$H13,P13))=0,"PASS","FAIL")</f>
        <v/>
      </c>
      <c r="V13" s="86">
        <f>IF(OR(E13=H13,E13=I13,E13=J13,E13=K13,E13=L13,E13=M13,E13=N13,E13=O13,E13=P13,H13=I13,H13=J13,H13=K13,H13=L13,H13=M13,H13=N13,H13=O13,H13=P13,I13=J13,I13=K13,I13=L13,I13=M13,I13=N13,I13=O13,I13=P13,J13=K13,J13=L13,J13=M13,J13=N13,J13=O13,J13=P13,K13=L13,K13=M13,K13=N13,K13=O13,K13=P13,L13=M13,L13=N13,L13=O13,L13=P13,M13=N13,M13=O13,M13=P13,N13=O13,N13=P13,O13=P13),"FAIL","PASS")</f>
        <v/>
      </c>
      <c r="W13" s="87">
        <f>'CRAWL_LOG'!B13</f>
        <v/>
      </c>
      <c r="X13" s="95" t="inlineStr">
        <is>
          <t>10-slot panel: 7 near + 3 far; AN2/AN3 inactive from 03/09</t>
        </is>
      </c>
    </row>
    <row r="14">
      <c r="A14" s="155" t="n">
        <v>46277</v>
      </c>
      <c r="B14" s="83" t="inlineStr">
        <is>
          <t>Thứ Bảy</t>
        </is>
      </c>
      <c r="C14" s="83" t="inlineStr">
        <is>
          <t>Official</t>
        </is>
      </c>
      <c r="D14" s="83" t="inlineStr">
        <is>
          <t>00:30</t>
        </is>
      </c>
      <c r="E14" s="156">
        <f>'SLOT_RULES'!$D$4+IF($A14&lt;='SLOT_RULES'!$D$4,0,INT(($A14-'SLOT_RULES'!$D$4-1)/'SLOT_RULES'!$E$4)+1)*'SLOT_RULES'!$E$4</f>
        <v/>
      </c>
      <c r="F14" s="157" t="n"/>
      <c r="G14" s="157" t="n"/>
      <c r="H14" s="156">
        <f>'SLOT_RULES'!$D$7+IF($A14&lt;='SLOT_RULES'!$D$7,0,INT(($A14-'SLOT_RULES'!$D$7-1)/'SLOT_RULES'!$E$7)+1)*'SLOT_RULES'!$E$7</f>
        <v/>
      </c>
      <c r="I14" s="156">
        <f>'SLOT_RULES'!$D$8+IF($A14&lt;='SLOT_RULES'!$D$8,0,INT(($A14-'SLOT_RULES'!$D$8-1)/'SLOT_RULES'!$E$8)+1)*'SLOT_RULES'!$E$8</f>
        <v/>
      </c>
      <c r="J14" s="156">
        <f>'SLOT_RULES'!$D$9+IF($A14&lt;='SLOT_RULES'!$D$9,0,INT(($A14-'SLOT_RULES'!$D$9-1)/'SLOT_RULES'!$E$9)+1)*'SLOT_RULES'!$E$9</f>
        <v/>
      </c>
      <c r="K14" s="156">
        <f>'SLOT_RULES'!$D$10+IF($A14&lt;='SLOT_RULES'!$D$10,0,INT(($A14-'SLOT_RULES'!$D$10-1)/'SLOT_RULES'!$E$10)+1)*'SLOT_RULES'!$E$10</f>
        <v/>
      </c>
      <c r="L14" s="156">
        <f>'SLOT_RULES'!$D$11+IF($A14&lt;='SLOT_RULES'!$D$11,0,INT(($A14-'SLOT_RULES'!$D$11-1)/'SLOT_RULES'!$E$11)+1)*'SLOT_RULES'!$E$11</f>
        <v/>
      </c>
      <c r="M14" s="156">
        <f>'SLOT_RULES'!$D$12+IF($A14&lt;='SLOT_RULES'!$D$12,0,INT(($A14-'SLOT_RULES'!$D$12-1)/'SLOT_RULES'!$E$12)+1)*'SLOT_RULES'!$E$12</f>
        <v/>
      </c>
      <c r="N14" s="156">
        <f>'SLOT_RULES'!$D$13+IF($A14&lt;='SLOT_RULES'!$D$13,0,INT(($A14-'SLOT_RULES'!$D$13-1)/'SLOT_RULES'!$E$13)+1)*'SLOT_RULES'!$E$13</f>
        <v/>
      </c>
      <c r="O14" s="156">
        <f>'SLOT_RULES'!$D$14+IF($A14&lt;='SLOT_RULES'!$D$14,0,INT(($A14-'SLOT_RULES'!$D$14-1)/'SLOT_RULES'!$E$14)+1)*'SLOT_RULES'!$E$14</f>
        <v/>
      </c>
      <c r="P14" s="156">
        <f>'SLOT_RULES'!$D$15+IF($A14&lt;='SLOT_RULES'!$D$15,0,INT(($A14-'SLOT_RULES'!$D$15-1)/'SLOT_RULES'!$E$15)+1)*'SLOT_RULES'!$E$15</f>
        <v/>
      </c>
      <c r="Q14" s="158">
        <f>MIN(E14:P14)-A14</f>
        <v/>
      </c>
      <c r="R14" s="158">
        <f>MAX(E14:P14)-A14</f>
        <v/>
      </c>
      <c r="S14" s="86">
        <f>IF(AND(COUNT(E14:P14)=10,MIN(E14:P14)&gt;=A14),"PASS","FAIL")</f>
        <v/>
      </c>
      <c r="T14" s="86">
        <f>IF((COUNTIF('LOCAL_REFERENCE'!$D14:$O14,E14)+COUNTIF('LOCAL_REFERENCE'!$D14:$O14,H14)+COUNTIF('LOCAL_REFERENCE'!$D14:$O14,I14)+COUNTIF('LOCAL_REFERENCE'!$D14:$O14,J14)+COUNTIF('LOCAL_REFERENCE'!$D14:$O14,K14)+COUNTIF('LOCAL_REFERENCE'!$D14:$O14,L14)+COUNTIF('LOCAL_REFERENCE'!$D14:$O14,M14)+COUNTIF('LOCAL_REFERENCE'!$D14:$O14,N14)+COUNTIF('LOCAL_REFERENCE'!$D14:$O14,O14)+COUNTIF('LOCAL_REFERENCE'!$D14:$O14,P14))=0,"PASS","FAIL")</f>
        <v/>
      </c>
      <c r="U14" s="86">
        <f>IF((COUNTIF('VPS_REFERENCE'!$D14:$H14,E14)+COUNTIF('VPS_REFERENCE'!$D14:$H14,H14)+COUNTIF('VPS_REFERENCE'!$D14:$H14,I14)+COUNTIF('VPS_REFERENCE'!$D14:$H14,J14)+COUNTIF('VPS_REFERENCE'!$D14:$H14,K14)+COUNTIF('VPS_REFERENCE'!$D14:$H14,L14)+COUNTIF('VPS_REFERENCE'!$D14:$H14,M14)+COUNTIF('VPS_REFERENCE'!$D14:$H14,N14)+COUNTIF('VPS_REFERENCE'!$D14:$H14,O14)+COUNTIF('VPS_REFERENCE'!$D14:$H14,P14))=0,"PASS","FAIL")</f>
        <v/>
      </c>
      <c r="V14" s="86">
        <f>IF(OR(E14=H14,E14=I14,E14=J14,E14=K14,E14=L14,E14=M14,E14=N14,E14=O14,E14=P14,H14=I14,H14=J14,H14=K14,H14=L14,H14=M14,H14=N14,H14=O14,H14=P14,I14=J14,I14=K14,I14=L14,I14=M14,I14=N14,I14=O14,I14=P14,J14=K14,J14=L14,J14=M14,J14=N14,J14=O14,J14=P14,K14=L14,K14=M14,K14=N14,K14=O14,K14=P14,L14=M14,L14=N14,L14=O14,L14=P14,M14=N14,M14=O14,M14=P14,N14=O14,N14=P14,O14=P14),"FAIL","PASS")</f>
        <v/>
      </c>
      <c r="W14" s="87">
        <f>'CRAWL_LOG'!B14</f>
        <v/>
      </c>
      <c r="X14" s="95" t="inlineStr">
        <is>
          <t>10-slot panel: 7 near + 3 far; AN2/AN3 inactive from 03/09</t>
        </is>
      </c>
    </row>
    <row r="15">
      <c r="A15" s="155" t="n">
        <v>46278</v>
      </c>
      <c r="B15" s="83" t="inlineStr">
        <is>
          <t>Chủ Nhật</t>
        </is>
      </c>
      <c r="C15" s="83" t="inlineStr">
        <is>
          <t>Official</t>
        </is>
      </c>
      <c r="D15" s="83" t="inlineStr">
        <is>
          <t>00:30</t>
        </is>
      </c>
      <c r="E15" s="156">
        <f>'SLOT_RULES'!$D$4+IF($A15&lt;='SLOT_RULES'!$D$4,0,INT(($A15-'SLOT_RULES'!$D$4-1)/'SLOT_RULES'!$E$4)+1)*'SLOT_RULES'!$E$4</f>
        <v/>
      </c>
      <c r="F15" s="157" t="n"/>
      <c r="G15" s="157" t="n"/>
      <c r="H15" s="156">
        <f>'SLOT_RULES'!$D$7+IF($A15&lt;='SLOT_RULES'!$D$7,0,INT(($A15-'SLOT_RULES'!$D$7-1)/'SLOT_RULES'!$E$7)+1)*'SLOT_RULES'!$E$7</f>
        <v/>
      </c>
      <c r="I15" s="156">
        <f>'SLOT_RULES'!$D$8+IF($A15&lt;='SLOT_RULES'!$D$8,0,INT(($A15-'SLOT_RULES'!$D$8-1)/'SLOT_RULES'!$E$8)+1)*'SLOT_RULES'!$E$8</f>
        <v/>
      </c>
      <c r="J15" s="156">
        <f>'SLOT_RULES'!$D$9+IF($A15&lt;='SLOT_RULES'!$D$9,0,INT(($A15-'SLOT_RULES'!$D$9-1)/'SLOT_RULES'!$E$9)+1)*'SLOT_RULES'!$E$9</f>
        <v/>
      </c>
      <c r="K15" s="156">
        <f>'SLOT_RULES'!$D$10+IF($A15&lt;='SLOT_RULES'!$D$10,0,INT(($A15-'SLOT_RULES'!$D$10-1)/'SLOT_RULES'!$E$10)+1)*'SLOT_RULES'!$E$10</f>
        <v/>
      </c>
      <c r="L15" s="156">
        <f>'SLOT_RULES'!$D$11+IF($A15&lt;='SLOT_RULES'!$D$11,0,INT(($A15-'SLOT_RULES'!$D$11-1)/'SLOT_RULES'!$E$11)+1)*'SLOT_RULES'!$E$11</f>
        <v/>
      </c>
      <c r="M15" s="156">
        <f>'SLOT_RULES'!$D$12+IF($A15&lt;='SLOT_RULES'!$D$12,0,INT(($A15-'SLOT_RULES'!$D$12-1)/'SLOT_RULES'!$E$12)+1)*'SLOT_RULES'!$E$12</f>
        <v/>
      </c>
      <c r="N15" s="156">
        <f>'SLOT_RULES'!$D$13+IF($A15&lt;='SLOT_RULES'!$D$13,0,INT(($A15-'SLOT_RULES'!$D$13-1)/'SLOT_RULES'!$E$13)+1)*'SLOT_RULES'!$E$13</f>
        <v/>
      </c>
      <c r="O15" s="156">
        <f>'SLOT_RULES'!$D$14+IF($A15&lt;='SLOT_RULES'!$D$14,0,INT(($A15-'SLOT_RULES'!$D$14-1)/'SLOT_RULES'!$E$14)+1)*'SLOT_RULES'!$E$14</f>
        <v/>
      </c>
      <c r="P15" s="156">
        <f>'SLOT_RULES'!$D$15+IF($A15&lt;='SLOT_RULES'!$D$15,0,INT(($A15-'SLOT_RULES'!$D$15-1)/'SLOT_RULES'!$E$15)+1)*'SLOT_RULES'!$E$15</f>
        <v/>
      </c>
      <c r="Q15" s="158">
        <f>MIN(E15:P15)-A15</f>
        <v/>
      </c>
      <c r="R15" s="158">
        <f>MAX(E15:P15)-A15</f>
        <v/>
      </c>
      <c r="S15" s="86">
        <f>IF(AND(COUNT(E15:P15)=10,MIN(E15:P15)&gt;=A15),"PASS","FAIL")</f>
        <v/>
      </c>
      <c r="T15" s="86">
        <f>IF((COUNTIF('LOCAL_REFERENCE'!$D15:$O15,E15)+COUNTIF('LOCAL_REFERENCE'!$D15:$O15,H15)+COUNTIF('LOCAL_REFERENCE'!$D15:$O15,I15)+COUNTIF('LOCAL_REFERENCE'!$D15:$O15,J15)+COUNTIF('LOCAL_REFERENCE'!$D15:$O15,K15)+COUNTIF('LOCAL_REFERENCE'!$D15:$O15,L15)+COUNTIF('LOCAL_REFERENCE'!$D15:$O15,M15)+COUNTIF('LOCAL_REFERENCE'!$D15:$O15,N15)+COUNTIF('LOCAL_REFERENCE'!$D15:$O15,O15)+COUNTIF('LOCAL_REFERENCE'!$D15:$O15,P15))=0,"PASS","FAIL")</f>
        <v/>
      </c>
      <c r="U15" s="86">
        <f>IF((COUNTIF('VPS_REFERENCE'!$D15:$H15,E15)+COUNTIF('VPS_REFERENCE'!$D15:$H15,H15)+COUNTIF('VPS_REFERENCE'!$D15:$H15,I15)+COUNTIF('VPS_REFERENCE'!$D15:$H15,J15)+COUNTIF('VPS_REFERENCE'!$D15:$H15,K15)+COUNTIF('VPS_REFERENCE'!$D15:$H15,L15)+COUNTIF('VPS_REFERENCE'!$D15:$H15,M15)+COUNTIF('VPS_REFERENCE'!$D15:$H15,N15)+COUNTIF('VPS_REFERENCE'!$D15:$H15,O15)+COUNTIF('VPS_REFERENCE'!$D15:$H15,P15))=0,"PASS","FAIL")</f>
        <v/>
      </c>
      <c r="V15" s="86">
        <f>IF(OR(E15=H15,E15=I15,E15=J15,E15=K15,E15=L15,E15=M15,E15=N15,E15=O15,E15=P15,H15=I15,H15=J15,H15=K15,H15=L15,H15=M15,H15=N15,H15=O15,H15=P15,I15=J15,I15=K15,I15=L15,I15=M15,I15=N15,I15=O15,I15=P15,J15=K15,J15=L15,J15=M15,J15=N15,J15=O15,J15=P15,K15=L15,K15=M15,K15=N15,K15=O15,K15=P15,L15=M15,L15=N15,L15=O15,L15=P15,M15=N15,M15=O15,M15=P15,N15=O15,N15=P15,O15=P15),"FAIL","PASS")</f>
        <v/>
      </c>
      <c r="W15" s="87">
        <f>'CRAWL_LOG'!B15</f>
        <v/>
      </c>
      <c r="X15" s="95" t="inlineStr">
        <is>
          <t>10-slot panel: 7 near + 3 far; AN2/AN3 inactive from 03/09</t>
        </is>
      </c>
    </row>
    <row r="16">
      <c r="A16" s="155" t="n">
        <v>46279</v>
      </c>
      <c r="B16" s="83" t="inlineStr">
        <is>
          <t>Thứ Hai</t>
        </is>
      </c>
      <c r="C16" s="83" t="inlineStr">
        <is>
          <t>Official</t>
        </is>
      </c>
      <c r="D16" s="83" t="inlineStr">
        <is>
          <t>00:30</t>
        </is>
      </c>
      <c r="E16" s="156">
        <f>'SLOT_RULES'!$D$4+IF($A16&lt;='SLOT_RULES'!$D$4,0,INT(($A16-'SLOT_RULES'!$D$4-1)/'SLOT_RULES'!$E$4)+1)*'SLOT_RULES'!$E$4</f>
        <v/>
      </c>
      <c r="F16" s="157" t="n"/>
      <c r="G16" s="157" t="n"/>
      <c r="H16" s="156">
        <f>'SLOT_RULES'!$D$7+IF($A16&lt;='SLOT_RULES'!$D$7,0,INT(($A16-'SLOT_RULES'!$D$7-1)/'SLOT_RULES'!$E$7)+1)*'SLOT_RULES'!$E$7</f>
        <v/>
      </c>
      <c r="I16" s="156">
        <f>'SLOT_RULES'!$D$8+IF($A16&lt;='SLOT_RULES'!$D$8,0,INT(($A16-'SLOT_RULES'!$D$8-1)/'SLOT_RULES'!$E$8)+1)*'SLOT_RULES'!$E$8</f>
        <v/>
      </c>
      <c r="J16" s="156">
        <f>'SLOT_RULES'!$D$9+IF($A16&lt;='SLOT_RULES'!$D$9,0,INT(($A16-'SLOT_RULES'!$D$9-1)/'SLOT_RULES'!$E$9)+1)*'SLOT_RULES'!$E$9</f>
        <v/>
      </c>
      <c r="K16" s="156">
        <f>'SLOT_RULES'!$D$10+IF($A16&lt;='SLOT_RULES'!$D$10,0,INT(($A16-'SLOT_RULES'!$D$10-1)/'SLOT_RULES'!$E$10)+1)*'SLOT_RULES'!$E$10</f>
        <v/>
      </c>
      <c r="L16" s="156">
        <f>'SLOT_RULES'!$D$11+IF($A16&lt;='SLOT_RULES'!$D$11,0,INT(($A16-'SLOT_RULES'!$D$11-1)/'SLOT_RULES'!$E$11)+1)*'SLOT_RULES'!$E$11</f>
        <v/>
      </c>
      <c r="M16" s="156">
        <f>'SLOT_RULES'!$D$12+IF($A16&lt;='SLOT_RULES'!$D$12,0,INT(($A16-'SLOT_RULES'!$D$12-1)/'SLOT_RULES'!$E$12)+1)*'SLOT_RULES'!$E$12</f>
        <v/>
      </c>
      <c r="N16" s="156">
        <f>'SLOT_RULES'!$D$13+IF($A16&lt;='SLOT_RULES'!$D$13,0,INT(($A16-'SLOT_RULES'!$D$13-1)/'SLOT_RULES'!$E$13)+1)*'SLOT_RULES'!$E$13</f>
        <v/>
      </c>
      <c r="O16" s="156">
        <f>'SLOT_RULES'!$D$14+IF($A16&lt;='SLOT_RULES'!$D$14,0,INT(($A16-'SLOT_RULES'!$D$14-1)/'SLOT_RULES'!$E$14)+1)*'SLOT_RULES'!$E$14</f>
        <v/>
      </c>
      <c r="P16" s="156">
        <f>'SLOT_RULES'!$D$15+IF($A16&lt;='SLOT_RULES'!$D$15,0,INT(($A16-'SLOT_RULES'!$D$15-1)/'SLOT_RULES'!$E$15)+1)*'SLOT_RULES'!$E$15</f>
        <v/>
      </c>
      <c r="Q16" s="158">
        <f>MIN(E16:P16)-A16</f>
        <v/>
      </c>
      <c r="R16" s="158">
        <f>MAX(E16:P16)-A16</f>
        <v/>
      </c>
      <c r="S16" s="86">
        <f>IF(AND(COUNT(E16:P16)=10,MIN(E16:P16)&gt;=A16),"PASS","FAIL")</f>
        <v/>
      </c>
      <c r="T16" s="86">
        <f>IF((COUNTIF('LOCAL_REFERENCE'!$D16:$O16,E16)+COUNTIF('LOCAL_REFERENCE'!$D16:$O16,H16)+COUNTIF('LOCAL_REFERENCE'!$D16:$O16,I16)+COUNTIF('LOCAL_REFERENCE'!$D16:$O16,J16)+COUNTIF('LOCAL_REFERENCE'!$D16:$O16,K16)+COUNTIF('LOCAL_REFERENCE'!$D16:$O16,L16)+COUNTIF('LOCAL_REFERENCE'!$D16:$O16,M16)+COUNTIF('LOCAL_REFERENCE'!$D16:$O16,N16)+COUNTIF('LOCAL_REFERENCE'!$D16:$O16,O16)+COUNTIF('LOCAL_REFERENCE'!$D16:$O16,P16))=0,"PASS","FAIL")</f>
        <v/>
      </c>
      <c r="U16" s="86">
        <f>IF((COUNTIF('VPS_REFERENCE'!$D16:$H16,E16)+COUNTIF('VPS_REFERENCE'!$D16:$H16,H16)+COUNTIF('VPS_REFERENCE'!$D16:$H16,I16)+COUNTIF('VPS_REFERENCE'!$D16:$H16,J16)+COUNTIF('VPS_REFERENCE'!$D16:$H16,K16)+COUNTIF('VPS_REFERENCE'!$D16:$H16,L16)+COUNTIF('VPS_REFERENCE'!$D16:$H16,M16)+COUNTIF('VPS_REFERENCE'!$D16:$H16,N16)+COUNTIF('VPS_REFERENCE'!$D16:$H16,O16)+COUNTIF('VPS_REFERENCE'!$D16:$H16,P16))=0,"PASS","FAIL")</f>
        <v/>
      </c>
      <c r="V16" s="86">
        <f>IF(OR(E16=H16,E16=I16,E16=J16,E16=K16,E16=L16,E16=M16,E16=N16,E16=O16,E16=P16,H16=I16,H16=J16,H16=K16,H16=L16,H16=M16,H16=N16,H16=O16,H16=P16,I16=J16,I16=K16,I16=L16,I16=M16,I16=N16,I16=O16,I16=P16,J16=K16,J16=L16,J16=M16,J16=N16,J16=O16,J16=P16,K16=L16,K16=M16,K16=N16,K16=O16,K16=P16,L16=M16,L16=N16,L16=O16,L16=P16,M16=N16,M16=O16,M16=P16,N16=O16,N16=P16,O16=P16),"FAIL","PASS")</f>
        <v/>
      </c>
      <c r="W16" s="87">
        <f>'CRAWL_LOG'!B16</f>
        <v/>
      </c>
      <c r="X16" s="95" t="inlineStr">
        <is>
          <t>10-slot panel: 7 near + 3 far; AN2/AN3 inactive from 03/09</t>
        </is>
      </c>
    </row>
    <row r="17">
      <c r="A17" s="155" t="n">
        <v>46280</v>
      </c>
      <c r="B17" s="83" t="inlineStr">
        <is>
          <t>Thứ Ba</t>
        </is>
      </c>
      <c r="C17" s="83" t="inlineStr">
        <is>
          <t>Official</t>
        </is>
      </c>
      <c r="D17" s="83" t="inlineStr">
        <is>
          <t>00:30</t>
        </is>
      </c>
      <c r="E17" s="156">
        <f>'SLOT_RULES'!$D$4+IF($A17&lt;='SLOT_RULES'!$D$4,0,INT(($A17-'SLOT_RULES'!$D$4-1)/'SLOT_RULES'!$E$4)+1)*'SLOT_RULES'!$E$4</f>
        <v/>
      </c>
      <c r="F17" s="157" t="n"/>
      <c r="G17" s="157" t="n"/>
      <c r="H17" s="156">
        <f>'SLOT_RULES'!$D$7+IF($A17&lt;='SLOT_RULES'!$D$7,0,INT(($A17-'SLOT_RULES'!$D$7-1)/'SLOT_RULES'!$E$7)+1)*'SLOT_RULES'!$E$7</f>
        <v/>
      </c>
      <c r="I17" s="156">
        <f>'SLOT_RULES'!$D$8+IF($A17&lt;='SLOT_RULES'!$D$8,0,INT(($A17-'SLOT_RULES'!$D$8-1)/'SLOT_RULES'!$E$8)+1)*'SLOT_RULES'!$E$8</f>
        <v/>
      </c>
      <c r="J17" s="156">
        <f>'SLOT_RULES'!$D$9+IF($A17&lt;='SLOT_RULES'!$D$9,0,INT(($A17-'SLOT_RULES'!$D$9-1)/'SLOT_RULES'!$E$9)+1)*'SLOT_RULES'!$E$9</f>
        <v/>
      </c>
      <c r="K17" s="156">
        <f>'SLOT_RULES'!$D$10+IF($A17&lt;='SLOT_RULES'!$D$10,0,INT(($A17-'SLOT_RULES'!$D$10-1)/'SLOT_RULES'!$E$10)+1)*'SLOT_RULES'!$E$10</f>
        <v/>
      </c>
      <c r="L17" s="156">
        <f>'SLOT_RULES'!$D$11+IF($A17&lt;='SLOT_RULES'!$D$11,0,INT(($A17-'SLOT_RULES'!$D$11-1)/'SLOT_RULES'!$E$11)+1)*'SLOT_RULES'!$E$11</f>
        <v/>
      </c>
      <c r="M17" s="156">
        <f>'SLOT_RULES'!$D$12+IF($A17&lt;='SLOT_RULES'!$D$12,0,INT(($A17-'SLOT_RULES'!$D$12-1)/'SLOT_RULES'!$E$12)+1)*'SLOT_RULES'!$E$12</f>
        <v/>
      </c>
      <c r="N17" s="156">
        <f>'SLOT_RULES'!$D$13+IF($A17&lt;='SLOT_RULES'!$D$13,0,INT(($A17-'SLOT_RULES'!$D$13-1)/'SLOT_RULES'!$E$13)+1)*'SLOT_RULES'!$E$13</f>
        <v/>
      </c>
      <c r="O17" s="156">
        <f>'SLOT_RULES'!$D$14+IF($A17&lt;='SLOT_RULES'!$D$14,0,INT(($A17-'SLOT_RULES'!$D$14-1)/'SLOT_RULES'!$E$14)+1)*'SLOT_RULES'!$E$14</f>
        <v/>
      </c>
      <c r="P17" s="156">
        <f>'SLOT_RULES'!$D$15+IF($A17&lt;='SLOT_RULES'!$D$15,0,INT(($A17-'SLOT_RULES'!$D$15-1)/'SLOT_RULES'!$E$15)+1)*'SLOT_RULES'!$E$15</f>
        <v/>
      </c>
      <c r="Q17" s="158">
        <f>MIN(E17:P17)-A17</f>
        <v/>
      </c>
      <c r="R17" s="158">
        <f>MAX(E17:P17)-A17</f>
        <v/>
      </c>
      <c r="S17" s="86">
        <f>IF(AND(COUNT(E17:P17)=10,MIN(E17:P17)&gt;=A17),"PASS","FAIL")</f>
        <v/>
      </c>
      <c r="T17" s="86">
        <f>IF((COUNTIF('LOCAL_REFERENCE'!$D17:$O17,E17)+COUNTIF('LOCAL_REFERENCE'!$D17:$O17,H17)+COUNTIF('LOCAL_REFERENCE'!$D17:$O17,I17)+COUNTIF('LOCAL_REFERENCE'!$D17:$O17,J17)+COUNTIF('LOCAL_REFERENCE'!$D17:$O17,K17)+COUNTIF('LOCAL_REFERENCE'!$D17:$O17,L17)+COUNTIF('LOCAL_REFERENCE'!$D17:$O17,M17)+COUNTIF('LOCAL_REFERENCE'!$D17:$O17,N17)+COUNTIF('LOCAL_REFERENCE'!$D17:$O17,O17)+COUNTIF('LOCAL_REFERENCE'!$D17:$O17,P17))=0,"PASS","FAIL")</f>
        <v/>
      </c>
      <c r="U17" s="86">
        <f>IF((COUNTIF('VPS_REFERENCE'!$D17:$H17,E17)+COUNTIF('VPS_REFERENCE'!$D17:$H17,H17)+COUNTIF('VPS_REFERENCE'!$D17:$H17,I17)+COUNTIF('VPS_REFERENCE'!$D17:$H17,J17)+COUNTIF('VPS_REFERENCE'!$D17:$H17,K17)+COUNTIF('VPS_REFERENCE'!$D17:$H17,L17)+COUNTIF('VPS_REFERENCE'!$D17:$H17,M17)+COUNTIF('VPS_REFERENCE'!$D17:$H17,N17)+COUNTIF('VPS_REFERENCE'!$D17:$H17,O17)+COUNTIF('VPS_REFERENCE'!$D17:$H17,P17))=0,"PASS","FAIL")</f>
        <v/>
      </c>
      <c r="V17" s="86">
        <f>IF(OR(E17=H17,E17=I17,E17=J17,E17=K17,E17=L17,E17=M17,E17=N17,E17=O17,E17=P17,H17=I17,H17=J17,H17=K17,H17=L17,H17=M17,H17=N17,H17=O17,H17=P17,I17=J17,I17=K17,I17=L17,I17=M17,I17=N17,I17=O17,I17=P17,J17=K17,J17=L17,J17=M17,J17=N17,J17=O17,J17=P17,K17=L17,K17=M17,K17=N17,K17=O17,K17=P17,L17=M17,L17=N17,L17=O17,L17=P17,M17=N17,M17=O17,M17=P17,N17=O17,N17=P17,O17=P17),"FAIL","PASS")</f>
        <v/>
      </c>
      <c r="W17" s="87">
        <f>'CRAWL_LOG'!B17</f>
        <v/>
      </c>
      <c r="X17" s="95" t="inlineStr">
        <is>
          <t>10-slot panel: 7 near + 3 far; AN2/AN3 inactive from 03/09</t>
        </is>
      </c>
    </row>
    <row r="18">
      <c r="A18" s="155" t="n">
        <v>46281</v>
      </c>
      <c r="B18" s="83" t="inlineStr">
        <is>
          <t>Thứ Tư</t>
        </is>
      </c>
      <c r="C18" s="83" t="inlineStr">
        <is>
          <t>Official</t>
        </is>
      </c>
      <c r="D18" s="83" t="inlineStr">
        <is>
          <t>00:30</t>
        </is>
      </c>
      <c r="E18" s="156">
        <f>'SLOT_RULES'!$D$4+IF($A18&lt;='SLOT_RULES'!$D$4,0,INT(($A18-'SLOT_RULES'!$D$4-1)/'SLOT_RULES'!$E$4)+1)*'SLOT_RULES'!$E$4</f>
        <v/>
      </c>
      <c r="F18" s="157" t="n"/>
      <c r="G18" s="157" t="n"/>
      <c r="H18" s="156">
        <f>'SLOT_RULES'!$D$7+IF($A18&lt;='SLOT_RULES'!$D$7,0,INT(($A18-'SLOT_RULES'!$D$7-1)/'SLOT_RULES'!$E$7)+1)*'SLOT_RULES'!$E$7</f>
        <v/>
      </c>
      <c r="I18" s="156">
        <f>'SLOT_RULES'!$D$8+IF($A18&lt;='SLOT_RULES'!$D$8,0,INT(($A18-'SLOT_RULES'!$D$8-1)/'SLOT_RULES'!$E$8)+1)*'SLOT_RULES'!$E$8</f>
        <v/>
      </c>
      <c r="J18" s="156">
        <f>'SLOT_RULES'!$D$9+IF($A18&lt;='SLOT_RULES'!$D$9,0,INT(($A18-'SLOT_RULES'!$D$9-1)/'SLOT_RULES'!$E$9)+1)*'SLOT_RULES'!$E$9</f>
        <v/>
      </c>
      <c r="K18" s="156">
        <f>'SLOT_RULES'!$D$10+IF($A18&lt;='SLOT_RULES'!$D$10,0,INT(($A18-'SLOT_RULES'!$D$10-1)/'SLOT_RULES'!$E$10)+1)*'SLOT_RULES'!$E$10</f>
        <v/>
      </c>
      <c r="L18" s="156">
        <f>'SLOT_RULES'!$D$11+IF($A18&lt;='SLOT_RULES'!$D$11,0,INT(($A18-'SLOT_RULES'!$D$11-1)/'SLOT_RULES'!$E$11)+1)*'SLOT_RULES'!$E$11</f>
        <v/>
      </c>
      <c r="M18" s="156">
        <f>'SLOT_RULES'!$D$12+IF($A18&lt;='SLOT_RULES'!$D$12,0,INT(($A18-'SLOT_RULES'!$D$12-1)/'SLOT_RULES'!$E$12)+1)*'SLOT_RULES'!$E$12</f>
        <v/>
      </c>
      <c r="N18" s="156">
        <f>'SLOT_RULES'!$D$13+IF($A18&lt;='SLOT_RULES'!$D$13,0,INT(($A18-'SLOT_RULES'!$D$13-1)/'SLOT_RULES'!$E$13)+1)*'SLOT_RULES'!$E$13</f>
        <v/>
      </c>
      <c r="O18" s="156">
        <f>'SLOT_RULES'!$D$14+IF($A18&lt;='SLOT_RULES'!$D$14,0,INT(($A18-'SLOT_RULES'!$D$14-1)/'SLOT_RULES'!$E$14)+1)*'SLOT_RULES'!$E$14</f>
        <v/>
      </c>
      <c r="P18" s="156">
        <f>'SLOT_RULES'!$D$15+IF($A18&lt;='SLOT_RULES'!$D$15,0,INT(($A18-'SLOT_RULES'!$D$15-1)/'SLOT_RULES'!$E$15)+1)*'SLOT_RULES'!$E$15</f>
        <v/>
      </c>
      <c r="Q18" s="158">
        <f>MIN(E18:P18)-A18</f>
        <v/>
      </c>
      <c r="R18" s="158">
        <f>MAX(E18:P18)-A18</f>
        <v/>
      </c>
      <c r="S18" s="86">
        <f>IF(AND(COUNT(E18:P18)=10,MIN(E18:P18)&gt;=A18),"PASS","FAIL")</f>
        <v/>
      </c>
      <c r="T18" s="86">
        <f>IF((COUNTIF('LOCAL_REFERENCE'!$D18:$O18,E18)+COUNTIF('LOCAL_REFERENCE'!$D18:$O18,H18)+COUNTIF('LOCAL_REFERENCE'!$D18:$O18,I18)+COUNTIF('LOCAL_REFERENCE'!$D18:$O18,J18)+COUNTIF('LOCAL_REFERENCE'!$D18:$O18,K18)+COUNTIF('LOCAL_REFERENCE'!$D18:$O18,L18)+COUNTIF('LOCAL_REFERENCE'!$D18:$O18,M18)+COUNTIF('LOCAL_REFERENCE'!$D18:$O18,N18)+COUNTIF('LOCAL_REFERENCE'!$D18:$O18,O18)+COUNTIF('LOCAL_REFERENCE'!$D18:$O18,P18))=0,"PASS","FAIL")</f>
        <v/>
      </c>
      <c r="U18" s="86">
        <f>IF((COUNTIF('VPS_REFERENCE'!$D18:$H18,E18)+COUNTIF('VPS_REFERENCE'!$D18:$H18,H18)+COUNTIF('VPS_REFERENCE'!$D18:$H18,I18)+COUNTIF('VPS_REFERENCE'!$D18:$H18,J18)+COUNTIF('VPS_REFERENCE'!$D18:$H18,K18)+COUNTIF('VPS_REFERENCE'!$D18:$H18,L18)+COUNTIF('VPS_REFERENCE'!$D18:$H18,M18)+COUNTIF('VPS_REFERENCE'!$D18:$H18,N18)+COUNTIF('VPS_REFERENCE'!$D18:$H18,O18)+COUNTIF('VPS_REFERENCE'!$D18:$H18,P18))=0,"PASS","FAIL")</f>
        <v/>
      </c>
      <c r="V18" s="86">
        <f>IF(OR(E18=H18,E18=I18,E18=J18,E18=K18,E18=L18,E18=M18,E18=N18,E18=O18,E18=P18,H18=I18,H18=J18,H18=K18,H18=L18,H18=M18,H18=N18,H18=O18,H18=P18,I18=J18,I18=K18,I18=L18,I18=M18,I18=N18,I18=O18,I18=P18,J18=K18,J18=L18,J18=M18,J18=N18,J18=O18,J18=P18,K18=L18,K18=M18,K18=N18,K18=O18,K18=P18,L18=M18,L18=N18,L18=O18,L18=P18,M18=N18,M18=O18,M18=P18,N18=O18,N18=P18,O18=P18),"FAIL","PASS")</f>
        <v/>
      </c>
      <c r="W18" s="87">
        <f>'CRAWL_LOG'!B18</f>
        <v/>
      </c>
      <c r="X18" s="95" t="inlineStr">
        <is>
          <t>10-slot panel: 7 near + 3 far; AN2/AN3 inactive from 03/09</t>
        </is>
      </c>
    </row>
    <row r="19">
      <c r="A19" s="155" t="n">
        <v>46282</v>
      </c>
      <c r="B19" s="83" t="inlineStr">
        <is>
          <t>Thứ Năm</t>
        </is>
      </c>
      <c r="C19" s="83" t="inlineStr">
        <is>
          <t>Official</t>
        </is>
      </c>
      <c r="D19" s="83" t="inlineStr">
        <is>
          <t>00:30</t>
        </is>
      </c>
      <c r="E19" s="156">
        <f>'SLOT_RULES'!$D$4+IF($A19&lt;='SLOT_RULES'!$D$4,0,INT(($A19-'SLOT_RULES'!$D$4-1)/'SLOT_RULES'!$E$4)+1)*'SLOT_RULES'!$E$4</f>
        <v/>
      </c>
      <c r="F19" s="157" t="n"/>
      <c r="G19" s="157" t="n"/>
      <c r="H19" s="156">
        <f>'SLOT_RULES'!$D$7+IF($A19&lt;='SLOT_RULES'!$D$7,0,INT(($A19-'SLOT_RULES'!$D$7-1)/'SLOT_RULES'!$E$7)+1)*'SLOT_RULES'!$E$7</f>
        <v/>
      </c>
      <c r="I19" s="156">
        <f>'SLOT_RULES'!$D$8+IF($A19&lt;='SLOT_RULES'!$D$8,0,INT(($A19-'SLOT_RULES'!$D$8-1)/'SLOT_RULES'!$E$8)+1)*'SLOT_RULES'!$E$8</f>
        <v/>
      </c>
      <c r="J19" s="156">
        <f>'SLOT_RULES'!$D$9+IF($A19&lt;='SLOT_RULES'!$D$9,0,INT(($A19-'SLOT_RULES'!$D$9-1)/'SLOT_RULES'!$E$9)+1)*'SLOT_RULES'!$E$9</f>
        <v/>
      </c>
      <c r="K19" s="156">
        <f>'SLOT_RULES'!$D$10+IF($A19&lt;='SLOT_RULES'!$D$10,0,INT(($A19-'SLOT_RULES'!$D$10-1)/'SLOT_RULES'!$E$10)+1)*'SLOT_RULES'!$E$10</f>
        <v/>
      </c>
      <c r="L19" s="156">
        <f>'SLOT_RULES'!$D$11+IF($A19&lt;='SLOT_RULES'!$D$11,0,INT(($A19-'SLOT_RULES'!$D$11-1)/'SLOT_RULES'!$E$11)+1)*'SLOT_RULES'!$E$11</f>
        <v/>
      </c>
      <c r="M19" s="156">
        <f>'SLOT_RULES'!$D$12+IF($A19&lt;='SLOT_RULES'!$D$12,0,INT(($A19-'SLOT_RULES'!$D$12-1)/'SLOT_RULES'!$E$12)+1)*'SLOT_RULES'!$E$12</f>
        <v/>
      </c>
      <c r="N19" s="156">
        <f>'SLOT_RULES'!$D$13+IF($A19&lt;='SLOT_RULES'!$D$13,0,INT(($A19-'SLOT_RULES'!$D$13-1)/'SLOT_RULES'!$E$13)+1)*'SLOT_RULES'!$E$13</f>
        <v/>
      </c>
      <c r="O19" s="156">
        <f>'SLOT_RULES'!$D$14+IF($A19&lt;='SLOT_RULES'!$D$14,0,INT(($A19-'SLOT_RULES'!$D$14-1)/'SLOT_RULES'!$E$14)+1)*'SLOT_RULES'!$E$14</f>
        <v/>
      </c>
      <c r="P19" s="156">
        <f>'SLOT_RULES'!$D$15+IF($A19&lt;='SLOT_RULES'!$D$15,0,INT(($A19-'SLOT_RULES'!$D$15-1)/'SLOT_RULES'!$E$15)+1)*'SLOT_RULES'!$E$15</f>
        <v/>
      </c>
      <c r="Q19" s="158">
        <f>MIN(E19:P19)-A19</f>
        <v/>
      </c>
      <c r="R19" s="158">
        <f>MAX(E19:P19)-A19</f>
        <v/>
      </c>
      <c r="S19" s="86">
        <f>IF(AND(COUNT(E19:P19)=10,MIN(E19:P19)&gt;=A19),"PASS","FAIL")</f>
        <v/>
      </c>
      <c r="T19" s="86">
        <f>IF((COUNTIF('LOCAL_REFERENCE'!$D19:$O19,E19)+COUNTIF('LOCAL_REFERENCE'!$D19:$O19,H19)+COUNTIF('LOCAL_REFERENCE'!$D19:$O19,I19)+COUNTIF('LOCAL_REFERENCE'!$D19:$O19,J19)+COUNTIF('LOCAL_REFERENCE'!$D19:$O19,K19)+COUNTIF('LOCAL_REFERENCE'!$D19:$O19,L19)+COUNTIF('LOCAL_REFERENCE'!$D19:$O19,M19)+COUNTIF('LOCAL_REFERENCE'!$D19:$O19,N19)+COUNTIF('LOCAL_REFERENCE'!$D19:$O19,O19)+COUNTIF('LOCAL_REFERENCE'!$D19:$O19,P19))=0,"PASS","FAIL")</f>
        <v/>
      </c>
      <c r="U19" s="86">
        <f>IF((COUNTIF('VPS_REFERENCE'!$D19:$H19,E19)+COUNTIF('VPS_REFERENCE'!$D19:$H19,H19)+COUNTIF('VPS_REFERENCE'!$D19:$H19,I19)+COUNTIF('VPS_REFERENCE'!$D19:$H19,J19)+COUNTIF('VPS_REFERENCE'!$D19:$H19,K19)+COUNTIF('VPS_REFERENCE'!$D19:$H19,L19)+COUNTIF('VPS_REFERENCE'!$D19:$H19,M19)+COUNTIF('VPS_REFERENCE'!$D19:$H19,N19)+COUNTIF('VPS_REFERENCE'!$D19:$H19,O19)+COUNTIF('VPS_REFERENCE'!$D19:$H19,P19))=0,"PASS","FAIL")</f>
        <v/>
      </c>
      <c r="V19" s="86">
        <f>IF(OR(E19=H19,E19=I19,E19=J19,E19=K19,E19=L19,E19=M19,E19=N19,E19=O19,E19=P19,H19=I19,H19=J19,H19=K19,H19=L19,H19=M19,H19=N19,H19=O19,H19=P19,I19=J19,I19=K19,I19=L19,I19=M19,I19=N19,I19=O19,I19=P19,J19=K19,J19=L19,J19=M19,J19=N19,J19=O19,J19=P19,K19=L19,K19=M19,K19=N19,K19=O19,K19=P19,L19=M19,L19=N19,L19=O19,L19=P19,M19=N19,M19=O19,M19=P19,N19=O19,N19=P19,O19=P19),"FAIL","PASS")</f>
        <v/>
      </c>
      <c r="W19" s="87">
        <f>'CRAWL_LOG'!B19</f>
        <v/>
      </c>
      <c r="X19" s="95" t="inlineStr">
        <is>
          <t>10-slot panel: 7 near + 3 far; AN2/AN3 inactive from 03/09</t>
        </is>
      </c>
    </row>
    <row r="20">
      <c r="A20" s="155" t="n">
        <v>46283</v>
      </c>
      <c r="B20" s="83" t="inlineStr">
        <is>
          <t>Thứ Sáu</t>
        </is>
      </c>
      <c r="C20" s="83" t="inlineStr">
        <is>
          <t>Official</t>
        </is>
      </c>
      <c r="D20" s="83" t="inlineStr">
        <is>
          <t>00:30</t>
        </is>
      </c>
      <c r="E20" s="156">
        <f>'SLOT_RULES'!$D$4+IF($A20&lt;='SLOT_RULES'!$D$4,0,INT(($A20-'SLOT_RULES'!$D$4-1)/'SLOT_RULES'!$E$4)+1)*'SLOT_RULES'!$E$4</f>
        <v/>
      </c>
      <c r="F20" s="157" t="n"/>
      <c r="G20" s="157" t="n"/>
      <c r="H20" s="156">
        <f>'SLOT_RULES'!$D$7+IF($A20&lt;='SLOT_RULES'!$D$7,0,INT(($A20-'SLOT_RULES'!$D$7-1)/'SLOT_RULES'!$E$7)+1)*'SLOT_RULES'!$E$7</f>
        <v/>
      </c>
      <c r="I20" s="156">
        <f>'SLOT_RULES'!$D$8+IF($A20&lt;='SLOT_RULES'!$D$8,0,INT(($A20-'SLOT_RULES'!$D$8-1)/'SLOT_RULES'!$E$8)+1)*'SLOT_RULES'!$E$8</f>
        <v/>
      </c>
      <c r="J20" s="156">
        <f>'SLOT_RULES'!$D$9+IF($A20&lt;='SLOT_RULES'!$D$9,0,INT(($A20-'SLOT_RULES'!$D$9-1)/'SLOT_RULES'!$E$9)+1)*'SLOT_RULES'!$E$9</f>
        <v/>
      </c>
      <c r="K20" s="156">
        <f>'SLOT_RULES'!$D$10+IF($A20&lt;='SLOT_RULES'!$D$10,0,INT(($A20-'SLOT_RULES'!$D$10-1)/'SLOT_RULES'!$E$10)+1)*'SLOT_RULES'!$E$10</f>
        <v/>
      </c>
      <c r="L20" s="156">
        <f>'SLOT_RULES'!$D$11+IF($A20&lt;='SLOT_RULES'!$D$11,0,INT(($A20-'SLOT_RULES'!$D$11-1)/'SLOT_RULES'!$E$11)+1)*'SLOT_RULES'!$E$11</f>
        <v/>
      </c>
      <c r="M20" s="156">
        <f>'SLOT_RULES'!$D$12+IF($A20&lt;='SLOT_RULES'!$D$12,0,INT(($A20-'SLOT_RULES'!$D$12-1)/'SLOT_RULES'!$E$12)+1)*'SLOT_RULES'!$E$12</f>
        <v/>
      </c>
      <c r="N20" s="156">
        <f>'SLOT_RULES'!$D$13+IF($A20&lt;='SLOT_RULES'!$D$13,0,INT(($A20-'SLOT_RULES'!$D$13-1)/'SLOT_RULES'!$E$13)+1)*'SLOT_RULES'!$E$13</f>
        <v/>
      </c>
      <c r="O20" s="156">
        <f>'SLOT_RULES'!$D$14+IF($A20&lt;='SLOT_RULES'!$D$14,0,INT(($A20-'SLOT_RULES'!$D$14-1)/'SLOT_RULES'!$E$14)+1)*'SLOT_RULES'!$E$14</f>
        <v/>
      </c>
      <c r="P20" s="156">
        <f>'SLOT_RULES'!$D$15+IF($A20&lt;='SLOT_RULES'!$D$15,0,INT(($A20-'SLOT_RULES'!$D$15-1)/'SLOT_RULES'!$E$15)+1)*'SLOT_RULES'!$E$15</f>
        <v/>
      </c>
      <c r="Q20" s="158">
        <f>MIN(E20:P20)-A20</f>
        <v/>
      </c>
      <c r="R20" s="158">
        <f>MAX(E20:P20)-A20</f>
        <v/>
      </c>
      <c r="S20" s="86">
        <f>IF(AND(COUNT(E20:P20)=10,MIN(E20:P20)&gt;=A20),"PASS","FAIL")</f>
        <v/>
      </c>
      <c r="T20" s="86">
        <f>IF((COUNTIF('LOCAL_REFERENCE'!$D20:$O20,E20)+COUNTIF('LOCAL_REFERENCE'!$D20:$O20,H20)+COUNTIF('LOCAL_REFERENCE'!$D20:$O20,I20)+COUNTIF('LOCAL_REFERENCE'!$D20:$O20,J20)+COUNTIF('LOCAL_REFERENCE'!$D20:$O20,K20)+COUNTIF('LOCAL_REFERENCE'!$D20:$O20,L20)+COUNTIF('LOCAL_REFERENCE'!$D20:$O20,M20)+COUNTIF('LOCAL_REFERENCE'!$D20:$O20,N20)+COUNTIF('LOCAL_REFERENCE'!$D20:$O20,O20)+COUNTIF('LOCAL_REFERENCE'!$D20:$O20,P20))=0,"PASS","FAIL")</f>
        <v/>
      </c>
      <c r="U20" s="86">
        <f>IF((COUNTIF('VPS_REFERENCE'!$D20:$H20,E20)+COUNTIF('VPS_REFERENCE'!$D20:$H20,H20)+COUNTIF('VPS_REFERENCE'!$D20:$H20,I20)+COUNTIF('VPS_REFERENCE'!$D20:$H20,J20)+COUNTIF('VPS_REFERENCE'!$D20:$H20,K20)+COUNTIF('VPS_REFERENCE'!$D20:$H20,L20)+COUNTIF('VPS_REFERENCE'!$D20:$H20,M20)+COUNTIF('VPS_REFERENCE'!$D20:$H20,N20)+COUNTIF('VPS_REFERENCE'!$D20:$H20,O20)+COUNTIF('VPS_REFERENCE'!$D20:$H20,P20))=0,"PASS","FAIL")</f>
        <v/>
      </c>
      <c r="V20" s="86">
        <f>IF(OR(E20=H20,E20=I20,E20=J20,E20=K20,E20=L20,E20=M20,E20=N20,E20=O20,E20=P20,H20=I20,H20=J20,H20=K20,H20=L20,H20=M20,H20=N20,H20=O20,H20=P20,I20=J20,I20=K20,I20=L20,I20=M20,I20=N20,I20=O20,I20=P20,J20=K20,J20=L20,J20=M20,J20=N20,J20=O20,J20=P20,K20=L20,K20=M20,K20=N20,K20=O20,K20=P20,L20=M20,L20=N20,L20=O20,L20=P20,M20=N20,M20=O20,M20=P20,N20=O20,N20=P20,O20=P20),"FAIL","PASS")</f>
        <v/>
      </c>
      <c r="W20" s="87">
        <f>'CRAWL_LOG'!B20</f>
        <v/>
      </c>
      <c r="X20" s="95" t="inlineStr">
        <is>
          <t>10-slot panel: 7 near + 3 far; AN2/AN3 inactive from 03/09</t>
        </is>
      </c>
    </row>
    <row r="21">
      <c r="A21" s="155" t="n">
        <v>46284</v>
      </c>
      <c r="B21" s="83" t="inlineStr">
        <is>
          <t>Thứ Bảy</t>
        </is>
      </c>
      <c r="C21" s="83" t="inlineStr">
        <is>
          <t>Official</t>
        </is>
      </c>
      <c r="D21" s="83" t="inlineStr">
        <is>
          <t>00:30</t>
        </is>
      </c>
      <c r="E21" s="156">
        <f>'SLOT_RULES'!$D$4+IF($A21&lt;='SLOT_RULES'!$D$4,0,INT(($A21-'SLOT_RULES'!$D$4-1)/'SLOT_RULES'!$E$4)+1)*'SLOT_RULES'!$E$4</f>
        <v/>
      </c>
      <c r="F21" s="157" t="n"/>
      <c r="G21" s="157" t="n"/>
      <c r="H21" s="156">
        <f>'SLOT_RULES'!$D$7+IF($A21&lt;='SLOT_RULES'!$D$7,0,INT(($A21-'SLOT_RULES'!$D$7-1)/'SLOT_RULES'!$E$7)+1)*'SLOT_RULES'!$E$7</f>
        <v/>
      </c>
      <c r="I21" s="156">
        <f>'SLOT_RULES'!$D$8+IF($A21&lt;='SLOT_RULES'!$D$8,0,INT(($A21-'SLOT_RULES'!$D$8-1)/'SLOT_RULES'!$E$8)+1)*'SLOT_RULES'!$E$8</f>
        <v/>
      </c>
      <c r="J21" s="156">
        <f>'SLOT_RULES'!$D$9+IF($A21&lt;='SLOT_RULES'!$D$9,0,INT(($A21-'SLOT_RULES'!$D$9-1)/'SLOT_RULES'!$E$9)+1)*'SLOT_RULES'!$E$9</f>
        <v/>
      </c>
      <c r="K21" s="156">
        <f>'SLOT_RULES'!$D$10+IF($A21&lt;='SLOT_RULES'!$D$10,0,INT(($A21-'SLOT_RULES'!$D$10-1)/'SLOT_RULES'!$E$10)+1)*'SLOT_RULES'!$E$10</f>
        <v/>
      </c>
      <c r="L21" s="156">
        <f>'SLOT_RULES'!$D$11+IF($A21&lt;='SLOT_RULES'!$D$11,0,INT(($A21-'SLOT_RULES'!$D$11-1)/'SLOT_RULES'!$E$11)+1)*'SLOT_RULES'!$E$11</f>
        <v/>
      </c>
      <c r="M21" s="156">
        <f>'SLOT_RULES'!$D$12+IF($A21&lt;='SLOT_RULES'!$D$12,0,INT(($A21-'SLOT_RULES'!$D$12-1)/'SLOT_RULES'!$E$12)+1)*'SLOT_RULES'!$E$12</f>
        <v/>
      </c>
      <c r="N21" s="156">
        <f>'SLOT_RULES'!$D$13+IF($A21&lt;='SLOT_RULES'!$D$13,0,INT(($A21-'SLOT_RULES'!$D$13-1)/'SLOT_RULES'!$E$13)+1)*'SLOT_RULES'!$E$13</f>
        <v/>
      </c>
      <c r="O21" s="156">
        <f>'SLOT_RULES'!$D$14+IF($A21&lt;='SLOT_RULES'!$D$14,0,INT(($A21-'SLOT_RULES'!$D$14-1)/'SLOT_RULES'!$E$14)+1)*'SLOT_RULES'!$E$14</f>
        <v/>
      </c>
      <c r="P21" s="156">
        <f>'SLOT_RULES'!$D$15+IF($A21&lt;='SLOT_RULES'!$D$15,0,INT(($A21-'SLOT_RULES'!$D$15-1)/'SLOT_RULES'!$E$15)+1)*'SLOT_RULES'!$E$15</f>
        <v/>
      </c>
      <c r="Q21" s="158">
        <f>MIN(E21:P21)-A21</f>
        <v/>
      </c>
      <c r="R21" s="158">
        <f>MAX(E21:P21)-A21</f>
        <v/>
      </c>
      <c r="S21" s="86">
        <f>IF(AND(COUNT(E21:P21)=10,MIN(E21:P21)&gt;=A21),"PASS","FAIL")</f>
        <v/>
      </c>
      <c r="T21" s="86">
        <f>IF((COUNTIF('LOCAL_REFERENCE'!$D21:$O21,E21)+COUNTIF('LOCAL_REFERENCE'!$D21:$O21,H21)+COUNTIF('LOCAL_REFERENCE'!$D21:$O21,I21)+COUNTIF('LOCAL_REFERENCE'!$D21:$O21,J21)+COUNTIF('LOCAL_REFERENCE'!$D21:$O21,K21)+COUNTIF('LOCAL_REFERENCE'!$D21:$O21,L21)+COUNTIF('LOCAL_REFERENCE'!$D21:$O21,M21)+COUNTIF('LOCAL_REFERENCE'!$D21:$O21,N21)+COUNTIF('LOCAL_REFERENCE'!$D21:$O21,O21)+COUNTIF('LOCAL_REFERENCE'!$D21:$O21,P21))=0,"PASS","FAIL")</f>
        <v/>
      </c>
      <c r="U21" s="86">
        <f>IF((COUNTIF('VPS_REFERENCE'!$D21:$H21,E21)+COUNTIF('VPS_REFERENCE'!$D21:$H21,H21)+COUNTIF('VPS_REFERENCE'!$D21:$H21,I21)+COUNTIF('VPS_REFERENCE'!$D21:$H21,J21)+COUNTIF('VPS_REFERENCE'!$D21:$H21,K21)+COUNTIF('VPS_REFERENCE'!$D21:$H21,L21)+COUNTIF('VPS_REFERENCE'!$D21:$H21,M21)+COUNTIF('VPS_REFERENCE'!$D21:$H21,N21)+COUNTIF('VPS_REFERENCE'!$D21:$H21,O21)+COUNTIF('VPS_REFERENCE'!$D21:$H21,P21))=0,"PASS","FAIL")</f>
        <v/>
      </c>
      <c r="V21" s="86">
        <f>IF(OR(E21=H21,E21=I21,E21=J21,E21=K21,E21=L21,E21=M21,E21=N21,E21=O21,E21=P21,H21=I21,H21=J21,H21=K21,H21=L21,H21=M21,H21=N21,H21=O21,H21=P21,I21=J21,I21=K21,I21=L21,I21=M21,I21=N21,I21=O21,I21=P21,J21=K21,J21=L21,J21=M21,J21=N21,J21=O21,J21=P21,K21=L21,K21=M21,K21=N21,K21=O21,K21=P21,L21=M21,L21=N21,L21=O21,L21=P21,M21=N21,M21=O21,M21=P21,N21=O21,N21=P21,O21=P21),"FAIL","PASS")</f>
        <v/>
      </c>
      <c r="W21" s="87">
        <f>'CRAWL_LOG'!B21</f>
        <v/>
      </c>
      <c r="X21" s="95" t="inlineStr">
        <is>
          <t>10-slot panel: 7 near + 3 far; AN2/AN3 inactive from 03/09</t>
        </is>
      </c>
    </row>
    <row r="22">
      <c r="A22" s="155" t="n">
        <v>46285</v>
      </c>
      <c r="B22" s="83" t="inlineStr">
        <is>
          <t>Chủ Nhật</t>
        </is>
      </c>
      <c r="C22" s="83" t="inlineStr">
        <is>
          <t>Official</t>
        </is>
      </c>
      <c r="D22" s="83" t="inlineStr">
        <is>
          <t>00:30</t>
        </is>
      </c>
      <c r="E22" s="156">
        <f>'SLOT_RULES'!$D$4+IF($A22&lt;='SLOT_RULES'!$D$4,0,INT(($A22-'SLOT_RULES'!$D$4-1)/'SLOT_RULES'!$E$4)+1)*'SLOT_RULES'!$E$4</f>
        <v/>
      </c>
      <c r="F22" s="157" t="n"/>
      <c r="G22" s="157" t="n"/>
      <c r="H22" s="156">
        <f>'SLOT_RULES'!$D$7+IF($A22&lt;='SLOT_RULES'!$D$7,0,INT(($A22-'SLOT_RULES'!$D$7-1)/'SLOT_RULES'!$E$7)+1)*'SLOT_RULES'!$E$7</f>
        <v/>
      </c>
      <c r="I22" s="156">
        <f>'SLOT_RULES'!$D$8+IF($A22&lt;='SLOT_RULES'!$D$8,0,INT(($A22-'SLOT_RULES'!$D$8-1)/'SLOT_RULES'!$E$8)+1)*'SLOT_RULES'!$E$8</f>
        <v/>
      </c>
      <c r="J22" s="156">
        <f>'SLOT_RULES'!$D$9+IF($A22&lt;='SLOT_RULES'!$D$9,0,INT(($A22-'SLOT_RULES'!$D$9-1)/'SLOT_RULES'!$E$9)+1)*'SLOT_RULES'!$E$9</f>
        <v/>
      </c>
      <c r="K22" s="156">
        <f>'SLOT_RULES'!$D$10+IF($A22&lt;='SLOT_RULES'!$D$10,0,INT(($A22-'SLOT_RULES'!$D$10-1)/'SLOT_RULES'!$E$10)+1)*'SLOT_RULES'!$E$10</f>
        <v/>
      </c>
      <c r="L22" s="156">
        <f>'SLOT_RULES'!$D$11+IF($A22&lt;='SLOT_RULES'!$D$11,0,INT(($A22-'SLOT_RULES'!$D$11-1)/'SLOT_RULES'!$E$11)+1)*'SLOT_RULES'!$E$11</f>
        <v/>
      </c>
      <c r="M22" s="156">
        <f>'SLOT_RULES'!$D$12+IF($A22&lt;='SLOT_RULES'!$D$12,0,INT(($A22-'SLOT_RULES'!$D$12-1)/'SLOT_RULES'!$E$12)+1)*'SLOT_RULES'!$E$12</f>
        <v/>
      </c>
      <c r="N22" s="156">
        <f>'SLOT_RULES'!$D$13+IF($A22&lt;='SLOT_RULES'!$D$13,0,INT(($A22-'SLOT_RULES'!$D$13-1)/'SLOT_RULES'!$E$13)+1)*'SLOT_RULES'!$E$13</f>
        <v/>
      </c>
      <c r="O22" s="156">
        <f>'SLOT_RULES'!$D$14+IF($A22&lt;='SLOT_RULES'!$D$14,0,INT(($A22-'SLOT_RULES'!$D$14-1)/'SLOT_RULES'!$E$14)+1)*'SLOT_RULES'!$E$14</f>
        <v/>
      </c>
      <c r="P22" s="156">
        <f>'SLOT_RULES'!$D$15+IF($A22&lt;='SLOT_RULES'!$D$15,0,INT(($A22-'SLOT_RULES'!$D$15-1)/'SLOT_RULES'!$E$15)+1)*'SLOT_RULES'!$E$15</f>
        <v/>
      </c>
      <c r="Q22" s="158">
        <f>MIN(E22:P22)-A22</f>
        <v/>
      </c>
      <c r="R22" s="158">
        <f>MAX(E22:P22)-A22</f>
        <v/>
      </c>
      <c r="S22" s="86">
        <f>IF(AND(COUNT(E22:P22)=10,MIN(E22:P22)&gt;=A22),"PASS","FAIL")</f>
        <v/>
      </c>
      <c r="T22" s="86">
        <f>IF((COUNTIF('LOCAL_REFERENCE'!$D22:$O22,E22)+COUNTIF('LOCAL_REFERENCE'!$D22:$O22,H22)+COUNTIF('LOCAL_REFERENCE'!$D22:$O22,I22)+COUNTIF('LOCAL_REFERENCE'!$D22:$O22,J22)+COUNTIF('LOCAL_REFERENCE'!$D22:$O22,K22)+COUNTIF('LOCAL_REFERENCE'!$D22:$O22,L22)+COUNTIF('LOCAL_REFERENCE'!$D22:$O22,M22)+COUNTIF('LOCAL_REFERENCE'!$D22:$O22,N22)+COUNTIF('LOCAL_REFERENCE'!$D22:$O22,O22)+COUNTIF('LOCAL_REFERENCE'!$D22:$O22,P22))=0,"PASS","FAIL")</f>
        <v/>
      </c>
      <c r="U22" s="86">
        <f>IF((COUNTIF('VPS_REFERENCE'!$D22:$H22,E22)+COUNTIF('VPS_REFERENCE'!$D22:$H22,H22)+COUNTIF('VPS_REFERENCE'!$D22:$H22,I22)+COUNTIF('VPS_REFERENCE'!$D22:$H22,J22)+COUNTIF('VPS_REFERENCE'!$D22:$H22,K22)+COUNTIF('VPS_REFERENCE'!$D22:$H22,L22)+COUNTIF('VPS_REFERENCE'!$D22:$H22,M22)+COUNTIF('VPS_REFERENCE'!$D22:$H22,N22)+COUNTIF('VPS_REFERENCE'!$D22:$H22,O22)+COUNTIF('VPS_REFERENCE'!$D22:$H22,P22))=0,"PASS","FAIL")</f>
        <v/>
      </c>
      <c r="V22" s="86">
        <f>IF(OR(E22=H22,E22=I22,E22=J22,E22=K22,E22=L22,E22=M22,E22=N22,E22=O22,E22=P22,H22=I22,H22=J22,H22=K22,H22=L22,H22=M22,H22=N22,H22=O22,H22=P22,I22=J22,I22=K22,I22=L22,I22=M22,I22=N22,I22=O22,I22=P22,J22=K22,J22=L22,J22=M22,J22=N22,J22=O22,J22=P22,K22=L22,K22=M22,K22=N22,K22=O22,K22=P22,L22=M22,L22=N22,L22=O22,L22=P22,M22=N22,M22=O22,M22=P22,N22=O22,N22=P22,O22=P22),"FAIL","PASS")</f>
        <v/>
      </c>
      <c r="W22" s="87">
        <f>'CRAWL_LOG'!B22</f>
        <v/>
      </c>
      <c r="X22" s="95" t="inlineStr">
        <is>
          <t>10-slot panel: 7 near + 3 far; AN2/AN3 inactive from 03/09</t>
        </is>
      </c>
    </row>
    <row r="23">
      <c r="A23" s="155" t="n">
        <v>46286</v>
      </c>
      <c r="B23" s="83" t="inlineStr">
        <is>
          <t>Thứ Hai</t>
        </is>
      </c>
      <c r="C23" s="83" t="inlineStr">
        <is>
          <t>Official</t>
        </is>
      </c>
      <c r="D23" s="83" t="inlineStr">
        <is>
          <t>00:30</t>
        </is>
      </c>
      <c r="E23" s="156">
        <f>'SLOT_RULES'!$D$4+IF($A23&lt;='SLOT_RULES'!$D$4,0,INT(($A23-'SLOT_RULES'!$D$4-1)/'SLOT_RULES'!$E$4)+1)*'SLOT_RULES'!$E$4</f>
        <v/>
      </c>
      <c r="F23" s="157" t="n"/>
      <c r="G23" s="157" t="n"/>
      <c r="H23" s="156">
        <f>'SLOT_RULES'!$D$7+IF($A23&lt;='SLOT_RULES'!$D$7,0,INT(($A23-'SLOT_RULES'!$D$7-1)/'SLOT_RULES'!$E$7)+1)*'SLOT_RULES'!$E$7</f>
        <v/>
      </c>
      <c r="I23" s="156">
        <f>'SLOT_RULES'!$D$8+IF($A23&lt;='SLOT_RULES'!$D$8,0,INT(($A23-'SLOT_RULES'!$D$8-1)/'SLOT_RULES'!$E$8)+1)*'SLOT_RULES'!$E$8</f>
        <v/>
      </c>
      <c r="J23" s="156">
        <f>'SLOT_RULES'!$D$9+IF($A23&lt;='SLOT_RULES'!$D$9,0,INT(($A23-'SLOT_RULES'!$D$9-1)/'SLOT_RULES'!$E$9)+1)*'SLOT_RULES'!$E$9</f>
        <v/>
      </c>
      <c r="K23" s="156">
        <f>'SLOT_RULES'!$D$10+IF($A23&lt;='SLOT_RULES'!$D$10,0,INT(($A23-'SLOT_RULES'!$D$10-1)/'SLOT_RULES'!$E$10)+1)*'SLOT_RULES'!$E$10</f>
        <v/>
      </c>
      <c r="L23" s="156">
        <f>'SLOT_RULES'!$D$11+IF($A23&lt;='SLOT_RULES'!$D$11,0,INT(($A23-'SLOT_RULES'!$D$11-1)/'SLOT_RULES'!$E$11)+1)*'SLOT_RULES'!$E$11</f>
        <v/>
      </c>
      <c r="M23" s="156">
        <f>'SLOT_RULES'!$D$12+IF($A23&lt;='SLOT_RULES'!$D$12,0,INT(($A23-'SLOT_RULES'!$D$12-1)/'SLOT_RULES'!$E$12)+1)*'SLOT_RULES'!$E$12</f>
        <v/>
      </c>
      <c r="N23" s="156">
        <f>'SLOT_RULES'!$D$13+IF($A23&lt;='SLOT_RULES'!$D$13,0,INT(($A23-'SLOT_RULES'!$D$13-1)/'SLOT_RULES'!$E$13)+1)*'SLOT_RULES'!$E$13</f>
        <v/>
      </c>
      <c r="O23" s="156">
        <f>'SLOT_RULES'!$D$14+IF($A23&lt;='SLOT_RULES'!$D$14,0,INT(($A23-'SLOT_RULES'!$D$14-1)/'SLOT_RULES'!$E$14)+1)*'SLOT_RULES'!$E$14</f>
        <v/>
      </c>
      <c r="P23" s="156">
        <f>'SLOT_RULES'!$D$15+IF($A23&lt;='SLOT_RULES'!$D$15,0,INT(($A23-'SLOT_RULES'!$D$15-1)/'SLOT_RULES'!$E$15)+1)*'SLOT_RULES'!$E$15</f>
        <v/>
      </c>
      <c r="Q23" s="158">
        <f>MIN(E23:P23)-A23</f>
        <v/>
      </c>
      <c r="R23" s="158">
        <f>MAX(E23:P23)-A23</f>
        <v/>
      </c>
      <c r="S23" s="86">
        <f>IF(AND(COUNT(E23:P23)=10,MIN(E23:P23)&gt;=A23),"PASS","FAIL")</f>
        <v/>
      </c>
      <c r="T23" s="86">
        <f>IF((COUNTIF('LOCAL_REFERENCE'!$D23:$O23,E23)+COUNTIF('LOCAL_REFERENCE'!$D23:$O23,H23)+COUNTIF('LOCAL_REFERENCE'!$D23:$O23,I23)+COUNTIF('LOCAL_REFERENCE'!$D23:$O23,J23)+COUNTIF('LOCAL_REFERENCE'!$D23:$O23,K23)+COUNTIF('LOCAL_REFERENCE'!$D23:$O23,L23)+COUNTIF('LOCAL_REFERENCE'!$D23:$O23,M23)+COUNTIF('LOCAL_REFERENCE'!$D23:$O23,N23)+COUNTIF('LOCAL_REFERENCE'!$D23:$O23,O23)+COUNTIF('LOCAL_REFERENCE'!$D23:$O23,P23))=0,"PASS","FAIL")</f>
        <v/>
      </c>
      <c r="U23" s="86">
        <f>IF((COUNTIF('VPS_REFERENCE'!$D23:$H23,E23)+COUNTIF('VPS_REFERENCE'!$D23:$H23,H23)+COUNTIF('VPS_REFERENCE'!$D23:$H23,I23)+COUNTIF('VPS_REFERENCE'!$D23:$H23,J23)+COUNTIF('VPS_REFERENCE'!$D23:$H23,K23)+COUNTIF('VPS_REFERENCE'!$D23:$H23,L23)+COUNTIF('VPS_REFERENCE'!$D23:$H23,M23)+COUNTIF('VPS_REFERENCE'!$D23:$H23,N23)+COUNTIF('VPS_REFERENCE'!$D23:$H23,O23)+COUNTIF('VPS_REFERENCE'!$D23:$H23,P23))=0,"PASS","FAIL")</f>
        <v/>
      </c>
      <c r="V23" s="86">
        <f>IF(OR(E23=H23,E23=I23,E23=J23,E23=K23,E23=L23,E23=M23,E23=N23,E23=O23,E23=P23,H23=I23,H23=J23,H23=K23,H23=L23,H23=M23,H23=N23,H23=O23,H23=P23,I23=J23,I23=K23,I23=L23,I23=M23,I23=N23,I23=O23,I23=P23,J23=K23,J23=L23,J23=M23,J23=N23,J23=O23,J23=P23,K23=L23,K23=M23,K23=N23,K23=O23,K23=P23,L23=M23,L23=N23,L23=O23,L23=P23,M23=N23,M23=O23,M23=P23,N23=O23,N23=P23,O23=P23),"FAIL","PASS")</f>
        <v/>
      </c>
      <c r="W23" s="87">
        <f>'CRAWL_LOG'!B23</f>
        <v/>
      </c>
      <c r="X23" s="95" t="inlineStr">
        <is>
          <t>10-slot panel: 7 near + 3 far; AN2/AN3 inactive from 03/09</t>
        </is>
      </c>
    </row>
    <row r="24">
      <c r="A24" s="155" t="n">
        <v>46287</v>
      </c>
      <c r="B24" s="83" t="inlineStr">
        <is>
          <t>Thứ Ba</t>
        </is>
      </c>
      <c r="C24" s="83" t="inlineStr">
        <is>
          <t>Official</t>
        </is>
      </c>
      <c r="D24" s="83" t="inlineStr">
        <is>
          <t>00:30</t>
        </is>
      </c>
      <c r="E24" s="156">
        <f>'SLOT_RULES'!$D$4+IF($A24&lt;='SLOT_RULES'!$D$4,0,INT(($A24-'SLOT_RULES'!$D$4-1)/'SLOT_RULES'!$E$4)+1)*'SLOT_RULES'!$E$4</f>
        <v/>
      </c>
      <c r="F24" s="157" t="n"/>
      <c r="G24" s="157" t="n"/>
      <c r="H24" s="156">
        <f>'SLOT_RULES'!$D$7+IF($A24&lt;='SLOT_RULES'!$D$7,0,INT(($A24-'SLOT_RULES'!$D$7-1)/'SLOT_RULES'!$E$7)+1)*'SLOT_RULES'!$E$7</f>
        <v/>
      </c>
      <c r="I24" s="156">
        <f>'SLOT_RULES'!$D$8+IF($A24&lt;='SLOT_RULES'!$D$8,0,INT(($A24-'SLOT_RULES'!$D$8-1)/'SLOT_RULES'!$E$8)+1)*'SLOT_RULES'!$E$8</f>
        <v/>
      </c>
      <c r="J24" s="156">
        <f>'SLOT_RULES'!$D$9+IF($A24&lt;='SLOT_RULES'!$D$9,0,INT(($A24-'SLOT_RULES'!$D$9-1)/'SLOT_RULES'!$E$9)+1)*'SLOT_RULES'!$E$9</f>
        <v/>
      </c>
      <c r="K24" s="156">
        <f>'SLOT_RULES'!$D$10+IF($A24&lt;='SLOT_RULES'!$D$10,0,INT(($A24-'SLOT_RULES'!$D$10-1)/'SLOT_RULES'!$E$10)+1)*'SLOT_RULES'!$E$10</f>
        <v/>
      </c>
      <c r="L24" s="156">
        <f>'SLOT_RULES'!$D$11+IF($A24&lt;='SLOT_RULES'!$D$11,0,INT(($A24-'SLOT_RULES'!$D$11-1)/'SLOT_RULES'!$E$11)+1)*'SLOT_RULES'!$E$11</f>
        <v/>
      </c>
      <c r="M24" s="156">
        <f>'SLOT_RULES'!$D$12+IF($A24&lt;='SLOT_RULES'!$D$12,0,INT(($A24-'SLOT_RULES'!$D$12-1)/'SLOT_RULES'!$E$12)+1)*'SLOT_RULES'!$E$12</f>
        <v/>
      </c>
      <c r="N24" s="156">
        <f>'SLOT_RULES'!$D$13+IF($A24&lt;='SLOT_RULES'!$D$13,0,INT(($A24-'SLOT_RULES'!$D$13-1)/'SLOT_RULES'!$E$13)+1)*'SLOT_RULES'!$E$13</f>
        <v/>
      </c>
      <c r="O24" s="156">
        <f>'SLOT_RULES'!$D$14+IF($A24&lt;='SLOT_RULES'!$D$14,0,INT(($A24-'SLOT_RULES'!$D$14-1)/'SLOT_RULES'!$E$14)+1)*'SLOT_RULES'!$E$14</f>
        <v/>
      </c>
      <c r="P24" s="156">
        <f>'SLOT_RULES'!$D$15+IF($A24&lt;='SLOT_RULES'!$D$15,0,INT(($A24-'SLOT_RULES'!$D$15-1)/'SLOT_RULES'!$E$15)+1)*'SLOT_RULES'!$E$15</f>
        <v/>
      </c>
      <c r="Q24" s="158">
        <f>MIN(E24:P24)-A24</f>
        <v/>
      </c>
      <c r="R24" s="158">
        <f>MAX(E24:P24)-A24</f>
        <v/>
      </c>
      <c r="S24" s="86">
        <f>IF(AND(COUNT(E24:P24)=10,MIN(E24:P24)&gt;=A24),"PASS","FAIL")</f>
        <v/>
      </c>
      <c r="T24" s="86">
        <f>IF((COUNTIF('LOCAL_REFERENCE'!$D24:$O24,E24)+COUNTIF('LOCAL_REFERENCE'!$D24:$O24,H24)+COUNTIF('LOCAL_REFERENCE'!$D24:$O24,I24)+COUNTIF('LOCAL_REFERENCE'!$D24:$O24,J24)+COUNTIF('LOCAL_REFERENCE'!$D24:$O24,K24)+COUNTIF('LOCAL_REFERENCE'!$D24:$O24,L24)+COUNTIF('LOCAL_REFERENCE'!$D24:$O24,M24)+COUNTIF('LOCAL_REFERENCE'!$D24:$O24,N24)+COUNTIF('LOCAL_REFERENCE'!$D24:$O24,O24)+COUNTIF('LOCAL_REFERENCE'!$D24:$O24,P24))=0,"PASS","FAIL")</f>
        <v/>
      </c>
      <c r="U24" s="86">
        <f>IF((COUNTIF('VPS_REFERENCE'!$D24:$H24,E24)+COUNTIF('VPS_REFERENCE'!$D24:$H24,H24)+COUNTIF('VPS_REFERENCE'!$D24:$H24,I24)+COUNTIF('VPS_REFERENCE'!$D24:$H24,J24)+COUNTIF('VPS_REFERENCE'!$D24:$H24,K24)+COUNTIF('VPS_REFERENCE'!$D24:$H24,L24)+COUNTIF('VPS_REFERENCE'!$D24:$H24,M24)+COUNTIF('VPS_REFERENCE'!$D24:$H24,N24)+COUNTIF('VPS_REFERENCE'!$D24:$H24,O24)+COUNTIF('VPS_REFERENCE'!$D24:$H24,P24))=0,"PASS","FAIL")</f>
        <v/>
      </c>
      <c r="V24" s="86">
        <f>IF(OR(E24=H24,E24=I24,E24=J24,E24=K24,E24=L24,E24=M24,E24=N24,E24=O24,E24=P24,H24=I24,H24=J24,H24=K24,H24=L24,H24=M24,H24=N24,H24=O24,H24=P24,I24=J24,I24=K24,I24=L24,I24=M24,I24=N24,I24=O24,I24=P24,J24=K24,J24=L24,J24=M24,J24=N24,J24=O24,J24=P24,K24=L24,K24=M24,K24=N24,K24=O24,K24=P24,L24=M24,L24=N24,L24=O24,L24=P24,M24=N24,M24=O24,M24=P24,N24=O24,N24=P24,O24=P24),"FAIL","PASS")</f>
        <v/>
      </c>
      <c r="W24" s="87">
        <f>'CRAWL_LOG'!B24</f>
        <v/>
      </c>
      <c r="X24" s="95" t="inlineStr">
        <is>
          <t>10-slot panel: 7 near + 3 far; AN2/AN3 inactive from 03/09</t>
        </is>
      </c>
    </row>
    <row r="25">
      <c r="A25" s="155" t="n">
        <v>46288</v>
      </c>
      <c r="B25" s="83" t="inlineStr">
        <is>
          <t>Thứ Tư</t>
        </is>
      </c>
      <c r="C25" s="83" t="inlineStr">
        <is>
          <t>Official</t>
        </is>
      </c>
      <c r="D25" s="83" t="inlineStr">
        <is>
          <t>00:30</t>
        </is>
      </c>
      <c r="E25" s="156">
        <f>'SLOT_RULES'!$D$4+IF($A25&lt;='SLOT_RULES'!$D$4,0,INT(($A25-'SLOT_RULES'!$D$4-1)/'SLOT_RULES'!$E$4)+1)*'SLOT_RULES'!$E$4</f>
        <v/>
      </c>
      <c r="F25" s="157" t="n"/>
      <c r="G25" s="157" t="n"/>
      <c r="H25" s="156">
        <f>'SLOT_RULES'!$D$7+IF($A25&lt;='SLOT_RULES'!$D$7,0,INT(($A25-'SLOT_RULES'!$D$7-1)/'SLOT_RULES'!$E$7)+1)*'SLOT_RULES'!$E$7</f>
        <v/>
      </c>
      <c r="I25" s="156">
        <f>'SLOT_RULES'!$D$8+IF($A25&lt;='SLOT_RULES'!$D$8,0,INT(($A25-'SLOT_RULES'!$D$8-1)/'SLOT_RULES'!$E$8)+1)*'SLOT_RULES'!$E$8</f>
        <v/>
      </c>
      <c r="J25" s="156">
        <f>'SLOT_RULES'!$D$9+IF($A25&lt;='SLOT_RULES'!$D$9,0,INT(($A25-'SLOT_RULES'!$D$9-1)/'SLOT_RULES'!$E$9)+1)*'SLOT_RULES'!$E$9</f>
        <v/>
      </c>
      <c r="K25" s="156">
        <f>'SLOT_RULES'!$D$10+IF($A25&lt;='SLOT_RULES'!$D$10,0,INT(($A25-'SLOT_RULES'!$D$10-1)/'SLOT_RULES'!$E$10)+1)*'SLOT_RULES'!$E$10</f>
        <v/>
      </c>
      <c r="L25" s="156">
        <f>'SLOT_RULES'!$D$11+IF($A25&lt;='SLOT_RULES'!$D$11,0,INT(($A25-'SLOT_RULES'!$D$11-1)/'SLOT_RULES'!$E$11)+1)*'SLOT_RULES'!$E$11</f>
        <v/>
      </c>
      <c r="M25" s="156">
        <f>'SLOT_RULES'!$D$12+IF($A25&lt;='SLOT_RULES'!$D$12,0,INT(($A25-'SLOT_RULES'!$D$12-1)/'SLOT_RULES'!$E$12)+1)*'SLOT_RULES'!$E$12</f>
        <v/>
      </c>
      <c r="N25" s="156">
        <f>'SLOT_RULES'!$D$13+IF($A25&lt;='SLOT_RULES'!$D$13,0,INT(($A25-'SLOT_RULES'!$D$13-1)/'SLOT_RULES'!$E$13)+1)*'SLOT_RULES'!$E$13</f>
        <v/>
      </c>
      <c r="O25" s="156">
        <f>'SLOT_RULES'!$D$14+IF($A25&lt;='SLOT_RULES'!$D$14,0,INT(($A25-'SLOT_RULES'!$D$14-1)/'SLOT_RULES'!$E$14)+1)*'SLOT_RULES'!$E$14</f>
        <v/>
      </c>
      <c r="P25" s="156">
        <f>'SLOT_RULES'!$D$15+IF($A25&lt;='SLOT_RULES'!$D$15,0,INT(($A25-'SLOT_RULES'!$D$15-1)/'SLOT_RULES'!$E$15)+1)*'SLOT_RULES'!$E$15</f>
        <v/>
      </c>
      <c r="Q25" s="158">
        <f>MIN(E25:P25)-A25</f>
        <v/>
      </c>
      <c r="R25" s="158">
        <f>MAX(E25:P25)-A25</f>
        <v/>
      </c>
      <c r="S25" s="86">
        <f>IF(AND(COUNT(E25:P25)=10,MIN(E25:P25)&gt;=A25),"PASS","FAIL")</f>
        <v/>
      </c>
      <c r="T25" s="86">
        <f>IF((COUNTIF('LOCAL_REFERENCE'!$D25:$O25,E25)+COUNTIF('LOCAL_REFERENCE'!$D25:$O25,H25)+COUNTIF('LOCAL_REFERENCE'!$D25:$O25,I25)+COUNTIF('LOCAL_REFERENCE'!$D25:$O25,J25)+COUNTIF('LOCAL_REFERENCE'!$D25:$O25,K25)+COUNTIF('LOCAL_REFERENCE'!$D25:$O25,L25)+COUNTIF('LOCAL_REFERENCE'!$D25:$O25,M25)+COUNTIF('LOCAL_REFERENCE'!$D25:$O25,N25)+COUNTIF('LOCAL_REFERENCE'!$D25:$O25,O25)+COUNTIF('LOCAL_REFERENCE'!$D25:$O25,P25))=0,"PASS","FAIL")</f>
        <v/>
      </c>
      <c r="U25" s="86">
        <f>IF((COUNTIF('VPS_REFERENCE'!$D25:$H25,E25)+COUNTIF('VPS_REFERENCE'!$D25:$H25,H25)+COUNTIF('VPS_REFERENCE'!$D25:$H25,I25)+COUNTIF('VPS_REFERENCE'!$D25:$H25,J25)+COUNTIF('VPS_REFERENCE'!$D25:$H25,K25)+COUNTIF('VPS_REFERENCE'!$D25:$H25,L25)+COUNTIF('VPS_REFERENCE'!$D25:$H25,M25)+COUNTIF('VPS_REFERENCE'!$D25:$H25,N25)+COUNTIF('VPS_REFERENCE'!$D25:$H25,O25)+COUNTIF('VPS_REFERENCE'!$D25:$H25,P25))=0,"PASS","FAIL")</f>
        <v/>
      </c>
      <c r="V25" s="86">
        <f>IF(OR(E25=H25,E25=I25,E25=J25,E25=K25,E25=L25,E25=M25,E25=N25,E25=O25,E25=P25,H25=I25,H25=J25,H25=K25,H25=L25,H25=M25,H25=N25,H25=O25,H25=P25,I25=J25,I25=K25,I25=L25,I25=M25,I25=N25,I25=O25,I25=P25,J25=K25,J25=L25,J25=M25,J25=N25,J25=O25,J25=P25,K25=L25,K25=M25,K25=N25,K25=O25,K25=P25,L25=M25,L25=N25,L25=O25,L25=P25,M25=N25,M25=O25,M25=P25,N25=O25,N25=P25,O25=P25),"FAIL","PASS")</f>
        <v/>
      </c>
      <c r="W25" s="87">
        <f>'CRAWL_LOG'!B25</f>
        <v/>
      </c>
      <c r="X25" s="95" t="inlineStr">
        <is>
          <t>10-slot panel: 7 near + 3 far; AN2/AN3 inactive from 03/09</t>
        </is>
      </c>
    </row>
    <row r="26">
      <c r="A26" s="155" t="n">
        <v>46289</v>
      </c>
      <c r="B26" s="83" t="inlineStr">
        <is>
          <t>Thứ Năm</t>
        </is>
      </c>
      <c r="C26" s="83" t="inlineStr">
        <is>
          <t>Official</t>
        </is>
      </c>
      <c r="D26" s="83" t="inlineStr">
        <is>
          <t>00:30</t>
        </is>
      </c>
      <c r="E26" s="156">
        <f>'SLOT_RULES'!$D$4+IF($A26&lt;='SLOT_RULES'!$D$4,0,INT(($A26-'SLOT_RULES'!$D$4-1)/'SLOT_RULES'!$E$4)+1)*'SLOT_RULES'!$E$4</f>
        <v/>
      </c>
      <c r="F26" s="157" t="n"/>
      <c r="G26" s="157" t="n"/>
      <c r="H26" s="156">
        <f>'SLOT_RULES'!$D$7+IF($A26&lt;='SLOT_RULES'!$D$7,0,INT(($A26-'SLOT_RULES'!$D$7-1)/'SLOT_RULES'!$E$7)+1)*'SLOT_RULES'!$E$7</f>
        <v/>
      </c>
      <c r="I26" s="156">
        <f>'SLOT_RULES'!$D$8+IF($A26&lt;='SLOT_RULES'!$D$8,0,INT(($A26-'SLOT_RULES'!$D$8-1)/'SLOT_RULES'!$E$8)+1)*'SLOT_RULES'!$E$8</f>
        <v/>
      </c>
      <c r="J26" s="156">
        <f>'SLOT_RULES'!$D$9+IF($A26&lt;='SLOT_RULES'!$D$9,0,INT(($A26-'SLOT_RULES'!$D$9-1)/'SLOT_RULES'!$E$9)+1)*'SLOT_RULES'!$E$9</f>
        <v/>
      </c>
      <c r="K26" s="156">
        <f>'SLOT_RULES'!$D$10+IF($A26&lt;='SLOT_RULES'!$D$10,0,INT(($A26-'SLOT_RULES'!$D$10-1)/'SLOT_RULES'!$E$10)+1)*'SLOT_RULES'!$E$10</f>
        <v/>
      </c>
      <c r="L26" s="156">
        <f>'SLOT_RULES'!$D$11+IF($A26&lt;='SLOT_RULES'!$D$11,0,INT(($A26-'SLOT_RULES'!$D$11-1)/'SLOT_RULES'!$E$11)+1)*'SLOT_RULES'!$E$11</f>
        <v/>
      </c>
      <c r="M26" s="156">
        <f>'SLOT_RULES'!$D$12+IF($A26&lt;='SLOT_RULES'!$D$12,0,INT(($A26-'SLOT_RULES'!$D$12-1)/'SLOT_RULES'!$E$12)+1)*'SLOT_RULES'!$E$12</f>
        <v/>
      </c>
      <c r="N26" s="156">
        <f>'SLOT_RULES'!$D$13+IF($A26&lt;='SLOT_RULES'!$D$13,0,INT(($A26-'SLOT_RULES'!$D$13-1)/'SLOT_RULES'!$E$13)+1)*'SLOT_RULES'!$E$13</f>
        <v/>
      </c>
      <c r="O26" s="156">
        <f>'SLOT_RULES'!$D$14+IF($A26&lt;='SLOT_RULES'!$D$14,0,INT(($A26-'SLOT_RULES'!$D$14-1)/'SLOT_RULES'!$E$14)+1)*'SLOT_RULES'!$E$14</f>
        <v/>
      </c>
      <c r="P26" s="156">
        <f>'SLOT_RULES'!$D$15+IF($A26&lt;='SLOT_RULES'!$D$15,0,INT(($A26-'SLOT_RULES'!$D$15-1)/'SLOT_RULES'!$E$15)+1)*'SLOT_RULES'!$E$15</f>
        <v/>
      </c>
      <c r="Q26" s="158">
        <f>MIN(E26:P26)-A26</f>
        <v/>
      </c>
      <c r="R26" s="158">
        <f>MAX(E26:P26)-A26</f>
        <v/>
      </c>
      <c r="S26" s="86">
        <f>IF(AND(COUNT(E26:P26)=10,MIN(E26:P26)&gt;=A26),"PASS","FAIL")</f>
        <v/>
      </c>
      <c r="T26" s="86">
        <f>IF((COUNTIF('LOCAL_REFERENCE'!$D26:$O26,E26)+COUNTIF('LOCAL_REFERENCE'!$D26:$O26,H26)+COUNTIF('LOCAL_REFERENCE'!$D26:$O26,I26)+COUNTIF('LOCAL_REFERENCE'!$D26:$O26,J26)+COUNTIF('LOCAL_REFERENCE'!$D26:$O26,K26)+COUNTIF('LOCAL_REFERENCE'!$D26:$O26,L26)+COUNTIF('LOCAL_REFERENCE'!$D26:$O26,M26)+COUNTIF('LOCAL_REFERENCE'!$D26:$O26,N26)+COUNTIF('LOCAL_REFERENCE'!$D26:$O26,O26)+COUNTIF('LOCAL_REFERENCE'!$D26:$O26,P26))=0,"PASS","FAIL")</f>
        <v/>
      </c>
      <c r="U26" s="86">
        <f>IF((COUNTIF('VPS_REFERENCE'!$D26:$H26,E26)+COUNTIF('VPS_REFERENCE'!$D26:$H26,H26)+COUNTIF('VPS_REFERENCE'!$D26:$H26,I26)+COUNTIF('VPS_REFERENCE'!$D26:$H26,J26)+COUNTIF('VPS_REFERENCE'!$D26:$H26,K26)+COUNTIF('VPS_REFERENCE'!$D26:$H26,L26)+COUNTIF('VPS_REFERENCE'!$D26:$H26,M26)+COUNTIF('VPS_REFERENCE'!$D26:$H26,N26)+COUNTIF('VPS_REFERENCE'!$D26:$H26,O26)+COUNTIF('VPS_REFERENCE'!$D26:$H26,P26))=0,"PASS","FAIL")</f>
        <v/>
      </c>
      <c r="V26" s="86">
        <f>IF(OR(E26=H26,E26=I26,E26=J26,E26=K26,E26=L26,E26=M26,E26=N26,E26=O26,E26=P26,H26=I26,H26=J26,H26=K26,H26=L26,H26=M26,H26=N26,H26=O26,H26=P26,I26=J26,I26=K26,I26=L26,I26=M26,I26=N26,I26=O26,I26=P26,J26=K26,J26=L26,J26=M26,J26=N26,J26=O26,J26=P26,K26=L26,K26=M26,K26=N26,K26=O26,K26=P26,L26=M26,L26=N26,L26=O26,L26=P26,M26=N26,M26=O26,M26=P26,N26=O26,N26=P26,O26=P26),"FAIL","PASS")</f>
        <v/>
      </c>
      <c r="W26" s="87">
        <f>'CRAWL_LOG'!B26</f>
        <v/>
      </c>
      <c r="X26" s="95" t="inlineStr">
        <is>
          <t>10-slot panel: 7 near + 3 far; AN2/AN3 inactive from 03/09</t>
        </is>
      </c>
    </row>
    <row r="27">
      <c r="A27" s="155" t="n">
        <v>46290</v>
      </c>
      <c r="B27" s="83" t="inlineStr">
        <is>
          <t>Thứ Sáu</t>
        </is>
      </c>
      <c r="C27" s="83" t="inlineStr">
        <is>
          <t>Official</t>
        </is>
      </c>
      <c r="D27" s="83" t="inlineStr">
        <is>
          <t>00:30</t>
        </is>
      </c>
      <c r="E27" s="156">
        <f>'SLOT_RULES'!$D$4+IF($A27&lt;='SLOT_RULES'!$D$4,0,INT(($A27-'SLOT_RULES'!$D$4-1)/'SLOT_RULES'!$E$4)+1)*'SLOT_RULES'!$E$4</f>
        <v/>
      </c>
      <c r="F27" s="157" t="n"/>
      <c r="G27" s="157" t="n"/>
      <c r="H27" s="156">
        <f>'SLOT_RULES'!$D$7+IF($A27&lt;='SLOT_RULES'!$D$7,0,INT(($A27-'SLOT_RULES'!$D$7-1)/'SLOT_RULES'!$E$7)+1)*'SLOT_RULES'!$E$7</f>
        <v/>
      </c>
      <c r="I27" s="156">
        <f>'SLOT_RULES'!$D$8+IF($A27&lt;='SLOT_RULES'!$D$8,0,INT(($A27-'SLOT_RULES'!$D$8-1)/'SLOT_RULES'!$E$8)+1)*'SLOT_RULES'!$E$8</f>
        <v/>
      </c>
      <c r="J27" s="156">
        <f>'SLOT_RULES'!$D$9+IF($A27&lt;='SLOT_RULES'!$D$9,0,INT(($A27-'SLOT_RULES'!$D$9-1)/'SLOT_RULES'!$E$9)+1)*'SLOT_RULES'!$E$9</f>
        <v/>
      </c>
      <c r="K27" s="156">
        <f>'SLOT_RULES'!$D$10+IF($A27&lt;='SLOT_RULES'!$D$10,0,INT(($A27-'SLOT_RULES'!$D$10-1)/'SLOT_RULES'!$E$10)+1)*'SLOT_RULES'!$E$10</f>
        <v/>
      </c>
      <c r="L27" s="156">
        <f>'SLOT_RULES'!$D$11+IF($A27&lt;='SLOT_RULES'!$D$11,0,INT(($A27-'SLOT_RULES'!$D$11-1)/'SLOT_RULES'!$E$11)+1)*'SLOT_RULES'!$E$11</f>
        <v/>
      </c>
      <c r="M27" s="156">
        <f>'SLOT_RULES'!$D$12+IF($A27&lt;='SLOT_RULES'!$D$12,0,INT(($A27-'SLOT_RULES'!$D$12-1)/'SLOT_RULES'!$E$12)+1)*'SLOT_RULES'!$E$12</f>
        <v/>
      </c>
      <c r="N27" s="156">
        <f>'SLOT_RULES'!$D$13+IF($A27&lt;='SLOT_RULES'!$D$13,0,INT(($A27-'SLOT_RULES'!$D$13-1)/'SLOT_RULES'!$E$13)+1)*'SLOT_RULES'!$E$13</f>
        <v/>
      </c>
      <c r="O27" s="156">
        <f>'SLOT_RULES'!$D$14+IF($A27&lt;='SLOT_RULES'!$D$14,0,INT(($A27-'SLOT_RULES'!$D$14-1)/'SLOT_RULES'!$E$14)+1)*'SLOT_RULES'!$E$14</f>
        <v/>
      </c>
      <c r="P27" s="156">
        <f>'SLOT_RULES'!$D$15+IF($A27&lt;='SLOT_RULES'!$D$15,0,INT(($A27-'SLOT_RULES'!$D$15-1)/'SLOT_RULES'!$E$15)+1)*'SLOT_RULES'!$E$15</f>
        <v/>
      </c>
      <c r="Q27" s="158">
        <f>MIN(E27:P27)-A27</f>
        <v/>
      </c>
      <c r="R27" s="158">
        <f>MAX(E27:P27)-A27</f>
        <v/>
      </c>
      <c r="S27" s="86">
        <f>IF(AND(COUNT(E27:P27)=10,MIN(E27:P27)&gt;=A27),"PASS","FAIL")</f>
        <v/>
      </c>
      <c r="T27" s="86">
        <f>IF((COUNTIF('LOCAL_REFERENCE'!$D27:$O27,E27)+COUNTIF('LOCAL_REFERENCE'!$D27:$O27,H27)+COUNTIF('LOCAL_REFERENCE'!$D27:$O27,I27)+COUNTIF('LOCAL_REFERENCE'!$D27:$O27,J27)+COUNTIF('LOCAL_REFERENCE'!$D27:$O27,K27)+COUNTIF('LOCAL_REFERENCE'!$D27:$O27,L27)+COUNTIF('LOCAL_REFERENCE'!$D27:$O27,M27)+COUNTIF('LOCAL_REFERENCE'!$D27:$O27,N27)+COUNTIF('LOCAL_REFERENCE'!$D27:$O27,O27)+COUNTIF('LOCAL_REFERENCE'!$D27:$O27,P27))=0,"PASS","FAIL")</f>
        <v/>
      </c>
      <c r="U27" s="86">
        <f>IF((COUNTIF('VPS_REFERENCE'!$D27:$H27,E27)+COUNTIF('VPS_REFERENCE'!$D27:$H27,H27)+COUNTIF('VPS_REFERENCE'!$D27:$H27,I27)+COUNTIF('VPS_REFERENCE'!$D27:$H27,J27)+COUNTIF('VPS_REFERENCE'!$D27:$H27,K27)+COUNTIF('VPS_REFERENCE'!$D27:$H27,L27)+COUNTIF('VPS_REFERENCE'!$D27:$H27,M27)+COUNTIF('VPS_REFERENCE'!$D27:$H27,N27)+COUNTIF('VPS_REFERENCE'!$D27:$H27,O27)+COUNTIF('VPS_REFERENCE'!$D27:$H27,P27))=0,"PASS","FAIL")</f>
        <v/>
      </c>
      <c r="V27" s="86">
        <f>IF(OR(E27=H27,E27=I27,E27=J27,E27=K27,E27=L27,E27=M27,E27=N27,E27=O27,E27=P27,H27=I27,H27=J27,H27=K27,H27=L27,H27=M27,H27=N27,H27=O27,H27=P27,I27=J27,I27=K27,I27=L27,I27=M27,I27=N27,I27=O27,I27=P27,J27=K27,J27=L27,J27=M27,J27=N27,J27=O27,J27=P27,K27=L27,K27=M27,K27=N27,K27=O27,K27=P27,L27=M27,L27=N27,L27=O27,L27=P27,M27=N27,M27=O27,M27=P27,N27=O27,N27=P27,O27=P27),"FAIL","PASS")</f>
        <v/>
      </c>
      <c r="W27" s="87">
        <f>'CRAWL_LOG'!B27</f>
        <v/>
      </c>
      <c r="X27" s="95" t="inlineStr">
        <is>
          <t>10-slot panel: 7 near + 3 far; AN2/AN3 inactive from 03/09</t>
        </is>
      </c>
    </row>
    <row r="28">
      <c r="A28" s="155" t="n">
        <v>46291</v>
      </c>
      <c r="B28" s="83" t="inlineStr">
        <is>
          <t>Thứ Bảy</t>
        </is>
      </c>
      <c r="C28" s="83" t="inlineStr">
        <is>
          <t>Official</t>
        </is>
      </c>
      <c r="D28" s="83" t="inlineStr">
        <is>
          <t>00:30</t>
        </is>
      </c>
      <c r="E28" s="156">
        <f>'SLOT_RULES'!$D$4+IF($A28&lt;='SLOT_RULES'!$D$4,0,INT(($A28-'SLOT_RULES'!$D$4-1)/'SLOT_RULES'!$E$4)+1)*'SLOT_RULES'!$E$4</f>
        <v/>
      </c>
      <c r="F28" s="157" t="n"/>
      <c r="G28" s="157" t="n"/>
      <c r="H28" s="156">
        <f>'SLOT_RULES'!$D$7+IF($A28&lt;='SLOT_RULES'!$D$7,0,INT(($A28-'SLOT_RULES'!$D$7-1)/'SLOT_RULES'!$E$7)+1)*'SLOT_RULES'!$E$7</f>
        <v/>
      </c>
      <c r="I28" s="156">
        <f>'SLOT_RULES'!$D$8+IF($A28&lt;='SLOT_RULES'!$D$8,0,INT(($A28-'SLOT_RULES'!$D$8-1)/'SLOT_RULES'!$E$8)+1)*'SLOT_RULES'!$E$8</f>
        <v/>
      </c>
      <c r="J28" s="156">
        <f>'SLOT_RULES'!$D$9+IF($A28&lt;='SLOT_RULES'!$D$9,0,INT(($A28-'SLOT_RULES'!$D$9-1)/'SLOT_RULES'!$E$9)+1)*'SLOT_RULES'!$E$9</f>
        <v/>
      </c>
      <c r="K28" s="156">
        <f>'SLOT_RULES'!$D$10+IF($A28&lt;='SLOT_RULES'!$D$10,0,INT(($A28-'SLOT_RULES'!$D$10-1)/'SLOT_RULES'!$E$10)+1)*'SLOT_RULES'!$E$10</f>
        <v/>
      </c>
      <c r="L28" s="156">
        <f>'SLOT_RULES'!$D$11+IF($A28&lt;='SLOT_RULES'!$D$11,0,INT(($A28-'SLOT_RULES'!$D$11-1)/'SLOT_RULES'!$E$11)+1)*'SLOT_RULES'!$E$11</f>
        <v/>
      </c>
      <c r="M28" s="156">
        <f>'SLOT_RULES'!$D$12+IF($A28&lt;='SLOT_RULES'!$D$12,0,INT(($A28-'SLOT_RULES'!$D$12-1)/'SLOT_RULES'!$E$12)+1)*'SLOT_RULES'!$E$12</f>
        <v/>
      </c>
      <c r="N28" s="156">
        <f>'SLOT_RULES'!$D$13+IF($A28&lt;='SLOT_RULES'!$D$13,0,INT(($A28-'SLOT_RULES'!$D$13-1)/'SLOT_RULES'!$E$13)+1)*'SLOT_RULES'!$E$13</f>
        <v/>
      </c>
      <c r="O28" s="156">
        <f>'SLOT_RULES'!$D$14+IF($A28&lt;='SLOT_RULES'!$D$14,0,INT(($A28-'SLOT_RULES'!$D$14-1)/'SLOT_RULES'!$E$14)+1)*'SLOT_RULES'!$E$14</f>
        <v/>
      </c>
      <c r="P28" s="156">
        <f>'SLOT_RULES'!$D$15+IF($A28&lt;='SLOT_RULES'!$D$15,0,INT(($A28-'SLOT_RULES'!$D$15-1)/'SLOT_RULES'!$E$15)+1)*'SLOT_RULES'!$E$15</f>
        <v/>
      </c>
      <c r="Q28" s="158">
        <f>MIN(E28:P28)-A28</f>
        <v/>
      </c>
      <c r="R28" s="158">
        <f>MAX(E28:P28)-A28</f>
        <v/>
      </c>
      <c r="S28" s="86">
        <f>IF(AND(COUNT(E28:P28)=10,MIN(E28:P28)&gt;=A28),"PASS","FAIL")</f>
        <v/>
      </c>
      <c r="T28" s="86">
        <f>IF((COUNTIF('LOCAL_REFERENCE'!$D28:$O28,E28)+COUNTIF('LOCAL_REFERENCE'!$D28:$O28,H28)+COUNTIF('LOCAL_REFERENCE'!$D28:$O28,I28)+COUNTIF('LOCAL_REFERENCE'!$D28:$O28,J28)+COUNTIF('LOCAL_REFERENCE'!$D28:$O28,K28)+COUNTIF('LOCAL_REFERENCE'!$D28:$O28,L28)+COUNTIF('LOCAL_REFERENCE'!$D28:$O28,M28)+COUNTIF('LOCAL_REFERENCE'!$D28:$O28,N28)+COUNTIF('LOCAL_REFERENCE'!$D28:$O28,O28)+COUNTIF('LOCAL_REFERENCE'!$D28:$O28,P28))=0,"PASS","FAIL")</f>
        <v/>
      </c>
      <c r="U28" s="86">
        <f>IF((COUNTIF('VPS_REFERENCE'!$D28:$H28,E28)+COUNTIF('VPS_REFERENCE'!$D28:$H28,H28)+COUNTIF('VPS_REFERENCE'!$D28:$H28,I28)+COUNTIF('VPS_REFERENCE'!$D28:$H28,J28)+COUNTIF('VPS_REFERENCE'!$D28:$H28,K28)+COUNTIF('VPS_REFERENCE'!$D28:$H28,L28)+COUNTIF('VPS_REFERENCE'!$D28:$H28,M28)+COUNTIF('VPS_REFERENCE'!$D28:$H28,N28)+COUNTIF('VPS_REFERENCE'!$D28:$H28,O28)+COUNTIF('VPS_REFERENCE'!$D28:$H28,P28))=0,"PASS","FAIL")</f>
        <v/>
      </c>
      <c r="V28" s="86">
        <f>IF(OR(E28=H28,E28=I28,E28=J28,E28=K28,E28=L28,E28=M28,E28=N28,E28=O28,E28=P28,H28=I28,H28=J28,H28=K28,H28=L28,H28=M28,H28=N28,H28=O28,H28=P28,I28=J28,I28=K28,I28=L28,I28=M28,I28=N28,I28=O28,I28=P28,J28=K28,J28=L28,J28=M28,J28=N28,J28=O28,J28=P28,K28=L28,K28=M28,K28=N28,K28=O28,K28=P28,L28=M28,L28=N28,L28=O28,L28=P28,M28=N28,M28=O28,M28=P28,N28=O28,N28=P28,O28=P28),"FAIL","PASS")</f>
        <v/>
      </c>
      <c r="W28" s="87">
        <f>'CRAWL_LOG'!B28</f>
        <v/>
      </c>
      <c r="X28" s="95" t="inlineStr">
        <is>
          <t>10-slot panel: 7 near + 3 far; AN2/AN3 inactive from 03/09</t>
        </is>
      </c>
    </row>
    <row r="29">
      <c r="A29" s="155" t="n">
        <v>46292</v>
      </c>
      <c r="B29" s="83" t="inlineStr">
        <is>
          <t>Chủ Nhật</t>
        </is>
      </c>
      <c r="C29" s="83" t="inlineStr">
        <is>
          <t>Official</t>
        </is>
      </c>
      <c r="D29" s="83" t="inlineStr">
        <is>
          <t>00:30</t>
        </is>
      </c>
      <c r="E29" s="156">
        <f>'SLOT_RULES'!$D$4+IF($A29&lt;='SLOT_RULES'!$D$4,0,INT(($A29-'SLOT_RULES'!$D$4-1)/'SLOT_RULES'!$E$4)+1)*'SLOT_RULES'!$E$4</f>
        <v/>
      </c>
      <c r="F29" s="157" t="n"/>
      <c r="G29" s="157" t="n"/>
      <c r="H29" s="156">
        <f>'SLOT_RULES'!$D$7+IF($A29&lt;='SLOT_RULES'!$D$7,0,INT(($A29-'SLOT_RULES'!$D$7-1)/'SLOT_RULES'!$E$7)+1)*'SLOT_RULES'!$E$7</f>
        <v/>
      </c>
      <c r="I29" s="156">
        <f>'SLOT_RULES'!$D$8+IF($A29&lt;='SLOT_RULES'!$D$8,0,INT(($A29-'SLOT_RULES'!$D$8-1)/'SLOT_RULES'!$E$8)+1)*'SLOT_RULES'!$E$8</f>
        <v/>
      </c>
      <c r="J29" s="156">
        <f>'SLOT_RULES'!$D$9+IF($A29&lt;='SLOT_RULES'!$D$9,0,INT(($A29-'SLOT_RULES'!$D$9-1)/'SLOT_RULES'!$E$9)+1)*'SLOT_RULES'!$E$9</f>
        <v/>
      </c>
      <c r="K29" s="156">
        <f>'SLOT_RULES'!$D$10+IF($A29&lt;='SLOT_RULES'!$D$10,0,INT(($A29-'SLOT_RULES'!$D$10-1)/'SLOT_RULES'!$E$10)+1)*'SLOT_RULES'!$E$10</f>
        <v/>
      </c>
      <c r="L29" s="156">
        <f>'SLOT_RULES'!$D$11+IF($A29&lt;='SLOT_RULES'!$D$11,0,INT(($A29-'SLOT_RULES'!$D$11-1)/'SLOT_RULES'!$E$11)+1)*'SLOT_RULES'!$E$11</f>
        <v/>
      </c>
      <c r="M29" s="156">
        <f>'SLOT_RULES'!$D$12+IF($A29&lt;='SLOT_RULES'!$D$12,0,INT(($A29-'SLOT_RULES'!$D$12-1)/'SLOT_RULES'!$E$12)+1)*'SLOT_RULES'!$E$12</f>
        <v/>
      </c>
      <c r="N29" s="156">
        <f>'SLOT_RULES'!$D$13+IF($A29&lt;='SLOT_RULES'!$D$13,0,INT(($A29-'SLOT_RULES'!$D$13-1)/'SLOT_RULES'!$E$13)+1)*'SLOT_RULES'!$E$13</f>
        <v/>
      </c>
      <c r="O29" s="156">
        <f>'SLOT_RULES'!$D$14+IF($A29&lt;='SLOT_RULES'!$D$14,0,INT(($A29-'SLOT_RULES'!$D$14-1)/'SLOT_RULES'!$E$14)+1)*'SLOT_RULES'!$E$14</f>
        <v/>
      </c>
      <c r="P29" s="156">
        <f>'SLOT_RULES'!$D$15+IF($A29&lt;='SLOT_RULES'!$D$15,0,INT(($A29-'SLOT_RULES'!$D$15-1)/'SLOT_RULES'!$E$15)+1)*'SLOT_RULES'!$E$15</f>
        <v/>
      </c>
      <c r="Q29" s="158">
        <f>MIN(E29:P29)-A29</f>
        <v/>
      </c>
      <c r="R29" s="158">
        <f>MAX(E29:P29)-A29</f>
        <v/>
      </c>
      <c r="S29" s="86">
        <f>IF(AND(COUNT(E29:P29)=10,MIN(E29:P29)&gt;=A29),"PASS","FAIL")</f>
        <v/>
      </c>
      <c r="T29" s="86">
        <f>IF((COUNTIF('LOCAL_REFERENCE'!$D29:$O29,E29)+COUNTIF('LOCAL_REFERENCE'!$D29:$O29,H29)+COUNTIF('LOCAL_REFERENCE'!$D29:$O29,I29)+COUNTIF('LOCAL_REFERENCE'!$D29:$O29,J29)+COUNTIF('LOCAL_REFERENCE'!$D29:$O29,K29)+COUNTIF('LOCAL_REFERENCE'!$D29:$O29,L29)+COUNTIF('LOCAL_REFERENCE'!$D29:$O29,M29)+COUNTIF('LOCAL_REFERENCE'!$D29:$O29,N29)+COUNTIF('LOCAL_REFERENCE'!$D29:$O29,O29)+COUNTIF('LOCAL_REFERENCE'!$D29:$O29,P29))=0,"PASS","FAIL")</f>
        <v/>
      </c>
      <c r="U29" s="86">
        <f>IF((COUNTIF('VPS_REFERENCE'!$D29:$H29,E29)+COUNTIF('VPS_REFERENCE'!$D29:$H29,H29)+COUNTIF('VPS_REFERENCE'!$D29:$H29,I29)+COUNTIF('VPS_REFERENCE'!$D29:$H29,J29)+COUNTIF('VPS_REFERENCE'!$D29:$H29,K29)+COUNTIF('VPS_REFERENCE'!$D29:$H29,L29)+COUNTIF('VPS_REFERENCE'!$D29:$H29,M29)+COUNTIF('VPS_REFERENCE'!$D29:$H29,N29)+COUNTIF('VPS_REFERENCE'!$D29:$H29,O29)+COUNTIF('VPS_REFERENCE'!$D29:$H29,P29))=0,"PASS","FAIL")</f>
        <v/>
      </c>
      <c r="V29" s="86">
        <f>IF(OR(E29=H29,E29=I29,E29=J29,E29=K29,E29=L29,E29=M29,E29=N29,E29=O29,E29=P29,H29=I29,H29=J29,H29=K29,H29=L29,H29=M29,H29=N29,H29=O29,H29=P29,I29=J29,I29=K29,I29=L29,I29=M29,I29=N29,I29=O29,I29=P29,J29=K29,J29=L29,J29=M29,J29=N29,J29=O29,J29=P29,K29=L29,K29=M29,K29=N29,K29=O29,K29=P29,L29=M29,L29=N29,L29=O29,L29=P29,M29=N29,M29=O29,M29=P29,N29=O29,N29=P29,O29=P29),"FAIL","PASS")</f>
        <v/>
      </c>
      <c r="W29" s="87">
        <f>'CRAWL_LOG'!B29</f>
        <v/>
      </c>
      <c r="X29" s="95" t="inlineStr">
        <is>
          <t>10-slot panel: 7 near + 3 far; AN2/AN3 inactive from 03/09</t>
        </is>
      </c>
    </row>
    <row r="30">
      <c r="A30" s="155" t="n">
        <v>46293</v>
      </c>
      <c r="B30" s="83" t="inlineStr">
        <is>
          <t>Thứ Hai</t>
        </is>
      </c>
      <c r="C30" s="83" t="inlineStr">
        <is>
          <t>Official</t>
        </is>
      </c>
      <c r="D30" s="83" t="inlineStr">
        <is>
          <t>00:30</t>
        </is>
      </c>
      <c r="E30" s="156">
        <f>'SLOT_RULES'!$D$4+IF($A30&lt;='SLOT_RULES'!$D$4,0,INT(($A30-'SLOT_RULES'!$D$4-1)/'SLOT_RULES'!$E$4)+1)*'SLOT_RULES'!$E$4</f>
        <v/>
      </c>
      <c r="F30" s="157" t="n"/>
      <c r="G30" s="157" t="n"/>
      <c r="H30" s="156">
        <f>'SLOT_RULES'!$D$7+IF($A30&lt;='SLOT_RULES'!$D$7,0,INT(($A30-'SLOT_RULES'!$D$7-1)/'SLOT_RULES'!$E$7)+1)*'SLOT_RULES'!$E$7</f>
        <v/>
      </c>
      <c r="I30" s="156">
        <f>'SLOT_RULES'!$D$8+IF($A30&lt;='SLOT_RULES'!$D$8,0,INT(($A30-'SLOT_RULES'!$D$8-1)/'SLOT_RULES'!$E$8)+1)*'SLOT_RULES'!$E$8</f>
        <v/>
      </c>
      <c r="J30" s="156">
        <f>'SLOT_RULES'!$D$9+IF($A30&lt;='SLOT_RULES'!$D$9,0,INT(($A30-'SLOT_RULES'!$D$9-1)/'SLOT_RULES'!$E$9)+1)*'SLOT_RULES'!$E$9</f>
        <v/>
      </c>
      <c r="K30" s="156">
        <f>'SLOT_RULES'!$D$10+IF($A30&lt;='SLOT_RULES'!$D$10,0,INT(($A30-'SLOT_RULES'!$D$10-1)/'SLOT_RULES'!$E$10)+1)*'SLOT_RULES'!$E$10</f>
        <v/>
      </c>
      <c r="L30" s="156">
        <f>'SLOT_RULES'!$D$11+IF($A30&lt;='SLOT_RULES'!$D$11,0,INT(($A30-'SLOT_RULES'!$D$11-1)/'SLOT_RULES'!$E$11)+1)*'SLOT_RULES'!$E$11</f>
        <v/>
      </c>
      <c r="M30" s="156">
        <f>'SLOT_RULES'!$D$12+IF($A30&lt;='SLOT_RULES'!$D$12,0,INT(($A30-'SLOT_RULES'!$D$12-1)/'SLOT_RULES'!$E$12)+1)*'SLOT_RULES'!$E$12</f>
        <v/>
      </c>
      <c r="N30" s="156">
        <f>'SLOT_RULES'!$D$13+IF($A30&lt;='SLOT_RULES'!$D$13,0,INT(($A30-'SLOT_RULES'!$D$13-1)/'SLOT_RULES'!$E$13)+1)*'SLOT_RULES'!$E$13</f>
        <v/>
      </c>
      <c r="O30" s="156">
        <f>'SLOT_RULES'!$D$14+IF($A30&lt;='SLOT_RULES'!$D$14,0,INT(($A30-'SLOT_RULES'!$D$14-1)/'SLOT_RULES'!$E$14)+1)*'SLOT_RULES'!$E$14</f>
        <v/>
      </c>
      <c r="P30" s="156">
        <f>'SLOT_RULES'!$D$15+IF($A30&lt;='SLOT_RULES'!$D$15,0,INT(($A30-'SLOT_RULES'!$D$15-1)/'SLOT_RULES'!$E$15)+1)*'SLOT_RULES'!$E$15</f>
        <v/>
      </c>
      <c r="Q30" s="158">
        <f>MIN(E30:P30)-A30</f>
        <v/>
      </c>
      <c r="R30" s="158">
        <f>MAX(E30:P30)-A30</f>
        <v/>
      </c>
      <c r="S30" s="86">
        <f>IF(AND(COUNT(E30:P30)=10,MIN(E30:P30)&gt;=A30),"PASS","FAIL")</f>
        <v/>
      </c>
      <c r="T30" s="86">
        <f>IF((COUNTIF('LOCAL_REFERENCE'!$D30:$O30,E30)+COUNTIF('LOCAL_REFERENCE'!$D30:$O30,H30)+COUNTIF('LOCAL_REFERENCE'!$D30:$O30,I30)+COUNTIF('LOCAL_REFERENCE'!$D30:$O30,J30)+COUNTIF('LOCAL_REFERENCE'!$D30:$O30,K30)+COUNTIF('LOCAL_REFERENCE'!$D30:$O30,L30)+COUNTIF('LOCAL_REFERENCE'!$D30:$O30,M30)+COUNTIF('LOCAL_REFERENCE'!$D30:$O30,N30)+COUNTIF('LOCAL_REFERENCE'!$D30:$O30,O30)+COUNTIF('LOCAL_REFERENCE'!$D30:$O30,P30))=0,"PASS","FAIL")</f>
        <v/>
      </c>
      <c r="U30" s="86">
        <f>IF((COUNTIF('VPS_REFERENCE'!$D30:$H30,E30)+COUNTIF('VPS_REFERENCE'!$D30:$H30,H30)+COUNTIF('VPS_REFERENCE'!$D30:$H30,I30)+COUNTIF('VPS_REFERENCE'!$D30:$H30,J30)+COUNTIF('VPS_REFERENCE'!$D30:$H30,K30)+COUNTIF('VPS_REFERENCE'!$D30:$H30,L30)+COUNTIF('VPS_REFERENCE'!$D30:$H30,M30)+COUNTIF('VPS_REFERENCE'!$D30:$H30,N30)+COUNTIF('VPS_REFERENCE'!$D30:$H30,O30)+COUNTIF('VPS_REFERENCE'!$D30:$H30,P30))=0,"PASS","FAIL")</f>
        <v/>
      </c>
      <c r="V30" s="86">
        <f>IF(OR(E30=H30,E30=I30,E30=J30,E30=K30,E30=L30,E30=M30,E30=N30,E30=O30,E30=P30,H30=I30,H30=J30,H30=K30,H30=L30,H30=M30,H30=N30,H30=O30,H30=P30,I30=J30,I30=K30,I30=L30,I30=M30,I30=N30,I30=O30,I30=P30,J30=K30,J30=L30,J30=M30,J30=N30,J30=O30,J30=P30,K30=L30,K30=M30,K30=N30,K30=O30,K30=P30,L30=M30,L30=N30,L30=O30,L30=P30,M30=N30,M30=O30,M30=P30,N30=O30,N30=P30,O30=P30),"FAIL","PASS")</f>
        <v/>
      </c>
      <c r="W30" s="87">
        <f>'CRAWL_LOG'!B30</f>
        <v/>
      </c>
      <c r="X30" s="95" t="inlineStr">
        <is>
          <t>10-slot panel: 7 near + 3 far; AN2/AN3 inactive from 03/09</t>
        </is>
      </c>
    </row>
    <row r="31">
      <c r="A31" s="155" t="n">
        <v>46294</v>
      </c>
      <c r="B31" s="83" t="inlineStr">
        <is>
          <t>Thứ Ba</t>
        </is>
      </c>
      <c r="C31" s="83" t="inlineStr">
        <is>
          <t>Official</t>
        </is>
      </c>
      <c r="D31" s="83" t="inlineStr">
        <is>
          <t>00:30</t>
        </is>
      </c>
      <c r="E31" s="156">
        <f>'SLOT_RULES'!$D$4+IF($A31&lt;='SLOT_RULES'!$D$4,0,INT(($A31-'SLOT_RULES'!$D$4-1)/'SLOT_RULES'!$E$4)+1)*'SLOT_RULES'!$E$4</f>
        <v/>
      </c>
      <c r="F31" s="157" t="n"/>
      <c r="G31" s="157" t="n"/>
      <c r="H31" s="156">
        <f>'SLOT_RULES'!$D$7+IF($A31&lt;='SLOT_RULES'!$D$7,0,INT(($A31-'SLOT_RULES'!$D$7-1)/'SLOT_RULES'!$E$7)+1)*'SLOT_RULES'!$E$7</f>
        <v/>
      </c>
      <c r="I31" s="156">
        <f>'SLOT_RULES'!$D$8+IF($A31&lt;='SLOT_RULES'!$D$8,0,INT(($A31-'SLOT_RULES'!$D$8-1)/'SLOT_RULES'!$E$8)+1)*'SLOT_RULES'!$E$8</f>
        <v/>
      </c>
      <c r="J31" s="156">
        <f>'SLOT_RULES'!$D$9+IF($A31&lt;='SLOT_RULES'!$D$9,0,INT(($A31-'SLOT_RULES'!$D$9-1)/'SLOT_RULES'!$E$9)+1)*'SLOT_RULES'!$E$9</f>
        <v/>
      </c>
      <c r="K31" s="156">
        <f>'SLOT_RULES'!$D$10+IF($A31&lt;='SLOT_RULES'!$D$10,0,INT(($A31-'SLOT_RULES'!$D$10-1)/'SLOT_RULES'!$E$10)+1)*'SLOT_RULES'!$E$10</f>
        <v/>
      </c>
      <c r="L31" s="156">
        <f>'SLOT_RULES'!$D$11+IF($A31&lt;='SLOT_RULES'!$D$11,0,INT(($A31-'SLOT_RULES'!$D$11-1)/'SLOT_RULES'!$E$11)+1)*'SLOT_RULES'!$E$11</f>
        <v/>
      </c>
      <c r="M31" s="156">
        <f>'SLOT_RULES'!$D$12+IF($A31&lt;='SLOT_RULES'!$D$12,0,INT(($A31-'SLOT_RULES'!$D$12-1)/'SLOT_RULES'!$E$12)+1)*'SLOT_RULES'!$E$12</f>
        <v/>
      </c>
      <c r="N31" s="156">
        <f>'SLOT_RULES'!$D$13+IF($A31&lt;='SLOT_RULES'!$D$13,0,INT(($A31-'SLOT_RULES'!$D$13-1)/'SLOT_RULES'!$E$13)+1)*'SLOT_RULES'!$E$13</f>
        <v/>
      </c>
      <c r="O31" s="156">
        <f>'SLOT_RULES'!$D$14+IF($A31&lt;='SLOT_RULES'!$D$14,0,INT(($A31-'SLOT_RULES'!$D$14-1)/'SLOT_RULES'!$E$14)+1)*'SLOT_RULES'!$E$14</f>
        <v/>
      </c>
      <c r="P31" s="156">
        <f>'SLOT_RULES'!$D$15+IF($A31&lt;='SLOT_RULES'!$D$15,0,INT(($A31-'SLOT_RULES'!$D$15-1)/'SLOT_RULES'!$E$15)+1)*'SLOT_RULES'!$E$15</f>
        <v/>
      </c>
      <c r="Q31" s="158">
        <f>MIN(E31:P31)-A31</f>
        <v/>
      </c>
      <c r="R31" s="158">
        <f>MAX(E31:P31)-A31</f>
        <v/>
      </c>
      <c r="S31" s="86">
        <f>IF(AND(COUNT(E31:P31)=10,MIN(E31:P31)&gt;=A31),"PASS","FAIL")</f>
        <v/>
      </c>
      <c r="T31" s="86">
        <f>IF((COUNTIF('LOCAL_REFERENCE'!$D31:$O31,E31)+COUNTIF('LOCAL_REFERENCE'!$D31:$O31,H31)+COUNTIF('LOCAL_REFERENCE'!$D31:$O31,I31)+COUNTIF('LOCAL_REFERENCE'!$D31:$O31,J31)+COUNTIF('LOCAL_REFERENCE'!$D31:$O31,K31)+COUNTIF('LOCAL_REFERENCE'!$D31:$O31,L31)+COUNTIF('LOCAL_REFERENCE'!$D31:$O31,M31)+COUNTIF('LOCAL_REFERENCE'!$D31:$O31,N31)+COUNTIF('LOCAL_REFERENCE'!$D31:$O31,O31)+COUNTIF('LOCAL_REFERENCE'!$D31:$O31,P31))=0,"PASS","FAIL")</f>
        <v/>
      </c>
      <c r="U31" s="86">
        <f>IF((COUNTIF('VPS_REFERENCE'!$D31:$H31,E31)+COUNTIF('VPS_REFERENCE'!$D31:$H31,H31)+COUNTIF('VPS_REFERENCE'!$D31:$H31,I31)+COUNTIF('VPS_REFERENCE'!$D31:$H31,J31)+COUNTIF('VPS_REFERENCE'!$D31:$H31,K31)+COUNTIF('VPS_REFERENCE'!$D31:$H31,L31)+COUNTIF('VPS_REFERENCE'!$D31:$H31,M31)+COUNTIF('VPS_REFERENCE'!$D31:$H31,N31)+COUNTIF('VPS_REFERENCE'!$D31:$H31,O31)+COUNTIF('VPS_REFERENCE'!$D31:$H31,P31))=0,"PASS","FAIL")</f>
        <v/>
      </c>
      <c r="V31" s="86">
        <f>IF(OR(E31=H31,E31=I31,E31=J31,E31=K31,E31=L31,E31=M31,E31=N31,E31=O31,E31=P31,H31=I31,H31=J31,H31=K31,H31=L31,H31=M31,H31=N31,H31=O31,H31=P31,I31=J31,I31=K31,I31=L31,I31=M31,I31=N31,I31=O31,I31=P31,J31=K31,J31=L31,J31=M31,J31=N31,J31=O31,J31=P31,K31=L31,K31=M31,K31=N31,K31=O31,K31=P31,L31=M31,L31=N31,L31=O31,L31=P31,M31=N31,M31=O31,M31=P31,N31=O31,N31=P31,O31=P31),"FAIL","PASS")</f>
        <v/>
      </c>
      <c r="W31" s="87">
        <f>'CRAWL_LOG'!B31</f>
        <v/>
      </c>
      <c r="X31" s="95" t="inlineStr">
        <is>
          <t>10-slot panel: 7 near + 3 far; AN2/AN3 inactive from 03/09</t>
        </is>
      </c>
    </row>
    <row r="32">
      <c r="A32" s="155" t="n">
        <v>46295</v>
      </c>
      <c r="B32" s="83" t="inlineStr">
        <is>
          <t>Thứ Tư</t>
        </is>
      </c>
      <c r="C32" s="83" t="inlineStr">
        <is>
          <t>Official</t>
        </is>
      </c>
      <c r="D32" s="83" t="inlineStr">
        <is>
          <t>00:30</t>
        </is>
      </c>
      <c r="E32" s="156">
        <f>'SLOT_RULES'!$D$4+IF($A32&lt;='SLOT_RULES'!$D$4,0,INT(($A32-'SLOT_RULES'!$D$4-1)/'SLOT_RULES'!$E$4)+1)*'SLOT_RULES'!$E$4</f>
        <v/>
      </c>
      <c r="F32" s="157" t="n"/>
      <c r="G32" s="157" t="n"/>
      <c r="H32" s="156">
        <f>'SLOT_RULES'!$D$7+IF($A32&lt;='SLOT_RULES'!$D$7,0,INT(($A32-'SLOT_RULES'!$D$7-1)/'SLOT_RULES'!$E$7)+1)*'SLOT_RULES'!$E$7</f>
        <v/>
      </c>
      <c r="I32" s="156">
        <f>'SLOT_RULES'!$D$8+IF($A32&lt;='SLOT_RULES'!$D$8,0,INT(($A32-'SLOT_RULES'!$D$8-1)/'SLOT_RULES'!$E$8)+1)*'SLOT_RULES'!$E$8</f>
        <v/>
      </c>
      <c r="J32" s="156">
        <f>'SLOT_RULES'!$D$9+IF($A32&lt;='SLOT_RULES'!$D$9,0,INT(($A32-'SLOT_RULES'!$D$9-1)/'SLOT_RULES'!$E$9)+1)*'SLOT_RULES'!$E$9</f>
        <v/>
      </c>
      <c r="K32" s="156">
        <f>'SLOT_RULES'!$D$10+IF($A32&lt;='SLOT_RULES'!$D$10,0,INT(($A32-'SLOT_RULES'!$D$10-1)/'SLOT_RULES'!$E$10)+1)*'SLOT_RULES'!$E$10</f>
        <v/>
      </c>
      <c r="L32" s="156">
        <f>'SLOT_RULES'!$D$11+IF($A32&lt;='SLOT_RULES'!$D$11,0,INT(($A32-'SLOT_RULES'!$D$11-1)/'SLOT_RULES'!$E$11)+1)*'SLOT_RULES'!$E$11</f>
        <v/>
      </c>
      <c r="M32" s="156">
        <f>'SLOT_RULES'!$D$12+IF($A32&lt;='SLOT_RULES'!$D$12,0,INT(($A32-'SLOT_RULES'!$D$12-1)/'SLOT_RULES'!$E$12)+1)*'SLOT_RULES'!$E$12</f>
        <v/>
      </c>
      <c r="N32" s="156">
        <f>'SLOT_RULES'!$D$13+IF($A32&lt;='SLOT_RULES'!$D$13,0,INT(($A32-'SLOT_RULES'!$D$13-1)/'SLOT_RULES'!$E$13)+1)*'SLOT_RULES'!$E$13</f>
        <v/>
      </c>
      <c r="O32" s="156">
        <f>'SLOT_RULES'!$D$14+IF($A32&lt;='SLOT_RULES'!$D$14,0,INT(($A32-'SLOT_RULES'!$D$14-1)/'SLOT_RULES'!$E$14)+1)*'SLOT_RULES'!$E$14</f>
        <v/>
      </c>
      <c r="P32" s="156">
        <f>'SLOT_RULES'!$D$15+IF($A32&lt;='SLOT_RULES'!$D$15,0,INT(($A32-'SLOT_RULES'!$D$15-1)/'SLOT_RULES'!$E$15)+1)*'SLOT_RULES'!$E$15</f>
        <v/>
      </c>
      <c r="Q32" s="158">
        <f>MIN(E32:P32)-A32</f>
        <v/>
      </c>
      <c r="R32" s="158">
        <f>MAX(E32:P32)-A32</f>
        <v/>
      </c>
      <c r="S32" s="86">
        <f>IF(AND(COUNT(E32:P32)=10,MIN(E32:P32)&gt;=A32),"PASS","FAIL")</f>
        <v/>
      </c>
      <c r="T32" s="86">
        <f>IF((COUNTIF('LOCAL_REFERENCE'!$D32:$O32,E32)+COUNTIF('LOCAL_REFERENCE'!$D32:$O32,H32)+COUNTIF('LOCAL_REFERENCE'!$D32:$O32,I32)+COUNTIF('LOCAL_REFERENCE'!$D32:$O32,J32)+COUNTIF('LOCAL_REFERENCE'!$D32:$O32,K32)+COUNTIF('LOCAL_REFERENCE'!$D32:$O32,L32)+COUNTIF('LOCAL_REFERENCE'!$D32:$O32,M32)+COUNTIF('LOCAL_REFERENCE'!$D32:$O32,N32)+COUNTIF('LOCAL_REFERENCE'!$D32:$O32,O32)+COUNTIF('LOCAL_REFERENCE'!$D32:$O32,P32))=0,"PASS","FAIL")</f>
        <v/>
      </c>
      <c r="U32" s="86">
        <f>IF((COUNTIF('VPS_REFERENCE'!$D32:$H32,E32)+COUNTIF('VPS_REFERENCE'!$D32:$H32,H32)+COUNTIF('VPS_REFERENCE'!$D32:$H32,I32)+COUNTIF('VPS_REFERENCE'!$D32:$H32,J32)+COUNTIF('VPS_REFERENCE'!$D32:$H32,K32)+COUNTIF('VPS_REFERENCE'!$D32:$H32,L32)+COUNTIF('VPS_REFERENCE'!$D32:$H32,M32)+COUNTIF('VPS_REFERENCE'!$D32:$H32,N32)+COUNTIF('VPS_REFERENCE'!$D32:$H32,O32)+COUNTIF('VPS_REFERENCE'!$D32:$H32,P32))=0,"PASS","FAIL")</f>
        <v/>
      </c>
      <c r="V32" s="86">
        <f>IF(OR(E32=H32,E32=I32,E32=J32,E32=K32,E32=L32,E32=M32,E32=N32,E32=O32,E32=P32,H32=I32,H32=J32,H32=K32,H32=L32,H32=M32,H32=N32,H32=O32,H32=P32,I32=J32,I32=K32,I32=L32,I32=M32,I32=N32,I32=O32,I32=P32,J32=K32,J32=L32,J32=M32,J32=N32,J32=O32,J32=P32,K32=L32,K32=M32,K32=N32,K32=O32,K32=P32,L32=M32,L32=N32,L32=O32,L32=P32,M32=N32,M32=O32,M32=P32,N32=O32,N32=P32,O32=P32),"FAIL","PASS")</f>
        <v/>
      </c>
      <c r="W32" s="87">
        <f>'CRAWL_LOG'!B32</f>
        <v/>
      </c>
      <c r="X32" s="95" t="inlineStr">
        <is>
          <t>10-slot panel: 7 near + 3 far; AN2/AN3 inactive from 03/09</t>
        </is>
      </c>
    </row>
    <row r="33">
      <c r="A33" s="155" t="n">
        <v>46296</v>
      </c>
      <c r="B33" s="83" t="inlineStr">
        <is>
          <t>Thứ Năm</t>
        </is>
      </c>
      <c r="C33" s="83" t="inlineStr">
        <is>
          <t>Official</t>
        </is>
      </c>
      <c r="D33" s="83" t="inlineStr">
        <is>
          <t>00:30</t>
        </is>
      </c>
      <c r="E33" s="156">
        <f>'SLOT_RULES'!$D$4+IF($A33&lt;='SLOT_RULES'!$D$4,0,INT(($A33-'SLOT_RULES'!$D$4-1)/'SLOT_RULES'!$E$4)+1)*'SLOT_RULES'!$E$4</f>
        <v/>
      </c>
      <c r="F33" s="157" t="n"/>
      <c r="G33" s="157" t="n"/>
      <c r="H33" s="156">
        <f>'SLOT_RULES'!$D$7+IF($A33&lt;='SLOT_RULES'!$D$7,0,INT(($A33-'SLOT_RULES'!$D$7-1)/'SLOT_RULES'!$E$7)+1)*'SLOT_RULES'!$E$7</f>
        <v/>
      </c>
      <c r="I33" s="156">
        <f>'SLOT_RULES'!$D$8+IF($A33&lt;='SLOT_RULES'!$D$8,0,INT(($A33-'SLOT_RULES'!$D$8-1)/'SLOT_RULES'!$E$8)+1)*'SLOT_RULES'!$E$8</f>
        <v/>
      </c>
      <c r="J33" s="156">
        <f>'SLOT_RULES'!$D$9+IF($A33&lt;='SLOT_RULES'!$D$9,0,INT(($A33-'SLOT_RULES'!$D$9-1)/'SLOT_RULES'!$E$9)+1)*'SLOT_RULES'!$E$9</f>
        <v/>
      </c>
      <c r="K33" s="156">
        <f>'SLOT_RULES'!$D$10+IF($A33&lt;='SLOT_RULES'!$D$10,0,INT(($A33-'SLOT_RULES'!$D$10-1)/'SLOT_RULES'!$E$10)+1)*'SLOT_RULES'!$E$10</f>
        <v/>
      </c>
      <c r="L33" s="156">
        <f>'SLOT_RULES'!$D$11+IF($A33&lt;='SLOT_RULES'!$D$11,0,INT(($A33-'SLOT_RULES'!$D$11-1)/'SLOT_RULES'!$E$11)+1)*'SLOT_RULES'!$E$11</f>
        <v/>
      </c>
      <c r="M33" s="156">
        <f>'SLOT_RULES'!$D$12+IF($A33&lt;='SLOT_RULES'!$D$12,0,INT(($A33-'SLOT_RULES'!$D$12-1)/'SLOT_RULES'!$E$12)+1)*'SLOT_RULES'!$E$12</f>
        <v/>
      </c>
      <c r="N33" s="156">
        <f>'SLOT_RULES'!$D$13+IF($A33&lt;='SLOT_RULES'!$D$13,0,INT(($A33-'SLOT_RULES'!$D$13-1)/'SLOT_RULES'!$E$13)+1)*'SLOT_RULES'!$E$13</f>
        <v/>
      </c>
      <c r="O33" s="156">
        <f>'SLOT_RULES'!$D$14+IF($A33&lt;='SLOT_RULES'!$D$14,0,INT(($A33-'SLOT_RULES'!$D$14-1)/'SLOT_RULES'!$E$14)+1)*'SLOT_RULES'!$E$14</f>
        <v/>
      </c>
      <c r="P33" s="156">
        <f>'SLOT_RULES'!$D$15+IF($A33&lt;='SLOT_RULES'!$D$15,0,INT(($A33-'SLOT_RULES'!$D$15-1)/'SLOT_RULES'!$E$15)+1)*'SLOT_RULES'!$E$15</f>
        <v/>
      </c>
      <c r="Q33" s="158">
        <f>MIN(E33:P33)-A33</f>
        <v/>
      </c>
      <c r="R33" s="158">
        <f>MAX(E33:P33)-A33</f>
        <v/>
      </c>
      <c r="S33" s="86">
        <f>IF(AND(COUNT(E33:P33)=10,MIN(E33:P33)&gt;=A33),"PASS","FAIL")</f>
        <v/>
      </c>
      <c r="T33" s="86">
        <f>IF((COUNTIF('LOCAL_REFERENCE'!$D33:$O33,E33)+COUNTIF('LOCAL_REFERENCE'!$D33:$O33,H33)+COUNTIF('LOCAL_REFERENCE'!$D33:$O33,I33)+COUNTIF('LOCAL_REFERENCE'!$D33:$O33,J33)+COUNTIF('LOCAL_REFERENCE'!$D33:$O33,K33)+COUNTIF('LOCAL_REFERENCE'!$D33:$O33,L33)+COUNTIF('LOCAL_REFERENCE'!$D33:$O33,M33)+COUNTIF('LOCAL_REFERENCE'!$D33:$O33,N33)+COUNTIF('LOCAL_REFERENCE'!$D33:$O33,O33)+COUNTIF('LOCAL_REFERENCE'!$D33:$O33,P33))=0,"PASS","FAIL")</f>
        <v/>
      </c>
      <c r="U33" s="86">
        <f>IF((COUNTIF('VPS_REFERENCE'!$D33:$H33,E33)+COUNTIF('VPS_REFERENCE'!$D33:$H33,H33)+COUNTIF('VPS_REFERENCE'!$D33:$H33,I33)+COUNTIF('VPS_REFERENCE'!$D33:$H33,J33)+COUNTIF('VPS_REFERENCE'!$D33:$H33,K33)+COUNTIF('VPS_REFERENCE'!$D33:$H33,L33)+COUNTIF('VPS_REFERENCE'!$D33:$H33,M33)+COUNTIF('VPS_REFERENCE'!$D33:$H33,N33)+COUNTIF('VPS_REFERENCE'!$D33:$H33,O33)+COUNTIF('VPS_REFERENCE'!$D33:$H33,P33))=0,"PASS","FAIL")</f>
        <v/>
      </c>
      <c r="V33" s="86">
        <f>IF(OR(E33=H33,E33=I33,E33=J33,E33=K33,E33=L33,E33=M33,E33=N33,E33=O33,E33=P33,H33=I33,H33=J33,H33=K33,H33=L33,H33=M33,H33=N33,H33=O33,H33=P33,I33=J33,I33=K33,I33=L33,I33=M33,I33=N33,I33=O33,I33=P33,J33=K33,J33=L33,J33=M33,J33=N33,J33=O33,J33=P33,K33=L33,K33=M33,K33=N33,K33=O33,K33=P33,L33=M33,L33=N33,L33=O33,L33=P33,M33=N33,M33=O33,M33=P33,N33=O33,N33=P33,O33=P33),"FAIL","PASS")</f>
        <v/>
      </c>
      <c r="W33" s="87">
        <f>'CRAWL_LOG'!B33</f>
        <v/>
      </c>
      <c r="X33" s="95" t="inlineStr">
        <is>
          <t>10-slot panel: 7 near + 3 far; AN2/AN3 inactive from 03/09</t>
        </is>
      </c>
    </row>
    <row r="34">
      <c r="A34" s="155" t="n">
        <v>46297</v>
      </c>
      <c r="B34" s="83" t="inlineStr">
        <is>
          <t>Thứ Sáu</t>
        </is>
      </c>
      <c r="C34" s="83" t="inlineStr">
        <is>
          <t>Official</t>
        </is>
      </c>
      <c r="D34" s="83" t="inlineStr">
        <is>
          <t>00:30</t>
        </is>
      </c>
      <c r="E34" s="156">
        <f>'SLOT_RULES'!$D$4+IF($A34&lt;='SLOT_RULES'!$D$4,0,INT(($A34-'SLOT_RULES'!$D$4-1)/'SLOT_RULES'!$E$4)+1)*'SLOT_RULES'!$E$4</f>
        <v/>
      </c>
      <c r="F34" s="157" t="n"/>
      <c r="G34" s="157" t="n"/>
      <c r="H34" s="156">
        <f>'SLOT_RULES'!$D$7+IF($A34&lt;='SLOT_RULES'!$D$7,0,INT(($A34-'SLOT_RULES'!$D$7-1)/'SLOT_RULES'!$E$7)+1)*'SLOT_RULES'!$E$7</f>
        <v/>
      </c>
      <c r="I34" s="156">
        <f>'SLOT_RULES'!$D$8+IF($A34&lt;='SLOT_RULES'!$D$8,0,INT(($A34-'SLOT_RULES'!$D$8-1)/'SLOT_RULES'!$E$8)+1)*'SLOT_RULES'!$E$8</f>
        <v/>
      </c>
      <c r="J34" s="156">
        <f>'SLOT_RULES'!$D$9+IF($A34&lt;='SLOT_RULES'!$D$9,0,INT(($A34-'SLOT_RULES'!$D$9-1)/'SLOT_RULES'!$E$9)+1)*'SLOT_RULES'!$E$9</f>
        <v/>
      </c>
      <c r="K34" s="156">
        <f>'SLOT_RULES'!$D$10+IF($A34&lt;='SLOT_RULES'!$D$10,0,INT(($A34-'SLOT_RULES'!$D$10-1)/'SLOT_RULES'!$E$10)+1)*'SLOT_RULES'!$E$10</f>
        <v/>
      </c>
      <c r="L34" s="156">
        <f>'SLOT_RULES'!$D$11+IF($A34&lt;='SLOT_RULES'!$D$11,0,INT(($A34-'SLOT_RULES'!$D$11-1)/'SLOT_RULES'!$E$11)+1)*'SLOT_RULES'!$E$11</f>
        <v/>
      </c>
      <c r="M34" s="156">
        <f>'SLOT_RULES'!$D$12+IF($A34&lt;='SLOT_RULES'!$D$12,0,INT(($A34-'SLOT_RULES'!$D$12-1)/'SLOT_RULES'!$E$12)+1)*'SLOT_RULES'!$E$12</f>
        <v/>
      </c>
      <c r="N34" s="156">
        <f>'SLOT_RULES'!$D$13+IF($A34&lt;='SLOT_RULES'!$D$13,0,INT(($A34-'SLOT_RULES'!$D$13-1)/'SLOT_RULES'!$E$13)+1)*'SLOT_RULES'!$E$13</f>
        <v/>
      </c>
      <c r="O34" s="156">
        <f>'SLOT_RULES'!$D$14+IF($A34&lt;='SLOT_RULES'!$D$14,0,INT(($A34-'SLOT_RULES'!$D$14-1)/'SLOT_RULES'!$E$14)+1)*'SLOT_RULES'!$E$14</f>
        <v/>
      </c>
      <c r="P34" s="156">
        <f>'SLOT_RULES'!$D$15+IF($A34&lt;='SLOT_RULES'!$D$15,0,INT(($A34-'SLOT_RULES'!$D$15-1)/'SLOT_RULES'!$E$15)+1)*'SLOT_RULES'!$E$15</f>
        <v/>
      </c>
      <c r="Q34" s="158">
        <f>MIN(E34:P34)-A34</f>
        <v/>
      </c>
      <c r="R34" s="158">
        <f>MAX(E34:P34)-A34</f>
        <v/>
      </c>
      <c r="S34" s="86">
        <f>IF(AND(COUNT(E34:P34)=10,MIN(E34:P34)&gt;=A34),"PASS","FAIL")</f>
        <v/>
      </c>
      <c r="T34" s="86">
        <f>IF((COUNTIF('LOCAL_REFERENCE'!$D34:$O34,E34)+COUNTIF('LOCAL_REFERENCE'!$D34:$O34,H34)+COUNTIF('LOCAL_REFERENCE'!$D34:$O34,I34)+COUNTIF('LOCAL_REFERENCE'!$D34:$O34,J34)+COUNTIF('LOCAL_REFERENCE'!$D34:$O34,K34)+COUNTIF('LOCAL_REFERENCE'!$D34:$O34,L34)+COUNTIF('LOCAL_REFERENCE'!$D34:$O34,M34)+COUNTIF('LOCAL_REFERENCE'!$D34:$O34,N34)+COUNTIF('LOCAL_REFERENCE'!$D34:$O34,O34)+COUNTIF('LOCAL_REFERENCE'!$D34:$O34,P34))=0,"PASS","FAIL")</f>
        <v/>
      </c>
      <c r="U34" s="86">
        <f>IF((COUNTIF('VPS_REFERENCE'!$D34:$H34,E34)+COUNTIF('VPS_REFERENCE'!$D34:$H34,H34)+COUNTIF('VPS_REFERENCE'!$D34:$H34,I34)+COUNTIF('VPS_REFERENCE'!$D34:$H34,J34)+COUNTIF('VPS_REFERENCE'!$D34:$H34,K34)+COUNTIF('VPS_REFERENCE'!$D34:$H34,L34)+COUNTIF('VPS_REFERENCE'!$D34:$H34,M34)+COUNTIF('VPS_REFERENCE'!$D34:$H34,N34)+COUNTIF('VPS_REFERENCE'!$D34:$H34,O34)+COUNTIF('VPS_REFERENCE'!$D34:$H34,P34))=0,"PASS","FAIL")</f>
        <v/>
      </c>
      <c r="V34" s="86">
        <f>IF(OR(E34=H34,E34=I34,E34=J34,E34=K34,E34=L34,E34=M34,E34=N34,E34=O34,E34=P34,H34=I34,H34=J34,H34=K34,H34=L34,H34=M34,H34=N34,H34=O34,H34=P34,I34=J34,I34=K34,I34=L34,I34=M34,I34=N34,I34=O34,I34=P34,J34=K34,J34=L34,J34=M34,J34=N34,J34=O34,J34=P34,K34=L34,K34=M34,K34=N34,K34=O34,K34=P34,L34=M34,L34=N34,L34=O34,L34=P34,M34=N34,M34=O34,M34=P34,N34=O34,N34=P34,O34=P34),"FAIL","PASS")</f>
        <v/>
      </c>
      <c r="W34" s="87">
        <f>'CRAWL_LOG'!B34</f>
        <v/>
      </c>
      <c r="X34" s="95" t="inlineStr">
        <is>
          <t>10-slot panel: 7 near + 3 far; AN2/AN3 inactive from 03/09</t>
        </is>
      </c>
    </row>
    <row r="35">
      <c r="A35" s="155" t="n">
        <v>46298</v>
      </c>
      <c r="B35" s="83" t="inlineStr">
        <is>
          <t>Thứ Bảy</t>
        </is>
      </c>
      <c r="C35" s="83" t="inlineStr">
        <is>
          <t>Official</t>
        </is>
      </c>
      <c r="D35" s="83" t="inlineStr">
        <is>
          <t>00:30</t>
        </is>
      </c>
      <c r="E35" s="156">
        <f>'SLOT_RULES'!$D$4+IF($A35&lt;='SLOT_RULES'!$D$4,0,INT(($A35-'SLOT_RULES'!$D$4-1)/'SLOT_RULES'!$E$4)+1)*'SLOT_RULES'!$E$4</f>
        <v/>
      </c>
      <c r="F35" s="157" t="n"/>
      <c r="G35" s="157" t="n"/>
      <c r="H35" s="156">
        <f>'SLOT_RULES'!$D$7+IF($A35&lt;='SLOT_RULES'!$D$7,0,INT(($A35-'SLOT_RULES'!$D$7-1)/'SLOT_RULES'!$E$7)+1)*'SLOT_RULES'!$E$7</f>
        <v/>
      </c>
      <c r="I35" s="156">
        <f>'SLOT_RULES'!$D$8+IF($A35&lt;='SLOT_RULES'!$D$8,0,INT(($A35-'SLOT_RULES'!$D$8-1)/'SLOT_RULES'!$E$8)+1)*'SLOT_RULES'!$E$8</f>
        <v/>
      </c>
      <c r="J35" s="156">
        <f>'SLOT_RULES'!$D$9+IF($A35&lt;='SLOT_RULES'!$D$9,0,INT(($A35-'SLOT_RULES'!$D$9-1)/'SLOT_RULES'!$E$9)+1)*'SLOT_RULES'!$E$9</f>
        <v/>
      </c>
      <c r="K35" s="156">
        <f>'SLOT_RULES'!$D$10+IF($A35&lt;='SLOT_RULES'!$D$10,0,INT(($A35-'SLOT_RULES'!$D$10-1)/'SLOT_RULES'!$E$10)+1)*'SLOT_RULES'!$E$10</f>
        <v/>
      </c>
      <c r="L35" s="156">
        <f>'SLOT_RULES'!$D$11+IF($A35&lt;='SLOT_RULES'!$D$11,0,INT(($A35-'SLOT_RULES'!$D$11-1)/'SLOT_RULES'!$E$11)+1)*'SLOT_RULES'!$E$11</f>
        <v/>
      </c>
      <c r="M35" s="156">
        <f>'SLOT_RULES'!$D$12+IF($A35&lt;='SLOT_RULES'!$D$12,0,INT(($A35-'SLOT_RULES'!$D$12-1)/'SLOT_RULES'!$E$12)+1)*'SLOT_RULES'!$E$12</f>
        <v/>
      </c>
      <c r="N35" s="156">
        <f>'SLOT_RULES'!$D$13+IF($A35&lt;='SLOT_RULES'!$D$13,0,INT(($A35-'SLOT_RULES'!$D$13-1)/'SLOT_RULES'!$E$13)+1)*'SLOT_RULES'!$E$13</f>
        <v/>
      </c>
      <c r="O35" s="156">
        <f>'SLOT_RULES'!$D$14+IF($A35&lt;='SLOT_RULES'!$D$14,0,INT(($A35-'SLOT_RULES'!$D$14-1)/'SLOT_RULES'!$E$14)+1)*'SLOT_RULES'!$E$14</f>
        <v/>
      </c>
      <c r="P35" s="156">
        <f>'SLOT_RULES'!$D$15+IF($A35&lt;='SLOT_RULES'!$D$15,0,INT(($A35-'SLOT_RULES'!$D$15-1)/'SLOT_RULES'!$E$15)+1)*'SLOT_RULES'!$E$15</f>
        <v/>
      </c>
      <c r="Q35" s="158">
        <f>MIN(E35:P35)-A35</f>
        <v/>
      </c>
      <c r="R35" s="158">
        <f>MAX(E35:P35)-A35</f>
        <v/>
      </c>
      <c r="S35" s="86">
        <f>IF(AND(COUNT(E35:P35)=10,MIN(E35:P35)&gt;=A35),"PASS","FAIL")</f>
        <v/>
      </c>
      <c r="T35" s="86">
        <f>IF((COUNTIF('LOCAL_REFERENCE'!$D35:$O35,E35)+COUNTIF('LOCAL_REFERENCE'!$D35:$O35,H35)+COUNTIF('LOCAL_REFERENCE'!$D35:$O35,I35)+COUNTIF('LOCAL_REFERENCE'!$D35:$O35,J35)+COUNTIF('LOCAL_REFERENCE'!$D35:$O35,K35)+COUNTIF('LOCAL_REFERENCE'!$D35:$O35,L35)+COUNTIF('LOCAL_REFERENCE'!$D35:$O35,M35)+COUNTIF('LOCAL_REFERENCE'!$D35:$O35,N35)+COUNTIF('LOCAL_REFERENCE'!$D35:$O35,O35)+COUNTIF('LOCAL_REFERENCE'!$D35:$O35,P35))=0,"PASS","FAIL")</f>
        <v/>
      </c>
      <c r="U35" s="86">
        <f>IF((COUNTIF('VPS_REFERENCE'!$D35:$H35,E35)+COUNTIF('VPS_REFERENCE'!$D35:$H35,H35)+COUNTIF('VPS_REFERENCE'!$D35:$H35,I35)+COUNTIF('VPS_REFERENCE'!$D35:$H35,J35)+COUNTIF('VPS_REFERENCE'!$D35:$H35,K35)+COUNTIF('VPS_REFERENCE'!$D35:$H35,L35)+COUNTIF('VPS_REFERENCE'!$D35:$H35,M35)+COUNTIF('VPS_REFERENCE'!$D35:$H35,N35)+COUNTIF('VPS_REFERENCE'!$D35:$H35,O35)+COUNTIF('VPS_REFERENCE'!$D35:$H35,P35))=0,"PASS","FAIL")</f>
        <v/>
      </c>
      <c r="V35" s="86">
        <f>IF(OR(E35=H35,E35=I35,E35=J35,E35=K35,E35=L35,E35=M35,E35=N35,E35=O35,E35=P35,H35=I35,H35=J35,H35=K35,H35=L35,H35=M35,H35=N35,H35=O35,H35=P35,I35=J35,I35=K35,I35=L35,I35=M35,I35=N35,I35=O35,I35=P35,J35=K35,J35=L35,J35=M35,J35=N35,J35=O35,J35=P35,K35=L35,K35=M35,K35=N35,K35=O35,K35=P35,L35=M35,L35=N35,L35=O35,L35=P35,M35=N35,M35=O35,M35=P35,N35=O35,N35=P35,O35=P35),"FAIL","PASS")</f>
        <v/>
      </c>
      <c r="W35" s="87">
        <f>'CRAWL_LOG'!B35</f>
        <v/>
      </c>
      <c r="X35" s="95" t="inlineStr">
        <is>
          <t>10-slot panel: 7 near + 3 far; AN2/AN3 inactive from 03/09</t>
        </is>
      </c>
    </row>
    <row r="36">
      <c r="A36" s="155" t="n">
        <v>46299</v>
      </c>
      <c r="B36" s="83" t="inlineStr">
        <is>
          <t>Chủ Nhật</t>
        </is>
      </c>
      <c r="C36" s="83" t="inlineStr">
        <is>
          <t>Official</t>
        </is>
      </c>
      <c r="D36" s="83" t="inlineStr">
        <is>
          <t>00:30</t>
        </is>
      </c>
      <c r="E36" s="156">
        <f>'SLOT_RULES'!$D$4+IF($A36&lt;='SLOT_RULES'!$D$4,0,INT(($A36-'SLOT_RULES'!$D$4-1)/'SLOT_RULES'!$E$4)+1)*'SLOT_RULES'!$E$4</f>
        <v/>
      </c>
      <c r="F36" s="157" t="n"/>
      <c r="G36" s="157" t="n"/>
      <c r="H36" s="156">
        <f>'SLOT_RULES'!$D$7+IF($A36&lt;='SLOT_RULES'!$D$7,0,INT(($A36-'SLOT_RULES'!$D$7-1)/'SLOT_RULES'!$E$7)+1)*'SLOT_RULES'!$E$7</f>
        <v/>
      </c>
      <c r="I36" s="156">
        <f>'SLOT_RULES'!$D$8+IF($A36&lt;='SLOT_RULES'!$D$8,0,INT(($A36-'SLOT_RULES'!$D$8-1)/'SLOT_RULES'!$E$8)+1)*'SLOT_RULES'!$E$8</f>
        <v/>
      </c>
      <c r="J36" s="156">
        <f>'SLOT_RULES'!$D$9+IF($A36&lt;='SLOT_RULES'!$D$9,0,INT(($A36-'SLOT_RULES'!$D$9-1)/'SLOT_RULES'!$E$9)+1)*'SLOT_RULES'!$E$9</f>
        <v/>
      </c>
      <c r="K36" s="156">
        <f>'SLOT_RULES'!$D$10+IF($A36&lt;='SLOT_RULES'!$D$10,0,INT(($A36-'SLOT_RULES'!$D$10-1)/'SLOT_RULES'!$E$10)+1)*'SLOT_RULES'!$E$10</f>
        <v/>
      </c>
      <c r="L36" s="156">
        <f>'SLOT_RULES'!$D$11+IF($A36&lt;='SLOT_RULES'!$D$11,0,INT(($A36-'SLOT_RULES'!$D$11-1)/'SLOT_RULES'!$E$11)+1)*'SLOT_RULES'!$E$11</f>
        <v/>
      </c>
      <c r="M36" s="156">
        <f>'SLOT_RULES'!$D$12+IF($A36&lt;='SLOT_RULES'!$D$12,0,INT(($A36-'SLOT_RULES'!$D$12-1)/'SLOT_RULES'!$E$12)+1)*'SLOT_RULES'!$E$12</f>
        <v/>
      </c>
      <c r="N36" s="156">
        <f>'SLOT_RULES'!$D$13+IF($A36&lt;='SLOT_RULES'!$D$13,0,INT(($A36-'SLOT_RULES'!$D$13-1)/'SLOT_RULES'!$E$13)+1)*'SLOT_RULES'!$E$13</f>
        <v/>
      </c>
      <c r="O36" s="156">
        <f>'SLOT_RULES'!$D$14+IF($A36&lt;='SLOT_RULES'!$D$14,0,INT(($A36-'SLOT_RULES'!$D$14-1)/'SLOT_RULES'!$E$14)+1)*'SLOT_RULES'!$E$14</f>
        <v/>
      </c>
      <c r="P36" s="156">
        <f>'SLOT_RULES'!$D$15+IF($A36&lt;='SLOT_RULES'!$D$15,0,INT(($A36-'SLOT_RULES'!$D$15-1)/'SLOT_RULES'!$E$15)+1)*'SLOT_RULES'!$E$15</f>
        <v/>
      </c>
      <c r="Q36" s="158">
        <f>MIN(E36:P36)-A36</f>
        <v/>
      </c>
      <c r="R36" s="158">
        <f>MAX(E36:P36)-A36</f>
        <v/>
      </c>
      <c r="S36" s="86">
        <f>IF(AND(COUNT(E36:P36)=10,MIN(E36:P36)&gt;=A36),"PASS","FAIL")</f>
        <v/>
      </c>
      <c r="T36" s="86">
        <f>IF((COUNTIF('LOCAL_REFERENCE'!$D36:$O36,E36)+COUNTIF('LOCAL_REFERENCE'!$D36:$O36,H36)+COUNTIF('LOCAL_REFERENCE'!$D36:$O36,I36)+COUNTIF('LOCAL_REFERENCE'!$D36:$O36,J36)+COUNTIF('LOCAL_REFERENCE'!$D36:$O36,K36)+COUNTIF('LOCAL_REFERENCE'!$D36:$O36,L36)+COUNTIF('LOCAL_REFERENCE'!$D36:$O36,M36)+COUNTIF('LOCAL_REFERENCE'!$D36:$O36,N36)+COUNTIF('LOCAL_REFERENCE'!$D36:$O36,O36)+COUNTIF('LOCAL_REFERENCE'!$D36:$O36,P36))=0,"PASS","FAIL")</f>
        <v/>
      </c>
      <c r="U36" s="86">
        <f>IF((COUNTIF('VPS_REFERENCE'!$D36:$H36,E36)+COUNTIF('VPS_REFERENCE'!$D36:$H36,H36)+COUNTIF('VPS_REFERENCE'!$D36:$H36,I36)+COUNTIF('VPS_REFERENCE'!$D36:$H36,J36)+COUNTIF('VPS_REFERENCE'!$D36:$H36,K36)+COUNTIF('VPS_REFERENCE'!$D36:$H36,L36)+COUNTIF('VPS_REFERENCE'!$D36:$H36,M36)+COUNTIF('VPS_REFERENCE'!$D36:$H36,N36)+COUNTIF('VPS_REFERENCE'!$D36:$H36,O36)+COUNTIF('VPS_REFERENCE'!$D36:$H36,P36))=0,"PASS","FAIL")</f>
        <v/>
      </c>
      <c r="V36" s="86">
        <f>IF(OR(E36=H36,E36=I36,E36=J36,E36=K36,E36=L36,E36=M36,E36=N36,E36=O36,E36=P36,H36=I36,H36=J36,H36=K36,H36=L36,H36=M36,H36=N36,H36=O36,H36=P36,I36=J36,I36=K36,I36=L36,I36=M36,I36=N36,I36=O36,I36=P36,J36=K36,J36=L36,J36=M36,J36=N36,J36=O36,J36=P36,K36=L36,K36=M36,K36=N36,K36=O36,K36=P36,L36=M36,L36=N36,L36=O36,L36=P36,M36=N36,M36=O36,M36=P36,N36=O36,N36=P36,O36=P36),"FAIL","PASS")</f>
        <v/>
      </c>
      <c r="W36" s="87">
        <f>'CRAWL_LOG'!B36</f>
        <v/>
      </c>
      <c r="X36" s="95" t="inlineStr">
        <is>
          <t>10-slot panel: 7 near + 3 far; AN2/AN3 inactive from 03/09</t>
        </is>
      </c>
    </row>
    <row r="37">
      <c r="A37" s="155" t="n">
        <v>46300</v>
      </c>
      <c r="B37" s="83" t="inlineStr">
        <is>
          <t>Thứ Hai</t>
        </is>
      </c>
      <c r="C37" s="83" t="inlineStr">
        <is>
          <t>Official</t>
        </is>
      </c>
      <c r="D37" s="83" t="inlineStr">
        <is>
          <t>00:30</t>
        </is>
      </c>
      <c r="E37" s="156">
        <f>'SLOT_RULES'!$D$4+IF($A37&lt;='SLOT_RULES'!$D$4,0,INT(($A37-'SLOT_RULES'!$D$4-1)/'SLOT_RULES'!$E$4)+1)*'SLOT_RULES'!$E$4</f>
        <v/>
      </c>
      <c r="F37" s="157" t="n"/>
      <c r="G37" s="157" t="n"/>
      <c r="H37" s="156">
        <f>'SLOT_RULES'!$D$7+IF($A37&lt;='SLOT_RULES'!$D$7,0,INT(($A37-'SLOT_RULES'!$D$7-1)/'SLOT_RULES'!$E$7)+1)*'SLOT_RULES'!$E$7</f>
        <v/>
      </c>
      <c r="I37" s="156">
        <f>'SLOT_RULES'!$D$8+IF($A37&lt;='SLOT_RULES'!$D$8,0,INT(($A37-'SLOT_RULES'!$D$8-1)/'SLOT_RULES'!$E$8)+1)*'SLOT_RULES'!$E$8</f>
        <v/>
      </c>
      <c r="J37" s="156">
        <f>'SLOT_RULES'!$D$9+IF($A37&lt;='SLOT_RULES'!$D$9,0,INT(($A37-'SLOT_RULES'!$D$9-1)/'SLOT_RULES'!$E$9)+1)*'SLOT_RULES'!$E$9</f>
        <v/>
      </c>
      <c r="K37" s="156">
        <f>'SLOT_RULES'!$D$10+IF($A37&lt;='SLOT_RULES'!$D$10,0,INT(($A37-'SLOT_RULES'!$D$10-1)/'SLOT_RULES'!$E$10)+1)*'SLOT_RULES'!$E$10</f>
        <v/>
      </c>
      <c r="L37" s="156">
        <f>'SLOT_RULES'!$D$11+IF($A37&lt;='SLOT_RULES'!$D$11,0,INT(($A37-'SLOT_RULES'!$D$11-1)/'SLOT_RULES'!$E$11)+1)*'SLOT_RULES'!$E$11</f>
        <v/>
      </c>
      <c r="M37" s="156">
        <f>'SLOT_RULES'!$D$12+IF($A37&lt;='SLOT_RULES'!$D$12,0,INT(($A37-'SLOT_RULES'!$D$12-1)/'SLOT_RULES'!$E$12)+1)*'SLOT_RULES'!$E$12</f>
        <v/>
      </c>
      <c r="N37" s="156">
        <f>'SLOT_RULES'!$D$13+IF($A37&lt;='SLOT_RULES'!$D$13,0,INT(($A37-'SLOT_RULES'!$D$13-1)/'SLOT_RULES'!$E$13)+1)*'SLOT_RULES'!$E$13</f>
        <v/>
      </c>
      <c r="O37" s="156">
        <f>'SLOT_RULES'!$D$14+IF($A37&lt;='SLOT_RULES'!$D$14,0,INT(($A37-'SLOT_RULES'!$D$14-1)/'SLOT_RULES'!$E$14)+1)*'SLOT_RULES'!$E$14</f>
        <v/>
      </c>
      <c r="P37" s="156">
        <f>'SLOT_RULES'!$D$15+IF($A37&lt;='SLOT_RULES'!$D$15,0,INT(($A37-'SLOT_RULES'!$D$15-1)/'SLOT_RULES'!$E$15)+1)*'SLOT_RULES'!$E$15</f>
        <v/>
      </c>
      <c r="Q37" s="158">
        <f>MIN(E37:P37)-A37</f>
        <v/>
      </c>
      <c r="R37" s="158">
        <f>MAX(E37:P37)-A37</f>
        <v/>
      </c>
      <c r="S37" s="86">
        <f>IF(AND(COUNT(E37:P37)=10,MIN(E37:P37)&gt;=A37),"PASS","FAIL")</f>
        <v/>
      </c>
      <c r="T37" s="86">
        <f>IF((COUNTIF('LOCAL_REFERENCE'!$D37:$O37,E37)+COUNTIF('LOCAL_REFERENCE'!$D37:$O37,H37)+COUNTIF('LOCAL_REFERENCE'!$D37:$O37,I37)+COUNTIF('LOCAL_REFERENCE'!$D37:$O37,J37)+COUNTIF('LOCAL_REFERENCE'!$D37:$O37,K37)+COUNTIF('LOCAL_REFERENCE'!$D37:$O37,L37)+COUNTIF('LOCAL_REFERENCE'!$D37:$O37,M37)+COUNTIF('LOCAL_REFERENCE'!$D37:$O37,N37)+COUNTIF('LOCAL_REFERENCE'!$D37:$O37,O37)+COUNTIF('LOCAL_REFERENCE'!$D37:$O37,P37))=0,"PASS","FAIL")</f>
        <v/>
      </c>
      <c r="U37" s="86">
        <f>IF((COUNTIF('VPS_REFERENCE'!$D37:$H37,E37)+COUNTIF('VPS_REFERENCE'!$D37:$H37,H37)+COUNTIF('VPS_REFERENCE'!$D37:$H37,I37)+COUNTIF('VPS_REFERENCE'!$D37:$H37,J37)+COUNTIF('VPS_REFERENCE'!$D37:$H37,K37)+COUNTIF('VPS_REFERENCE'!$D37:$H37,L37)+COUNTIF('VPS_REFERENCE'!$D37:$H37,M37)+COUNTIF('VPS_REFERENCE'!$D37:$H37,N37)+COUNTIF('VPS_REFERENCE'!$D37:$H37,O37)+COUNTIF('VPS_REFERENCE'!$D37:$H37,P37))=0,"PASS","FAIL")</f>
        <v/>
      </c>
      <c r="V37" s="86">
        <f>IF(OR(E37=H37,E37=I37,E37=J37,E37=K37,E37=L37,E37=M37,E37=N37,E37=O37,E37=P37,H37=I37,H37=J37,H37=K37,H37=L37,H37=M37,H37=N37,H37=O37,H37=P37,I37=J37,I37=K37,I37=L37,I37=M37,I37=N37,I37=O37,I37=P37,J37=K37,J37=L37,J37=M37,J37=N37,J37=O37,J37=P37,K37=L37,K37=M37,K37=N37,K37=O37,K37=P37,L37=M37,L37=N37,L37=O37,L37=P37,M37=N37,M37=O37,M37=P37,N37=O37,N37=P37,O37=P37),"FAIL","PASS")</f>
        <v/>
      </c>
      <c r="W37" s="87">
        <f>'CRAWL_LOG'!B37</f>
        <v/>
      </c>
      <c r="X37" s="95" t="inlineStr">
        <is>
          <t>10-slot panel: 7 near + 3 far; AN2/AN3 inactive from 03/09</t>
        </is>
      </c>
    </row>
    <row r="38">
      <c r="A38" s="155" t="n">
        <v>46301</v>
      </c>
      <c r="B38" s="83" t="inlineStr">
        <is>
          <t>Thứ Ba</t>
        </is>
      </c>
      <c r="C38" s="83" t="inlineStr">
        <is>
          <t>Official</t>
        </is>
      </c>
      <c r="D38" s="83" t="inlineStr">
        <is>
          <t>00:30</t>
        </is>
      </c>
      <c r="E38" s="156">
        <f>'SLOT_RULES'!$D$4+IF($A38&lt;='SLOT_RULES'!$D$4,0,INT(($A38-'SLOT_RULES'!$D$4-1)/'SLOT_RULES'!$E$4)+1)*'SLOT_RULES'!$E$4</f>
        <v/>
      </c>
      <c r="F38" s="157" t="n"/>
      <c r="G38" s="157" t="n"/>
      <c r="H38" s="156">
        <f>'SLOT_RULES'!$D$7+IF($A38&lt;='SLOT_RULES'!$D$7,0,INT(($A38-'SLOT_RULES'!$D$7-1)/'SLOT_RULES'!$E$7)+1)*'SLOT_RULES'!$E$7</f>
        <v/>
      </c>
      <c r="I38" s="156">
        <f>'SLOT_RULES'!$D$8+IF($A38&lt;='SLOT_RULES'!$D$8,0,INT(($A38-'SLOT_RULES'!$D$8-1)/'SLOT_RULES'!$E$8)+1)*'SLOT_RULES'!$E$8</f>
        <v/>
      </c>
      <c r="J38" s="156">
        <f>'SLOT_RULES'!$D$9+IF($A38&lt;='SLOT_RULES'!$D$9,0,INT(($A38-'SLOT_RULES'!$D$9-1)/'SLOT_RULES'!$E$9)+1)*'SLOT_RULES'!$E$9</f>
        <v/>
      </c>
      <c r="K38" s="156">
        <f>'SLOT_RULES'!$D$10+IF($A38&lt;='SLOT_RULES'!$D$10,0,INT(($A38-'SLOT_RULES'!$D$10-1)/'SLOT_RULES'!$E$10)+1)*'SLOT_RULES'!$E$10</f>
        <v/>
      </c>
      <c r="L38" s="156">
        <f>'SLOT_RULES'!$D$11+IF($A38&lt;='SLOT_RULES'!$D$11,0,INT(($A38-'SLOT_RULES'!$D$11-1)/'SLOT_RULES'!$E$11)+1)*'SLOT_RULES'!$E$11</f>
        <v/>
      </c>
      <c r="M38" s="156">
        <f>'SLOT_RULES'!$D$12+IF($A38&lt;='SLOT_RULES'!$D$12,0,INT(($A38-'SLOT_RULES'!$D$12-1)/'SLOT_RULES'!$E$12)+1)*'SLOT_RULES'!$E$12</f>
        <v/>
      </c>
      <c r="N38" s="156">
        <f>'SLOT_RULES'!$D$13+IF($A38&lt;='SLOT_RULES'!$D$13,0,INT(($A38-'SLOT_RULES'!$D$13-1)/'SLOT_RULES'!$E$13)+1)*'SLOT_RULES'!$E$13</f>
        <v/>
      </c>
      <c r="O38" s="156">
        <f>'SLOT_RULES'!$D$14+IF($A38&lt;='SLOT_RULES'!$D$14,0,INT(($A38-'SLOT_RULES'!$D$14-1)/'SLOT_RULES'!$E$14)+1)*'SLOT_RULES'!$E$14</f>
        <v/>
      </c>
      <c r="P38" s="156">
        <f>'SLOT_RULES'!$D$15+IF($A38&lt;='SLOT_RULES'!$D$15,0,INT(($A38-'SLOT_RULES'!$D$15-1)/'SLOT_RULES'!$E$15)+1)*'SLOT_RULES'!$E$15</f>
        <v/>
      </c>
      <c r="Q38" s="158">
        <f>MIN(E38:P38)-A38</f>
        <v/>
      </c>
      <c r="R38" s="158">
        <f>MAX(E38:P38)-A38</f>
        <v/>
      </c>
      <c r="S38" s="86">
        <f>IF(AND(COUNT(E38:P38)=10,MIN(E38:P38)&gt;=A38),"PASS","FAIL")</f>
        <v/>
      </c>
      <c r="T38" s="86">
        <f>IF((COUNTIF('LOCAL_REFERENCE'!$D38:$O38,E38)+COUNTIF('LOCAL_REFERENCE'!$D38:$O38,H38)+COUNTIF('LOCAL_REFERENCE'!$D38:$O38,I38)+COUNTIF('LOCAL_REFERENCE'!$D38:$O38,J38)+COUNTIF('LOCAL_REFERENCE'!$D38:$O38,K38)+COUNTIF('LOCAL_REFERENCE'!$D38:$O38,L38)+COUNTIF('LOCAL_REFERENCE'!$D38:$O38,M38)+COUNTIF('LOCAL_REFERENCE'!$D38:$O38,N38)+COUNTIF('LOCAL_REFERENCE'!$D38:$O38,O38)+COUNTIF('LOCAL_REFERENCE'!$D38:$O38,P38))=0,"PASS","FAIL")</f>
        <v/>
      </c>
      <c r="U38" s="86">
        <f>IF((COUNTIF('VPS_REFERENCE'!$D38:$H38,E38)+COUNTIF('VPS_REFERENCE'!$D38:$H38,H38)+COUNTIF('VPS_REFERENCE'!$D38:$H38,I38)+COUNTIF('VPS_REFERENCE'!$D38:$H38,J38)+COUNTIF('VPS_REFERENCE'!$D38:$H38,K38)+COUNTIF('VPS_REFERENCE'!$D38:$H38,L38)+COUNTIF('VPS_REFERENCE'!$D38:$H38,M38)+COUNTIF('VPS_REFERENCE'!$D38:$H38,N38)+COUNTIF('VPS_REFERENCE'!$D38:$H38,O38)+COUNTIF('VPS_REFERENCE'!$D38:$H38,P38))=0,"PASS","FAIL")</f>
        <v/>
      </c>
      <c r="V38" s="86">
        <f>IF(OR(E38=H38,E38=I38,E38=J38,E38=K38,E38=L38,E38=M38,E38=N38,E38=O38,E38=P38,H38=I38,H38=J38,H38=K38,H38=L38,H38=M38,H38=N38,H38=O38,H38=P38,I38=J38,I38=K38,I38=L38,I38=M38,I38=N38,I38=O38,I38=P38,J38=K38,J38=L38,J38=M38,J38=N38,J38=O38,J38=P38,K38=L38,K38=M38,K38=N38,K38=O38,K38=P38,L38=M38,L38=N38,L38=O38,L38=P38,M38=N38,M38=O38,M38=P38,N38=O38,N38=P38,O38=P38),"FAIL","PASS")</f>
        <v/>
      </c>
      <c r="W38" s="87">
        <f>'CRAWL_LOG'!B38</f>
        <v/>
      </c>
      <c r="X38" s="95" t="inlineStr">
        <is>
          <t>10-slot panel: 7 near + 3 far; AN2/AN3 inactive from 03/09</t>
        </is>
      </c>
    </row>
    <row r="39">
      <c r="A39" s="155" t="n">
        <v>46302</v>
      </c>
      <c r="B39" s="83" t="inlineStr">
        <is>
          <t>Thứ Tư</t>
        </is>
      </c>
      <c r="C39" s="83" t="inlineStr">
        <is>
          <t>Official</t>
        </is>
      </c>
      <c r="D39" s="83" t="inlineStr">
        <is>
          <t>00:30</t>
        </is>
      </c>
      <c r="E39" s="156">
        <f>'SLOT_RULES'!$D$4+IF($A39&lt;='SLOT_RULES'!$D$4,0,INT(($A39-'SLOT_RULES'!$D$4-1)/'SLOT_RULES'!$E$4)+1)*'SLOT_RULES'!$E$4</f>
        <v/>
      </c>
      <c r="F39" s="157" t="n"/>
      <c r="G39" s="157" t="n"/>
      <c r="H39" s="156">
        <f>'SLOT_RULES'!$D$7+IF($A39&lt;='SLOT_RULES'!$D$7,0,INT(($A39-'SLOT_RULES'!$D$7-1)/'SLOT_RULES'!$E$7)+1)*'SLOT_RULES'!$E$7</f>
        <v/>
      </c>
      <c r="I39" s="156">
        <f>'SLOT_RULES'!$D$8+IF($A39&lt;='SLOT_RULES'!$D$8,0,INT(($A39-'SLOT_RULES'!$D$8-1)/'SLOT_RULES'!$E$8)+1)*'SLOT_RULES'!$E$8</f>
        <v/>
      </c>
      <c r="J39" s="156">
        <f>'SLOT_RULES'!$D$9+IF($A39&lt;='SLOT_RULES'!$D$9,0,INT(($A39-'SLOT_RULES'!$D$9-1)/'SLOT_RULES'!$E$9)+1)*'SLOT_RULES'!$E$9</f>
        <v/>
      </c>
      <c r="K39" s="156">
        <f>'SLOT_RULES'!$D$10+IF($A39&lt;='SLOT_RULES'!$D$10,0,INT(($A39-'SLOT_RULES'!$D$10-1)/'SLOT_RULES'!$E$10)+1)*'SLOT_RULES'!$E$10</f>
        <v/>
      </c>
      <c r="L39" s="156">
        <f>'SLOT_RULES'!$D$11+IF($A39&lt;='SLOT_RULES'!$D$11,0,INT(($A39-'SLOT_RULES'!$D$11-1)/'SLOT_RULES'!$E$11)+1)*'SLOT_RULES'!$E$11</f>
        <v/>
      </c>
      <c r="M39" s="156">
        <f>'SLOT_RULES'!$D$12+IF($A39&lt;='SLOT_RULES'!$D$12,0,INT(($A39-'SLOT_RULES'!$D$12-1)/'SLOT_RULES'!$E$12)+1)*'SLOT_RULES'!$E$12</f>
        <v/>
      </c>
      <c r="N39" s="156">
        <f>'SLOT_RULES'!$D$13+IF($A39&lt;='SLOT_RULES'!$D$13,0,INT(($A39-'SLOT_RULES'!$D$13-1)/'SLOT_RULES'!$E$13)+1)*'SLOT_RULES'!$E$13</f>
        <v/>
      </c>
      <c r="O39" s="156">
        <f>'SLOT_RULES'!$D$14+IF($A39&lt;='SLOT_RULES'!$D$14,0,INT(($A39-'SLOT_RULES'!$D$14-1)/'SLOT_RULES'!$E$14)+1)*'SLOT_RULES'!$E$14</f>
        <v/>
      </c>
      <c r="P39" s="156">
        <f>'SLOT_RULES'!$D$15+IF($A39&lt;='SLOT_RULES'!$D$15,0,INT(($A39-'SLOT_RULES'!$D$15-1)/'SLOT_RULES'!$E$15)+1)*'SLOT_RULES'!$E$15</f>
        <v/>
      </c>
      <c r="Q39" s="158">
        <f>MIN(E39:P39)-A39</f>
        <v/>
      </c>
      <c r="R39" s="158">
        <f>MAX(E39:P39)-A39</f>
        <v/>
      </c>
      <c r="S39" s="86">
        <f>IF(AND(COUNT(E39:P39)=10,MIN(E39:P39)&gt;=A39),"PASS","FAIL")</f>
        <v/>
      </c>
      <c r="T39" s="86">
        <f>IF((COUNTIF('LOCAL_REFERENCE'!$D39:$O39,E39)+COUNTIF('LOCAL_REFERENCE'!$D39:$O39,H39)+COUNTIF('LOCAL_REFERENCE'!$D39:$O39,I39)+COUNTIF('LOCAL_REFERENCE'!$D39:$O39,J39)+COUNTIF('LOCAL_REFERENCE'!$D39:$O39,K39)+COUNTIF('LOCAL_REFERENCE'!$D39:$O39,L39)+COUNTIF('LOCAL_REFERENCE'!$D39:$O39,M39)+COUNTIF('LOCAL_REFERENCE'!$D39:$O39,N39)+COUNTIF('LOCAL_REFERENCE'!$D39:$O39,O39)+COUNTIF('LOCAL_REFERENCE'!$D39:$O39,P39))=0,"PASS","FAIL")</f>
        <v/>
      </c>
      <c r="U39" s="86">
        <f>IF((COUNTIF('VPS_REFERENCE'!$D39:$H39,E39)+COUNTIF('VPS_REFERENCE'!$D39:$H39,H39)+COUNTIF('VPS_REFERENCE'!$D39:$H39,I39)+COUNTIF('VPS_REFERENCE'!$D39:$H39,J39)+COUNTIF('VPS_REFERENCE'!$D39:$H39,K39)+COUNTIF('VPS_REFERENCE'!$D39:$H39,L39)+COUNTIF('VPS_REFERENCE'!$D39:$H39,M39)+COUNTIF('VPS_REFERENCE'!$D39:$H39,N39)+COUNTIF('VPS_REFERENCE'!$D39:$H39,O39)+COUNTIF('VPS_REFERENCE'!$D39:$H39,P39))=0,"PASS","FAIL")</f>
        <v/>
      </c>
      <c r="V39" s="86">
        <f>IF(OR(E39=H39,E39=I39,E39=J39,E39=K39,E39=L39,E39=M39,E39=N39,E39=O39,E39=P39,H39=I39,H39=J39,H39=K39,H39=L39,H39=M39,H39=N39,H39=O39,H39=P39,I39=J39,I39=K39,I39=L39,I39=M39,I39=N39,I39=O39,I39=P39,J39=K39,J39=L39,J39=M39,J39=N39,J39=O39,J39=P39,K39=L39,K39=M39,K39=N39,K39=O39,K39=P39,L39=M39,L39=N39,L39=O39,L39=P39,M39=N39,M39=O39,M39=P39,N39=O39,N39=P39,O39=P39),"FAIL","PASS")</f>
        <v/>
      </c>
      <c r="W39" s="87">
        <f>'CRAWL_LOG'!B39</f>
        <v/>
      </c>
      <c r="X39" s="95" t="inlineStr">
        <is>
          <t>10-slot panel: 7 near + 3 far; AN2/AN3 inactive from 03/09</t>
        </is>
      </c>
    </row>
    <row r="40">
      <c r="A40" s="155" t="n">
        <v>46303</v>
      </c>
      <c r="B40" s="83" t="inlineStr">
        <is>
          <t>Thứ Năm</t>
        </is>
      </c>
      <c r="C40" s="83" t="inlineStr">
        <is>
          <t>Official</t>
        </is>
      </c>
      <c r="D40" s="83" t="inlineStr">
        <is>
          <t>00:30</t>
        </is>
      </c>
      <c r="E40" s="156">
        <f>'SLOT_RULES'!$D$4+IF($A40&lt;='SLOT_RULES'!$D$4,0,INT(($A40-'SLOT_RULES'!$D$4-1)/'SLOT_RULES'!$E$4)+1)*'SLOT_RULES'!$E$4</f>
        <v/>
      </c>
      <c r="F40" s="157" t="n"/>
      <c r="G40" s="157" t="n"/>
      <c r="H40" s="156">
        <f>'SLOT_RULES'!$D$7+IF($A40&lt;='SLOT_RULES'!$D$7,0,INT(($A40-'SLOT_RULES'!$D$7-1)/'SLOT_RULES'!$E$7)+1)*'SLOT_RULES'!$E$7</f>
        <v/>
      </c>
      <c r="I40" s="156">
        <f>'SLOT_RULES'!$D$8+IF($A40&lt;='SLOT_RULES'!$D$8,0,INT(($A40-'SLOT_RULES'!$D$8-1)/'SLOT_RULES'!$E$8)+1)*'SLOT_RULES'!$E$8</f>
        <v/>
      </c>
      <c r="J40" s="156">
        <f>'SLOT_RULES'!$D$9+IF($A40&lt;='SLOT_RULES'!$D$9,0,INT(($A40-'SLOT_RULES'!$D$9-1)/'SLOT_RULES'!$E$9)+1)*'SLOT_RULES'!$E$9</f>
        <v/>
      </c>
      <c r="K40" s="156">
        <f>'SLOT_RULES'!$D$10+IF($A40&lt;='SLOT_RULES'!$D$10,0,INT(($A40-'SLOT_RULES'!$D$10-1)/'SLOT_RULES'!$E$10)+1)*'SLOT_RULES'!$E$10</f>
        <v/>
      </c>
      <c r="L40" s="156">
        <f>'SLOT_RULES'!$D$11+IF($A40&lt;='SLOT_RULES'!$D$11,0,INT(($A40-'SLOT_RULES'!$D$11-1)/'SLOT_RULES'!$E$11)+1)*'SLOT_RULES'!$E$11</f>
        <v/>
      </c>
      <c r="M40" s="156">
        <f>'SLOT_RULES'!$D$12+IF($A40&lt;='SLOT_RULES'!$D$12,0,INT(($A40-'SLOT_RULES'!$D$12-1)/'SLOT_RULES'!$E$12)+1)*'SLOT_RULES'!$E$12</f>
        <v/>
      </c>
      <c r="N40" s="156">
        <f>'SLOT_RULES'!$D$13+IF($A40&lt;='SLOT_RULES'!$D$13,0,INT(($A40-'SLOT_RULES'!$D$13-1)/'SLOT_RULES'!$E$13)+1)*'SLOT_RULES'!$E$13</f>
        <v/>
      </c>
      <c r="O40" s="156">
        <f>'SLOT_RULES'!$D$14+IF($A40&lt;='SLOT_RULES'!$D$14,0,INT(($A40-'SLOT_RULES'!$D$14-1)/'SLOT_RULES'!$E$14)+1)*'SLOT_RULES'!$E$14</f>
        <v/>
      </c>
      <c r="P40" s="156">
        <f>'SLOT_RULES'!$D$15+IF($A40&lt;='SLOT_RULES'!$D$15,0,INT(($A40-'SLOT_RULES'!$D$15-1)/'SLOT_RULES'!$E$15)+1)*'SLOT_RULES'!$E$15</f>
        <v/>
      </c>
      <c r="Q40" s="158">
        <f>MIN(E40:P40)-A40</f>
        <v/>
      </c>
      <c r="R40" s="158">
        <f>MAX(E40:P40)-A40</f>
        <v/>
      </c>
      <c r="S40" s="86">
        <f>IF(AND(COUNT(E40:P40)=10,MIN(E40:P40)&gt;=A40),"PASS","FAIL")</f>
        <v/>
      </c>
      <c r="T40" s="86">
        <f>IF((COUNTIF('LOCAL_REFERENCE'!$D40:$O40,E40)+COUNTIF('LOCAL_REFERENCE'!$D40:$O40,H40)+COUNTIF('LOCAL_REFERENCE'!$D40:$O40,I40)+COUNTIF('LOCAL_REFERENCE'!$D40:$O40,J40)+COUNTIF('LOCAL_REFERENCE'!$D40:$O40,K40)+COUNTIF('LOCAL_REFERENCE'!$D40:$O40,L40)+COUNTIF('LOCAL_REFERENCE'!$D40:$O40,M40)+COUNTIF('LOCAL_REFERENCE'!$D40:$O40,N40)+COUNTIF('LOCAL_REFERENCE'!$D40:$O40,O40)+COUNTIF('LOCAL_REFERENCE'!$D40:$O40,P40))=0,"PASS","FAIL")</f>
        <v/>
      </c>
      <c r="U40" s="86">
        <f>IF((COUNTIF('VPS_REFERENCE'!$D40:$H40,E40)+COUNTIF('VPS_REFERENCE'!$D40:$H40,H40)+COUNTIF('VPS_REFERENCE'!$D40:$H40,I40)+COUNTIF('VPS_REFERENCE'!$D40:$H40,J40)+COUNTIF('VPS_REFERENCE'!$D40:$H40,K40)+COUNTIF('VPS_REFERENCE'!$D40:$H40,L40)+COUNTIF('VPS_REFERENCE'!$D40:$H40,M40)+COUNTIF('VPS_REFERENCE'!$D40:$H40,N40)+COUNTIF('VPS_REFERENCE'!$D40:$H40,O40)+COUNTIF('VPS_REFERENCE'!$D40:$H40,P40))=0,"PASS","FAIL")</f>
        <v/>
      </c>
      <c r="V40" s="86">
        <f>IF(OR(E40=H40,E40=I40,E40=J40,E40=K40,E40=L40,E40=M40,E40=N40,E40=O40,E40=P40,H40=I40,H40=J40,H40=K40,H40=L40,H40=M40,H40=N40,H40=O40,H40=P40,I40=J40,I40=K40,I40=L40,I40=M40,I40=N40,I40=O40,I40=P40,J40=K40,J40=L40,J40=M40,J40=N40,J40=O40,J40=P40,K40=L40,K40=M40,K40=N40,K40=O40,K40=P40,L40=M40,L40=N40,L40=O40,L40=P40,M40=N40,M40=O40,M40=P40,N40=O40,N40=P40,O40=P40),"FAIL","PASS")</f>
        <v/>
      </c>
      <c r="W40" s="87">
        <f>'CRAWL_LOG'!B40</f>
        <v/>
      </c>
      <c r="X40" s="95" t="inlineStr">
        <is>
          <t>10-slot panel: 7 near + 3 far; AN2/AN3 inactive from 03/09</t>
        </is>
      </c>
    </row>
    <row r="41">
      <c r="A41" s="155" t="n">
        <v>46304</v>
      </c>
      <c r="B41" s="83" t="inlineStr">
        <is>
          <t>Thứ Sáu</t>
        </is>
      </c>
      <c r="C41" s="83" t="inlineStr">
        <is>
          <t>Official</t>
        </is>
      </c>
      <c r="D41" s="83" t="inlineStr">
        <is>
          <t>00:30</t>
        </is>
      </c>
      <c r="E41" s="156">
        <f>'SLOT_RULES'!$D$4+IF($A41&lt;='SLOT_RULES'!$D$4,0,INT(($A41-'SLOT_RULES'!$D$4-1)/'SLOT_RULES'!$E$4)+1)*'SLOT_RULES'!$E$4</f>
        <v/>
      </c>
      <c r="F41" s="157" t="n"/>
      <c r="G41" s="157" t="n"/>
      <c r="H41" s="156">
        <f>'SLOT_RULES'!$D$7+IF($A41&lt;='SLOT_RULES'!$D$7,0,INT(($A41-'SLOT_RULES'!$D$7-1)/'SLOT_RULES'!$E$7)+1)*'SLOT_RULES'!$E$7</f>
        <v/>
      </c>
      <c r="I41" s="156">
        <f>'SLOT_RULES'!$D$8+IF($A41&lt;='SLOT_RULES'!$D$8,0,INT(($A41-'SLOT_RULES'!$D$8-1)/'SLOT_RULES'!$E$8)+1)*'SLOT_RULES'!$E$8</f>
        <v/>
      </c>
      <c r="J41" s="156">
        <f>'SLOT_RULES'!$D$9+IF($A41&lt;='SLOT_RULES'!$D$9,0,INT(($A41-'SLOT_RULES'!$D$9-1)/'SLOT_RULES'!$E$9)+1)*'SLOT_RULES'!$E$9</f>
        <v/>
      </c>
      <c r="K41" s="156">
        <f>'SLOT_RULES'!$D$10+IF($A41&lt;='SLOT_RULES'!$D$10,0,INT(($A41-'SLOT_RULES'!$D$10-1)/'SLOT_RULES'!$E$10)+1)*'SLOT_RULES'!$E$10</f>
        <v/>
      </c>
      <c r="L41" s="156">
        <f>'SLOT_RULES'!$D$11+IF($A41&lt;='SLOT_RULES'!$D$11,0,INT(($A41-'SLOT_RULES'!$D$11-1)/'SLOT_RULES'!$E$11)+1)*'SLOT_RULES'!$E$11</f>
        <v/>
      </c>
      <c r="M41" s="156">
        <f>'SLOT_RULES'!$D$12+IF($A41&lt;='SLOT_RULES'!$D$12,0,INT(($A41-'SLOT_RULES'!$D$12-1)/'SLOT_RULES'!$E$12)+1)*'SLOT_RULES'!$E$12</f>
        <v/>
      </c>
      <c r="N41" s="156">
        <f>'SLOT_RULES'!$D$13+IF($A41&lt;='SLOT_RULES'!$D$13,0,INT(($A41-'SLOT_RULES'!$D$13-1)/'SLOT_RULES'!$E$13)+1)*'SLOT_RULES'!$E$13</f>
        <v/>
      </c>
      <c r="O41" s="156">
        <f>'SLOT_RULES'!$D$14+IF($A41&lt;='SLOT_RULES'!$D$14,0,INT(($A41-'SLOT_RULES'!$D$14-1)/'SLOT_RULES'!$E$14)+1)*'SLOT_RULES'!$E$14</f>
        <v/>
      </c>
      <c r="P41" s="156">
        <f>'SLOT_RULES'!$D$15+IF($A41&lt;='SLOT_RULES'!$D$15,0,INT(($A41-'SLOT_RULES'!$D$15-1)/'SLOT_RULES'!$E$15)+1)*'SLOT_RULES'!$E$15</f>
        <v/>
      </c>
      <c r="Q41" s="158">
        <f>MIN(E41:P41)-A41</f>
        <v/>
      </c>
      <c r="R41" s="158">
        <f>MAX(E41:P41)-A41</f>
        <v/>
      </c>
      <c r="S41" s="86">
        <f>IF(AND(COUNT(E41:P41)=10,MIN(E41:P41)&gt;=A41),"PASS","FAIL")</f>
        <v/>
      </c>
      <c r="T41" s="86">
        <f>IF((COUNTIF('LOCAL_REFERENCE'!$D41:$O41,E41)+COUNTIF('LOCAL_REFERENCE'!$D41:$O41,H41)+COUNTIF('LOCAL_REFERENCE'!$D41:$O41,I41)+COUNTIF('LOCAL_REFERENCE'!$D41:$O41,J41)+COUNTIF('LOCAL_REFERENCE'!$D41:$O41,K41)+COUNTIF('LOCAL_REFERENCE'!$D41:$O41,L41)+COUNTIF('LOCAL_REFERENCE'!$D41:$O41,M41)+COUNTIF('LOCAL_REFERENCE'!$D41:$O41,N41)+COUNTIF('LOCAL_REFERENCE'!$D41:$O41,O41)+COUNTIF('LOCAL_REFERENCE'!$D41:$O41,P41))=0,"PASS","FAIL")</f>
        <v/>
      </c>
      <c r="U41" s="86">
        <f>IF((COUNTIF('VPS_REFERENCE'!$D41:$H41,E41)+COUNTIF('VPS_REFERENCE'!$D41:$H41,H41)+COUNTIF('VPS_REFERENCE'!$D41:$H41,I41)+COUNTIF('VPS_REFERENCE'!$D41:$H41,J41)+COUNTIF('VPS_REFERENCE'!$D41:$H41,K41)+COUNTIF('VPS_REFERENCE'!$D41:$H41,L41)+COUNTIF('VPS_REFERENCE'!$D41:$H41,M41)+COUNTIF('VPS_REFERENCE'!$D41:$H41,N41)+COUNTIF('VPS_REFERENCE'!$D41:$H41,O41)+COUNTIF('VPS_REFERENCE'!$D41:$H41,P41))=0,"PASS","FAIL")</f>
        <v/>
      </c>
      <c r="V41" s="86">
        <f>IF(OR(E41=H41,E41=I41,E41=J41,E41=K41,E41=L41,E41=M41,E41=N41,E41=O41,E41=P41,H41=I41,H41=J41,H41=K41,H41=L41,H41=M41,H41=N41,H41=O41,H41=P41,I41=J41,I41=K41,I41=L41,I41=M41,I41=N41,I41=O41,I41=P41,J41=K41,J41=L41,J41=M41,J41=N41,J41=O41,J41=P41,K41=L41,K41=M41,K41=N41,K41=O41,K41=P41,L41=M41,L41=N41,L41=O41,L41=P41,M41=N41,M41=O41,M41=P41,N41=O41,N41=P41,O41=P41),"FAIL","PASS")</f>
        <v/>
      </c>
      <c r="W41" s="87">
        <f>'CRAWL_LOG'!B41</f>
        <v/>
      </c>
      <c r="X41" s="95" t="inlineStr">
        <is>
          <t>10-slot panel: 7 near + 3 far; AN2/AN3 inactive from 03/09</t>
        </is>
      </c>
    </row>
    <row r="42">
      <c r="A42" s="155" t="n">
        <v>46305</v>
      </c>
      <c r="B42" s="83" t="inlineStr">
        <is>
          <t>Thứ Bảy</t>
        </is>
      </c>
      <c r="C42" s="83" t="inlineStr">
        <is>
          <t>Official</t>
        </is>
      </c>
      <c r="D42" s="83" t="inlineStr">
        <is>
          <t>00:30</t>
        </is>
      </c>
      <c r="E42" s="156">
        <f>'SLOT_RULES'!$D$4+IF($A42&lt;='SLOT_RULES'!$D$4,0,INT(($A42-'SLOT_RULES'!$D$4-1)/'SLOT_RULES'!$E$4)+1)*'SLOT_RULES'!$E$4</f>
        <v/>
      </c>
      <c r="F42" s="157" t="n"/>
      <c r="G42" s="157" t="n"/>
      <c r="H42" s="156">
        <f>'SLOT_RULES'!$D$7+IF($A42&lt;='SLOT_RULES'!$D$7,0,INT(($A42-'SLOT_RULES'!$D$7-1)/'SLOT_RULES'!$E$7)+1)*'SLOT_RULES'!$E$7</f>
        <v/>
      </c>
      <c r="I42" s="156">
        <f>'SLOT_RULES'!$D$8+IF($A42&lt;='SLOT_RULES'!$D$8,0,INT(($A42-'SLOT_RULES'!$D$8-1)/'SLOT_RULES'!$E$8)+1)*'SLOT_RULES'!$E$8</f>
        <v/>
      </c>
      <c r="J42" s="156">
        <f>'SLOT_RULES'!$D$9+IF($A42&lt;='SLOT_RULES'!$D$9,0,INT(($A42-'SLOT_RULES'!$D$9-1)/'SLOT_RULES'!$E$9)+1)*'SLOT_RULES'!$E$9</f>
        <v/>
      </c>
      <c r="K42" s="156">
        <f>'SLOT_RULES'!$D$10+IF($A42&lt;='SLOT_RULES'!$D$10,0,INT(($A42-'SLOT_RULES'!$D$10-1)/'SLOT_RULES'!$E$10)+1)*'SLOT_RULES'!$E$10</f>
        <v/>
      </c>
      <c r="L42" s="156">
        <f>'SLOT_RULES'!$D$11+IF($A42&lt;='SLOT_RULES'!$D$11,0,INT(($A42-'SLOT_RULES'!$D$11-1)/'SLOT_RULES'!$E$11)+1)*'SLOT_RULES'!$E$11</f>
        <v/>
      </c>
      <c r="M42" s="156">
        <f>'SLOT_RULES'!$D$12+IF($A42&lt;='SLOT_RULES'!$D$12,0,INT(($A42-'SLOT_RULES'!$D$12-1)/'SLOT_RULES'!$E$12)+1)*'SLOT_RULES'!$E$12</f>
        <v/>
      </c>
      <c r="N42" s="156">
        <f>'SLOT_RULES'!$D$13+IF($A42&lt;='SLOT_RULES'!$D$13,0,INT(($A42-'SLOT_RULES'!$D$13-1)/'SLOT_RULES'!$E$13)+1)*'SLOT_RULES'!$E$13</f>
        <v/>
      </c>
      <c r="O42" s="156">
        <f>'SLOT_RULES'!$D$14+IF($A42&lt;='SLOT_RULES'!$D$14,0,INT(($A42-'SLOT_RULES'!$D$14-1)/'SLOT_RULES'!$E$14)+1)*'SLOT_RULES'!$E$14</f>
        <v/>
      </c>
      <c r="P42" s="156">
        <f>'SLOT_RULES'!$D$15+IF($A42&lt;='SLOT_RULES'!$D$15,0,INT(($A42-'SLOT_RULES'!$D$15-1)/'SLOT_RULES'!$E$15)+1)*'SLOT_RULES'!$E$15</f>
        <v/>
      </c>
      <c r="Q42" s="158">
        <f>MIN(E42:P42)-A42</f>
        <v/>
      </c>
      <c r="R42" s="158">
        <f>MAX(E42:P42)-A42</f>
        <v/>
      </c>
      <c r="S42" s="86">
        <f>IF(AND(COUNT(E42:P42)=10,MIN(E42:P42)&gt;=A42),"PASS","FAIL")</f>
        <v/>
      </c>
      <c r="T42" s="86">
        <f>IF((COUNTIF('LOCAL_REFERENCE'!$D42:$O42,E42)+COUNTIF('LOCAL_REFERENCE'!$D42:$O42,H42)+COUNTIF('LOCAL_REFERENCE'!$D42:$O42,I42)+COUNTIF('LOCAL_REFERENCE'!$D42:$O42,J42)+COUNTIF('LOCAL_REFERENCE'!$D42:$O42,K42)+COUNTIF('LOCAL_REFERENCE'!$D42:$O42,L42)+COUNTIF('LOCAL_REFERENCE'!$D42:$O42,M42)+COUNTIF('LOCAL_REFERENCE'!$D42:$O42,N42)+COUNTIF('LOCAL_REFERENCE'!$D42:$O42,O42)+COUNTIF('LOCAL_REFERENCE'!$D42:$O42,P42))=0,"PASS","FAIL")</f>
        <v/>
      </c>
      <c r="U42" s="86">
        <f>IF((COUNTIF('VPS_REFERENCE'!$D42:$H42,E42)+COUNTIF('VPS_REFERENCE'!$D42:$H42,H42)+COUNTIF('VPS_REFERENCE'!$D42:$H42,I42)+COUNTIF('VPS_REFERENCE'!$D42:$H42,J42)+COUNTIF('VPS_REFERENCE'!$D42:$H42,K42)+COUNTIF('VPS_REFERENCE'!$D42:$H42,L42)+COUNTIF('VPS_REFERENCE'!$D42:$H42,M42)+COUNTIF('VPS_REFERENCE'!$D42:$H42,N42)+COUNTIF('VPS_REFERENCE'!$D42:$H42,O42)+COUNTIF('VPS_REFERENCE'!$D42:$H42,P42))=0,"PASS","FAIL")</f>
        <v/>
      </c>
      <c r="V42" s="86">
        <f>IF(OR(E42=H42,E42=I42,E42=J42,E42=K42,E42=L42,E42=M42,E42=N42,E42=O42,E42=P42,H42=I42,H42=J42,H42=K42,H42=L42,H42=M42,H42=N42,H42=O42,H42=P42,I42=J42,I42=K42,I42=L42,I42=M42,I42=N42,I42=O42,I42=P42,J42=K42,J42=L42,J42=M42,J42=N42,J42=O42,J42=P42,K42=L42,K42=M42,K42=N42,K42=O42,K42=P42,L42=M42,L42=N42,L42=O42,L42=P42,M42=N42,M42=O42,M42=P42,N42=O42,N42=P42,O42=P42),"FAIL","PASS")</f>
        <v/>
      </c>
      <c r="W42" s="87">
        <f>'CRAWL_LOG'!B42</f>
        <v/>
      </c>
      <c r="X42" s="95" t="inlineStr">
        <is>
          <t>10-slot panel: 7 near + 3 far; AN2/AN3 inactive from 03/09</t>
        </is>
      </c>
    </row>
    <row r="43">
      <c r="A43" s="155" t="n">
        <v>46306</v>
      </c>
      <c r="B43" s="83" t="inlineStr">
        <is>
          <t>Chủ Nhật</t>
        </is>
      </c>
      <c r="C43" s="83" t="inlineStr">
        <is>
          <t>Official</t>
        </is>
      </c>
      <c r="D43" s="83" t="inlineStr">
        <is>
          <t>00:30</t>
        </is>
      </c>
      <c r="E43" s="156">
        <f>'SLOT_RULES'!$D$4+IF($A43&lt;='SLOT_RULES'!$D$4,0,INT(($A43-'SLOT_RULES'!$D$4-1)/'SLOT_RULES'!$E$4)+1)*'SLOT_RULES'!$E$4</f>
        <v/>
      </c>
      <c r="F43" s="157" t="n"/>
      <c r="G43" s="157" t="n"/>
      <c r="H43" s="156">
        <f>'SLOT_RULES'!$D$7+IF($A43&lt;='SLOT_RULES'!$D$7,0,INT(($A43-'SLOT_RULES'!$D$7-1)/'SLOT_RULES'!$E$7)+1)*'SLOT_RULES'!$E$7</f>
        <v/>
      </c>
      <c r="I43" s="156">
        <f>'SLOT_RULES'!$D$8+IF($A43&lt;='SLOT_RULES'!$D$8,0,INT(($A43-'SLOT_RULES'!$D$8-1)/'SLOT_RULES'!$E$8)+1)*'SLOT_RULES'!$E$8</f>
        <v/>
      </c>
      <c r="J43" s="156">
        <f>'SLOT_RULES'!$D$9+IF($A43&lt;='SLOT_RULES'!$D$9,0,INT(($A43-'SLOT_RULES'!$D$9-1)/'SLOT_RULES'!$E$9)+1)*'SLOT_RULES'!$E$9</f>
        <v/>
      </c>
      <c r="K43" s="156">
        <f>'SLOT_RULES'!$D$10+IF($A43&lt;='SLOT_RULES'!$D$10,0,INT(($A43-'SLOT_RULES'!$D$10-1)/'SLOT_RULES'!$E$10)+1)*'SLOT_RULES'!$E$10</f>
        <v/>
      </c>
      <c r="L43" s="156">
        <f>'SLOT_RULES'!$D$11+IF($A43&lt;='SLOT_RULES'!$D$11,0,INT(($A43-'SLOT_RULES'!$D$11-1)/'SLOT_RULES'!$E$11)+1)*'SLOT_RULES'!$E$11</f>
        <v/>
      </c>
      <c r="M43" s="156">
        <f>'SLOT_RULES'!$D$12+IF($A43&lt;='SLOT_RULES'!$D$12,0,INT(($A43-'SLOT_RULES'!$D$12-1)/'SLOT_RULES'!$E$12)+1)*'SLOT_RULES'!$E$12</f>
        <v/>
      </c>
      <c r="N43" s="156">
        <f>'SLOT_RULES'!$D$13+IF($A43&lt;='SLOT_RULES'!$D$13,0,INT(($A43-'SLOT_RULES'!$D$13-1)/'SLOT_RULES'!$E$13)+1)*'SLOT_RULES'!$E$13</f>
        <v/>
      </c>
      <c r="O43" s="156">
        <f>'SLOT_RULES'!$D$14+IF($A43&lt;='SLOT_RULES'!$D$14,0,INT(($A43-'SLOT_RULES'!$D$14-1)/'SLOT_RULES'!$E$14)+1)*'SLOT_RULES'!$E$14</f>
        <v/>
      </c>
      <c r="P43" s="156">
        <f>'SLOT_RULES'!$D$15+IF($A43&lt;='SLOT_RULES'!$D$15,0,INT(($A43-'SLOT_RULES'!$D$15-1)/'SLOT_RULES'!$E$15)+1)*'SLOT_RULES'!$E$15</f>
        <v/>
      </c>
      <c r="Q43" s="158">
        <f>MIN(E43:P43)-A43</f>
        <v/>
      </c>
      <c r="R43" s="158">
        <f>MAX(E43:P43)-A43</f>
        <v/>
      </c>
      <c r="S43" s="86">
        <f>IF(AND(COUNT(E43:P43)=10,MIN(E43:P43)&gt;=A43),"PASS","FAIL")</f>
        <v/>
      </c>
      <c r="T43" s="86">
        <f>IF((COUNTIF('LOCAL_REFERENCE'!$D43:$O43,E43)+COUNTIF('LOCAL_REFERENCE'!$D43:$O43,H43)+COUNTIF('LOCAL_REFERENCE'!$D43:$O43,I43)+COUNTIF('LOCAL_REFERENCE'!$D43:$O43,J43)+COUNTIF('LOCAL_REFERENCE'!$D43:$O43,K43)+COUNTIF('LOCAL_REFERENCE'!$D43:$O43,L43)+COUNTIF('LOCAL_REFERENCE'!$D43:$O43,M43)+COUNTIF('LOCAL_REFERENCE'!$D43:$O43,N43)+COUNTIF('LOCAL_REFERENCE'!$D43:$O43,O43)+COUNTIF('LOCAL_REFERENCE'!$D43:$O43,P43))=0,"PASS","FAIL")</f>
        <v/>
      </c>
      <c r="U43" s="86">
        <f>IF((COUNTIF('VPS_REFERENCE'!$D43:$H43,E43)+COUNTIF('VPS_REFERENCE'!$D43:$H43,H43)+COUNTIF('VPS_REFERENCE'!$D43:$H43,I43)+COUNTIF('VPS_REFERENCE'!$D43:$H43,J43)+COUNTIF('VPS_REFERENCE'!$D43:$H43,K43)+COUNTIF('VPS_REFERENCE'!$D43:$H43,L43)+COUNTIF('VPS_REFERENCE'!$D43:$H43,M43)+COUNTIF('VPS_REFERENCE'!$D43:$H43,N43)+COUNTIF('VPS_REFERENCE'!$D43:$H43,O43)+COUNTIF('VPS_REFERENCE'!$D43:$H43,P43))=0,"PASS","FAIL")</f>
        <v/>
      </c>
      <c r="V43" s="86">
        <f>IF(OR(E43=H43,E43=I43,E43=J43,E43=K43,E43=L43,E43=M43,E43=N43,E43=O43,E43=P43,H43=I43,H43=J43,H43=K43,H43=L43,H43=M43,H43=N43,H43=O43,H43=P43,I43=J43,I43=K43,I43=L43,I43=M43,I43=N43,I43=O43,I43=P43,J43=K43,J43=L43,J43=M43,J43=N43,J43=O43,J43=P43,K43=L43,K43=M43,K43=N43,K43=O43,K43=P43,L43=M43,L43=N43,L43=O43,L43=P43,M43=N43,M43=O43,M43=P43,N43=O43,N43=P43,O43=P43),"FAIL","PASS")</f>
        <v/>
      </c>
      <c r="W43" s="87">
        <f>'CRAWL_LOG'!B43</f>
        <v/>
      </c>
      <c r="X43" s="95" t="inlineStr">
        <is>
          <t>10-slot panel: 7 near + 3 far; AN2/AN3 inactive from 03/09</t>
        </is>
      </c>
    </row>
    <row r="44">
      <c r="A44" s="155" t="n">
        <v>46307</v>
      </c>
      <c r="B44" s="83" t="inlineStr">
        <is>
          <t>Thứ Hai</t>
        </is>
      </c>
      <c r="C44" s="83" t="inlineStr">
        <is>
          <t>Official</t>
        </is>
      </c>
      <c r="D44" s="83" t="inlineStr">
        <is>
          <t>00:30</t>
        </is>
      </c>
      <c r="E44" s="156">
        <f>'SLOT_RULES'!$D$4+IF($A44&lt;='SLOT_RULES'!$D$4,0,INT(($A44-'SLOT_RULES'!$D$4-1)/'SLOT_RULES'!$E$4)+1)*'SLOT_RULES'!$E$4</f>
        <v/>
      </c>
      <c r="F44" s="157" t="n"/>
      <c r="G44" s="157" t="n"/>
      <c r="H44" s="156">
        <f>'SLOT_RULES'!$D$7+IF($A44&lt;='SLOT_RULES'!$D$7,0,INT(($A44-'SLOT_RULES'!$D$7-1)/'SLOT_RULES'!$E$7)+1)*'SLOT_RULES'!$E$7</f>
        <v/>
      </c>
      <c r="I44" s="156">
        <f>'SLOT_RULES'!$D$8+IF($A44&lt;='SLOT_RULES'!$D$8,0,INT(($A44-'SLOT_RULES'!$D$8-1)/'SLOT_RULES'!$E$8)+1)*'SLOT_RULES'!$E$8</f>
        <v/>
      </c>
      <c r="J44" s="156">
        <f>'SLOT_RULES'!$D$9+IF($A44&lt;='SLOT_RULES'!$D$9,0,INT(($A44-'SLOT_RULES'!$D$9-1)/'SLOT_RULES'!$E$9)+1)*'SLOT_RULES'!$E$9</f>
        <v/>
      </c>
      <c r="K44" s="156">
        <f>'SLOT_RULES'!$D$10+IF($A44&lt;='SLOT_RULES'!$D$10,0,INT(($A44-'SLOT_RULES'!$D$10-1)/'SLOT_RULES'!$E$10)+1)*'SLOT_RULES'!$E$10</f>
        <v/>
      </c>
      <c r="L44" s="156">
        <f>'SLOT_RULES'!$D$11+IF($A44&lt;='SLOT_RULES'!$D$11,0,INT(($A44-'SLOT_RULES'!$D$11-1)/'SLOT_RULES'!$E$11)+1)*'SLOT_RULES'!$E$11</f>
        <v/>
      </c>
      <c r="M44" s="156">
        <f>'SLOT_RULES'!$D$12+IF($A44&lt;='SLOT_RULES'!$D$12,0,INT(($A44-'SLOT_RULES'!$D$12-1)/'SLOT_RULES'!$E$12)+1)*'SLOT_RULES'!$E$12</f>
        <v/>
      </c>
      <c r="N44" s="156">
        <f>'SLOT_RULES'!$D$13+IF($A44&lt;='SLOT_RULES'!$D$13,0,INT(($A44-'SLOT_RULES'!$D$13-1)/'SLOT_RULES'!$E$13)+1)*'SLOT_RULES'!$E$13</f>
        <v/>
      </c>
      <c r="O44" s="156">
        <f>'SLOT_RULES'!$D$14+IF($A44&lt;='SLOT_RULES'!$D$14,0,INT(($A44-'SLOT_RULES'!$D$14-1)/'SLOT_RULES'!$E$14)+1)*'SLOT_RULES'!$E$14</f>
        <v/>
      </c>
      <c r="P44" s="156">
        <f>'SLOT_RULES'!$D$15+IF($A44&lt;='SLOT_RULES'!$D$15,0,INT(($A44-'SLOT_RULES'!$D$15-1)/'SLOT_RULES'!$E$15)+1)*'SLOT_RULES'!$E$15</f>
        <v/>
      </c>
      <c r="Q44" s="158">
        <f>MIN(E44:P44)-A44</f>
        <v/>
      </c>
      <c r="R44" s="158">
        <f>MAX(E44:P44)-A44</f>
        <v/>
      </c>
      <c r="S44" s="86">
        <f>IF(AND(COUNT(E44:P44)=10,MIN(E44:P44)&gt;=A44),"PASS","FAIL")</f>
        <v/>
      </c>
      <c r="T44" s="86">
        <f>IF((COUNTIF('LOCAL_REFERENCE'!$D44:$O44,E44)+COUNTIF('LOCAL_REFERENCE'!$D44:$O44,H44)+COUNTIF('LOCAL_REFERENCE'!$D44:$O44,I44)+COUNTIF('LOCAL_REFERENCE'!$D44:$O44,J44)+COUNTIF('LOCAL_REFERENCE'!$D44:$O44,K44)+COUNTIF('LOCAL_REFERENCE'!$D44:$O44,L44)+COUNTIF('LOCAL_REFERENCE'!$D44:$O44,M44)+COUNTIF('LOCAL_REFERENCE'!$D44:$O44,N44)+COUNTIF('LOCAL_REFERENCE'!$D44:$O44,O44)+COUNTIF('LOCAL_REFERENCE'!$D44:$O44,P44))=0,"PASS","FAIL")</f>
        <v/>
      </c>
      <c r="U44" s="86">
        <f>IF((COUNTIF('VPS_REFERENCE'!$D44:$H44,E44)+COUNTIF('VPS_REFERENCE'!$D44:$H44,H44)+COUNTIF('VPS_REFERENCE'!$D44:$H44,I44)+COUNTIF('VPS_REFERENCE'!$D44:$H44,J44)+COUNTIF('VPS_REFERENCE'!$D44:$H44,K44)+COUNTIF('VPS_REFERENCE'!$D44:$H44,L44)+COUNTIF('VPS_REFERENCE'!$D44:$H44,M44)+COUNTIF('VPS_REFERENCE'!$D44:$H44,N44)+COUNTIF('VPS_REFERENCE'!$D44:$H44,O44)+COUNTIF('VPS_REFERENCE'!$D44:$H44,P44))=0,"PASS","FAIL")</f>
        <v/>
      </c>
      <c r="V44" s="86">
        <f>IF(OR(E44=H44,E44=I44,E44=J44,E44=K44,E44=L44,E44=M44,E44=N44,E44=O44,E44=P44,H44=I44,H44=J44,H44=K44,H44=L44,H44=M44,H44=N44,H44=O44,H44=P44,I44=J44,I44=K44,I44=L44,I44=M44,I44=N44,I44=O44,I44=P44,J44=K44,J44=L44,J44=M44,J44=N44,J44=O44,J44=P44,K44=L44,K44=M44,K44=N44,K44=O44,K44=P44,L44=M44,L44=N44,L44=O44,L44=P44,M44=N44,M44=O44,M44=P44,N44=O44,N44=P44,O44=P44),"FAIL","PASS")</f>
        <v/>
      </c>
      <c r="W44" s="87">
        <f>'CRAWL_LOG'!B44</f>
        <v/>
      </c>
      <c r="X44" s="95" t="inlineStr">
        <is>
          <t>10-slot panel: 7 near + 3 far; AN2/AN3 inactive from 03/09</t>
        </is>
      </c>
    </row>
    <row r="45">
      <c r="A45" s="155" t="n">
        <v>46308</v>
      </c>
      <c r="B45" s="83" t="inlineStr">
        <is>
          <t>Thứ Ba</t>
        </is>
      </c>
      <c r="C45" s="83" t="inlineStr">
        <is>
          <t>Official</t>
        </is>
      </c>
      <c r="D45" s="83" t="inlineStr">
        <is>
          <t>00:30</t>
        </is>
      </c>
      <c r="E45" s="156">
        <f>'SLOT_RULES'!$D$4+IF($A45&lt;='SLOT_RULES'!$D$4,0,INT(($A45-'SLOT_RULES'!$D$4-1)/'SLOT_RULES'!$E$4)+1)*'SLOT_RULES'!$E$4</f>
        <v/>
      </c>
      <c r="F45" s="157" t="n"/>
      <c r="G45" s="157" t="n"/>
      <c r="H45" s="156">
        <f>'SLOT_RULES'!$D$7+IF($A45&lt;='SLOT_RULES'!$D$7,0,INT(($A45-'SLOT_RULES'!$D$7-1)/'SLOT_RULES'!$E$7)+1)*'SLOT_RULES'!$E$7</f>
        <v/>
      </c>
      <c r="I45" s="156">
        <f>'SLOT_RULES'!$D$8+IF($A45&lt;='SLOT_RULES'!$D$8,0,INT(($A45-'SLOT_RULES'!$D$8-1)/'SLOT_RULES'!$E$8)+1)*'SLOT_RULES'!$E$8</f>
        <v/>
      </c>
      <c r="J45" s="156">
        <f>'SLOT_RULES'!$D$9+IF($A45&lt;='SLOT_RULES'!$D$9,0,INT(($A45-'SLOT_RULES'!$D$9-1)/'SLOT_RULES'!$E$9)+1)*'SLOT_RULES'!$E$9</f>
        <v/>
      </c>
      <c r="K45" s="156">
        <f>'SLOT_RULES'!$D$10+IF($A45&lt;='SLOT_RULES'!$D$10,0,INT(($A45-'SLOT_RULES'!$D$10-1)/'SLOT_RULES'!$E$10)+1)*'SLOT_RULES'!$E$10</f>
        <v/>
      </c>
      <c r="L45" s="156">
        <f>'SLOT_RULES'!$D$11+IF($A45&lt;='SLOT_RULES'!$D$11,0,INT(($A45-'SLOT_RULES'!$D$11-1)/'SLOT_RULES'!$E$11)+1)*'SLOT_RULES'!$E$11</f>
        <v/>
      </c>
      <c r="M45" s="156">
        <f>'SLOT_RULES'!$D$12+IF($A45&lt;='SLOT_RULES'!$D$12,0,INT(($A45-'SLOT_RULES'!$D$12-1)/'SLOT_RULES'!$E$12)+1)*'SLOT_RULES'!$E$12</f>
        <v/>
      </c>
      <c r="N45" s="156">
        <f>'SLOT_RULES'!$D$13+IF($A45&lt;='SLOT_RULES'!$D$13,0,INT(($A45-'SLOT_RULES'!$D$13-1)/'SLOT_RULES'!$E$13)+1)*'SLOT_RULES'!$E$13</f>
        <v/>
      </c>
      <c r="O45" s="156">
        <f>'SLOT_RULES'!$D$14+IF($A45&lt;='SLOT_RULES'!$D$14,0,INT(($A45-'SLOT_RULES'!$D$14-1)/'SLOT_RULES'!$E$14)+1)*'SLOT_RULES'!$E$14</f>
        <v/>
      </c>
      <c r="P45" s="156">
        <f>'SLOT_RULES'!$D$15+IF($A45&lt;='SLOT_RULES'!$D$15,0,INT(($A45-'SLOT_RULES'!$D$15-1)/'SLOT_RULES'!$E$15)+1)*'SLOT_RULES'!$E$15</f>
        <v/>
      </c>
      <c r="Q45" s="158">
        <f>MIN(E45:P45)-A45</f>
        <v/>
      </c>
      <c r="R45" s="158">
        <f>MAX(E45:P45)-A45</f>
        <v/>
      </c>
      <c r="S45" s="86">
        <f>IF(AND(COUNT(E45:P45)=10,MIN(E45:P45)&gt;=A45),"PASS","FAIL")</f>
        <v/>
      </c>
      <c r="T45" s="86">
        <f>IF((COUNTIF('LOCAL_REFERENCE'!$D45:$O45,E45)+COUNTIF('LOCAL_REFERENCE'!$D45:$O45,H45)+COUNTIF('LOCAL_REFERENCE'!$D45:$O45,I45)+COUNTIF('LOCAL_REFERENCE'!$D45:$O45,J45)+COUNTIF('LOCAL_REFERENCE'!$D45:$O45,K45)+COUNTIF('LOCAL_REFERENCE'!$D45:$O45,L45)+COUNTIF('LOCAL_REFERENCE'!$D45:$O45,M45)+COUNTIF('LOCAL_REFERENCE'!$D45:$O45,N45)+COUNTIF('LOCAL_REFERENCE'!$D45:$O45,O45)+COUNTIF('LOCAL_REFERENCE'!$D45:$O45,P45))=0,"PASS","FAIL")</f>
        <v/>
      </c>
      <c r="U45" s="86">
        <f>IF((COUNTIF('VPS_REFERENCE'!$D45:$H45,E45)+COUNTIF('VPS_REFERENCE'!$D45:$H45,H45)+COUNTIF('VPS_REFERENCE'!$D45:$H45,I45)+COUNTIF('VPS_REFERENCE'!$D45:$H45,J45)+COUNTIF('VPS_REFERENCE'!$D45:$H45,K45)+COUNTIF('VPS_REFERENCE'!$D45:$H45,L45)+COUNTIF('VPS_REFERENCE'!$D45:$H45,M45)+COUNTIF('VPS_REFERENCE'!$D45:$H45,N45)+COUNTIF('VPS_REFERENCE'!$D45:$H45,O45)+COUNTIF('VPS_REFERENCE'!$D45:$H45,P45))=0,"PASS","FAIL")</f>
        <v/>
      </c>
      <c r="V45" s="86">
        <f>IF(OR(E45=H45,E45=I45,E45=J45,E45=K45,E45=L45,E45=M45,E45=N45,E45=O45,E45=P45,H45=I45,H45=J45,H45=K45,H45=L45,H45=M45,H45=N45,H45=O45,H45=P45,I45=J45,I45=K45,I45=L45,I45=M45,I45=N45,I45=O45,I45=P45,J45=K45,J45=L45,J45=M45,J45=N45,J45=O45,J45=P45,K45=L45,K45=M45,K45=N45,K45=O45,K45=P45,L45=M45,L45=N45,L45=O45,L45=P45,M45=N45,M45=O45,M45=P45,N45=O45,N45=P45,O45=P45),"FAIL","PASS")</f>
        <v/>
      </c>
      <c r="W45" s="87">
        <f>'CRAWL_LOG'!B45</f>
        <v/>
      </c>
      <c r="X45" s="95" t="inlineStr">
        <is>
          <t>10-slot panel: 7 near + 3 far; AN2/AN3 inactive from 03/09</t>
        </is>
      </c>
    </row>
    <row r="46">
      <c r="A46" s="155" t="n">
        <v>46309</v>
      </c>
      <c r="B46" s="83" t="inlineStr">
        <is>
          <t>Thứ Tư</t>
        </is>
      </c>
      <c r="C46" s="83" t="inlineStr">
        <is>
          <t>Official</t>
        </is>
      </c>
      <c r="D46" s="83" t="inlineStr">
        <is>
          <t>00:30</t>
        </is>
      </c>
      <c r="E46" s="156">
        <f>'SLOT_RULES'!$D$4+IF($A46&lt;='SLOT_RULES'!$D$4,0,INT(($A46-'SLOT_RULES'!$D$4-1)/'SLOT_RULES'!$E$4)+1)*'SLOT_RULES'!$E$4</f>
        <v/>
      </c>
      <c r="F46" s="157" t="n"/>
      <c r="G46" s="157" t="n"/>
      <c r="H46" s="156">
        <f>'SLOT_RULES'!$D$7+IF($A46&lt;='SLOT_RULES'!$D$7,0,INT(($A46-'SLOT_RULES'!$D$7-1)/'SLOT_RULES'!$E$7)+1)*'SLOT_RULES'!$E$7</f>
        <v/>
      </c>
      <c r="I46" s="156">
        <f>'SLOT_RULES'!$D$8+IF($A46&lt;='SLOT_RULES'!$D$8,0,INT(($A46-'SLOT_RULES'!$D$8-1)/'SLOT_RULES'!$E$8)+1)*'SLOT_RULES'!$E$8</f>
        <v/>
      </c>
      <c r="J46" s="156">
        <f>'SLOT_RULES'!$D$9+IF($A46&lt;='SLOT_RULES'!$D$9,0,INT(($A46-'SLOT_RULES'!$D$9-1)/'SLOT_RULES'!$E$9)+1)*'SLOT_RULES'!$E$9</f>
        <v/>
      </c>
      <c r="K46" s="156">
        <f>'SLOT_RULES'!$D$10+IF($A46&lt;='SLOT_RULES'!$D$10,0,INT(($A46-'SLOT_RULES'!$D$10-1)/'SLOT_RULES'!$E$10)+1)*'SLOT_RULES'!$E$10</f>
        <v/>
      </c>
      <c r="L46" s="156">
        <f>'SLOT_RULES'!$D$11+IF($A46&lt;='SLOT_RULES'!$D$11,0,INT(($A46-'SLOT_RULES'!$D$11-1)/'SLOT_RULES'!$E$11)+1)*'SLOT_RULES'!$E$11</f>
        <v/>
      </c>
      <c r="M46" s="156">
        <f>'SLOT_RULES'!$D$12+IF($A46&lt;='SLOT_RULES'!$D$12,0,INT(($A46-'SLOT_RULES'!$D$12-1)/'SLOT_RULES'!$E$12)+1)*'SLOT_RULES'!$E$12</f>
        <v/>
      </c>
      <c r="N46" s="156">
        <f>'SLOT_RULES'!$D$13+IF($A46&lt;='SLOT_RULES'!$D$13,0,INT(($A46-'SLOT_RULES'!$D$13-1)/'SLOT_RULES'!$E$13)+1)*'SLOT_RULES'!$E$13</f>
        <v/>
      </c>
      <c r="O46" s="156">
        <f>'SLOT_RULES'!$D$14+IF($A46&lt;='SLOT_RULES'!$D$14,0,INT(($A46-'SLOT_RULES'!$D$14-1)/'SLOT_RULES'!$E$14)+1)*'SLOT_RULES'!$E$14</f>
        <v/>
      </c>
      <c r="P46" s="156">
        <f>'SLOT_RULES'!$D$15+IF($A46&lt;='SLOT_RULES'!$D$15,0,INT(($A46-'SLOT_RULES'!$D$15-1)/'SLOT_RULES'!$E$15)+1)*'SLOT_RULES'!$E$15</f>
        <v/>
      </c>
      <c r="Q46" s="158">
        <f>MIN(E46:P46)-A46</f>
        <v/>
      </c>
      <c r="R46" s="158">
        <f>MAX(E46:P46)-A46</f>
        <v/>
      </c>
      <c r="S46" s="86">
        <f>IF(AND(COUNT(E46:P46)=10,MIN(E46:P46)&gt;=A46),"PASS","FAIL")</f>
        <v/>
      </c>
      <c r="T46" s="86">
        <f>IF((COUNTIF('LOCAL_REFERENCE'!$D46:$O46,E46)+COUNTIF('LOCAL_REFERENCE'!$D46:$O46,H46)+COUNTIF('LOCAL_REFERENCE'!$D46:$O46,I46)+COUNTIF('LOCAL_REFERENCE'!$D46:$O46,J46)+COUNTIF('LOCAL_REFERENCE'!$D46:$O46,K46)+COUNTIF('LOCAL_REFERENCE'!$D46:$O46,L46)+COUNTIF('LOCAL_REFERENCE'!$D46:$O46,M46)+COUNTIF('LOCAL_REFERENCE'!$D46:$O46,N46)+COUNTIF('LOCAL_REFERENCE'!$D46:$O46,O46)+COUNTIF('LOCAL_REFERENCE'!$D46:$O46,P46))=0,"PASS","FAIL")</f>
        <v/>
      </c>
      <c r="U46" s="86">
        <f>IF((COUNTIF('VPS_REFERENCE'!$D46:$H46,E46)+COUNTIF('VPS_REFERENCE'!$D46:$H46,H46)+COUNTIF('VPS_REFERENCE'!$D46:$H46,I46)+COUNTIF('VPS_REFERENCE'!$D46:$H46,J46)+COUNTIF('VPS_REFERENCE'!$D46:$H46,K46)+COUNTIF('VPS_REFERENCE'!$D46:$H46,L46)+COUNTIF('VPS_REFERENCE'!$D46:$H46,M46)+COUNTIF('VPS_REFERENCE'!$D46:$H46,N46)+COUNTIF('VPS_REFERENCE'!$D46:$H46,O46)+COUNTIF('VPS_REFERENCE'!$D46:$H46,P46))=0,"PASS","FAIL")</f>
        <v/>
      </c>
      <c r="V46" s="86">
        <f>IF(OR(E46=H46,E46=I46,E46=J46,E46=K46,E46=L46,E46=M46,E46=N46,E46=O46,E46=P46,H46=I46,H46=J46,H46=K46,H46=L46,H46=M46,H46=N46,H46=O46,H46=P46,I46=J46,I46=K46,I46=L46,I46=M46,I46=N46,I46=O46,I46=P46,J46=K46,J46=L46,J46=M46,J46=N46,J46=O46,J46=P46,K46=L46,K46=M46,K46=N46,K46=O46,K46=P46,L46=M46,L46=N46,L46=O46,L46=P46,M46=N46,M46=O46,M46=P46,N46=O46,N46=P46,O46=P46),"FAIL","PASS")</f>
        <v/>
      </c>
      <c r="W46" s="87">
        <f>'CRAWL_LOG'!B46</f>
        <v/>
      </c>
      <c r="X46" s="95" t="inlineStr">
        <is>
          <t>10-slot panel: 7 near + 3 far; AN2/AN3 inactive from 03/09</t>
        </is>
      </c>
    </row>
    <row r="47">
      <c r="A47" s="155" t="n">
        <v>46310</v>
      </c>
      <c r="B47" s="83" t="inlineStr">
        <is>
          <t>Thứ Năm</t>
        </is>
      </c>
      <c r="C47" s="83" t="inlineStr">
        <is>
          <t>Official</t>
        </is>
      </c>
      <c r="D47" s="83" t="inlineStr">
        <is>
          <t>00:30</t>
        </is>
      </c>
      <c r="E47" s="156">
        <f>'SLOT_RULES'!$D$4+IF($A47&lt;='SLOT_RULES'!$D$4,0,INT(($A47-'SLOT_RULES'!$D$4-1)/'SLOT_RULES'!$E$4)+1)*'SLOT_RULES'!$E$4</f>
        <v/>
      </c>
      <c r="F47" s="157" t="n"/>
      <c r="G47" s="157" t="n"/>
      <c r="H47" s="156">
        <f>'SLOT_RULES'!$D$7+IF($A47&lt;='SLOT_RULES'!$D$7,0,INT(($A47-'SLOT_RULES'!$D$7-1)/'SLOT_RULES'!$E$7)+1)*'SLOT_RULES'!$E$7</f>
        <v/>
      </c>
      <c r="I47" s="156">
        <f>'SLOT_RULES'!$D$8+IF($A47&lt;='SLOT_RULES'!$D$8,0,INT(($A47-'SLOT_RULES'!$D$8-1)/'SLOT_RULES'!$E$8)+1)*'SLOT_RULES'!$E$8</f>
        <v/>
      </c>
      <c r="J47" s="156">
        <f>'SLOT_RULES'!$D$9+IF($A47&lt;='SLOT_RULES'!$D$9,0,INT(($A47-'SLOT_RULES'!$D$9-1)/'SLOT_RULES'!$E$9)+1)*'SLOT_RULES'!$E$9</f>
        <v/>
      </c>
      <c r="K47" s="156">
        <f>'SLOT_RULES'!$D$10+IF($A47&lt;='SLOT_RULES'!$D$10,0,INT(($A47-'SLOT_RULES'!$D$10-1)/'SLOT_RULES'!$E$10)+1)*'SLOT_RULES'!$E$10</f>
        <v/>
      </c>
      <c r="L47" s="156">
        <f>'SLOT_RULES'!$D$11+IF($A47&lt;='SLOT_RULES'!$D$11,0,INT(($A47-'SLOT_RULES'!$D$11-1)/'SLOT_RULES'!$E$11)+1)*'SLOT_RULES'!$E$11</f>
        <v/>
      </c>
      <c r="M47" s="156">
        <f>'SLOT_RULES'!$D$12+IF($A47&lt;='SLOT_RULES'!$D$12,0,INT(($A47-'SLOT_RULES'!$D$12-1)/'SLOT_RULES'!$E$12)+1)*'SLOT_RULES'!$E$12</f>
        <v/>
      </c>
      <c r="N47" s="156">
        <f>'SLOT_RULES'!$D$13+IF($A47&lt;='SLOT_RULES'!$D$13,0,INT(($A47-'SLOT_RULES'!$D$13-1)/'SLOT_RULES'!$E$13)+1)*'SLOT_RULES'!$E$13</f>
        <v/>
      </c>
      <c r="O47" s="156">
        <f>'SLOT_RULES'!$D$14+IF($A47&lt;='SLOT_RULES'!$D$14,0,INT(($A47-'SLOT_RULES'!$D$14-1)/'SLOT_RULES'!$E$14)+1)*'SLOT_RULES'!$E$14</f>
        <v/>
      </c>
      <c r="P47" s="156">
        <f>'SLOT_RULES'!$D$15+IF($A47&lt;='SLOT_RULES'!$D$15,0,INT(($A47-'SLOT_RULES'!$D$15-1)/'SLOT_RULES'!$E$15)+1)*'SLOT_RULES'!$E$15</f>
        <v/>
      </c>
      <c r="Q47" s="158">
        <f>MIN(E47:P47)-A47</f>
        <v/>
      </c>
      <c r="R47" s="158">
        <f>MAX(E47:P47)-A47</f>
        <v/>
      </c>
      <c r="S47" s="86">
        <f>IF(AND(COUNT(E47:P47)=10,MIN(E47:P47)&gt;=A47),"PASS","FAIL")</f>
        <v/>
      </c>
      <c r="T47" s="86">
        <f>IF((COUNTIF('LOCAL_REFERENCE'!$D47:$O47,E47)+COUNTIF('LOCAL_REFERENCE'!$D47:$O47,H47)+COUNTIF('LOCAL_REFERENCE'!$D47:$O47,I47)+COUNTIF('LOCAL_REFERENCE'!$D47:$O47,J47)+COUNTIF('LOCAL_REFERENCE'!$D47:$O47,K47)+COUNTIF('LOCAL_REFERENCE'!$D47:$O47,L47)+COUNTIF('LOCAL_REFERENCE'!$D47:$O47,M47)+COUNTIF('LOCAL_REFERENCE'!$D47:$O47,N47)+COUNTIF('LOCAL_REFERENCE'!$D47:$O47,O47)+COUNTIF('LOCAL_REFERENCE'!$D47:$O47,P47))=0,"PASS","FAIL")</f>
        <v/>
      </c>
      <c r="U47" s="86">
        <f>IF((COUNTIF('VPS_REFERENCE'!$D47:$H47,E47)+COUNTIF('VPS_REFERENCE'!$D47:$H47,H47)+COUNTIF('VPS_REFERENCE'!$D47:$H47,I47)+COUNTIF('VPS_REFERENCE'!$D47:$H47,J47)+COUNTIF('VPS_REFERENCE'!$D47:$H47,K47)+COUNTIF('VPS_REFERENCE'!$D47:$H47,L47)+COUNTIF('VPS_REFERENCE'!$D47:$H47,M47)+COUNTIF('VPS_REFERENCE'!$D47:$H47,N47)+COUNTIF('VPS_REFERENCE'!$D47:$H47,O47)+COUNTIF('VPS_REFERENCE'!$D47:$H47,P47))=0,"PASS","FAIL")</f>
        <v/>
      </c>
      <c r="V47" s="86">
        <f>IF(OR(E47=H47,E47=I47,E47=J47,E47=K47,E47=L47,E47=M47,E47=N47,E47=O47,E47=P47,H47=I47,H47=J47,H47=K47,H47=L47,H47=M47,H47=N47,H47=O47,H47=P47,I47=J47,I47=K47,I47=L47,I47=M47,I47=N47,I47=O47,I47=P47,J47=K47,J47=L47,J47=M47,J47=N47,J47=O47,J47=P47,K47=L47,K47=M47,K47=N47,K47=O47,K47=P47,L47=M47,L47=N47,L47=O47,L47=P47,M47=N47,M47=O47,M47=P47,N47=O47,N47=P47,O47=P47),"FAIL","PASS")</f>
        <v/>
      </c>
      <c r="W47" s="87">
        <f>'CRAWL_LOG'!B47</f>
        <v/>
      </c>
      <c r="X47" s="95" t="inlineStr">
        <is>
          <t>10-slot panel: 7 near + 3 far; AN2/AN3 inactive from 03/09</t>
        </is>
      </c>
    </row>
    <row r="48">
      <c r="A48" s="155" t="n">
        <v>46311</v>
      </c>
      <c r="B48" s="83" t="inlineStr">
        <is>
          <t>Thứ Sáu</t>
        </is>
      </c>
      <c r="C48" s="83" t="inlineStr">
        <is>
          <t>Official</t>
        </is>
      </c>
      <c r="D48" s="83" t="inlineStr">
        <is>
          <t>00:30</t>
        </is>
      </c>
      <c r="E48" s="156">
        <f>'SLOT_RULES'!$D$4+IF($A48&lt;='SLOT_RULES'!$D$4,0,INT(($A48-'SLOT_RULES'!$D$4-1)/'SLOT_RULES'!$E$4)+1)*'SLOT_RULES'!$E$4</f>
        <v/>
      </c>
      <c r="F48" s="157" t="n"/>
      <c r="G48" s="157" t="n"/>
      <c r="H48" s="156">
        <f>'SLOT_RULES'!$D$7+IF($A48&lt;='SLOT_RULES'!$D$7,0,INT(($A48-'SLOT_RULES'!$D$7-1)/'SLOT_RULES'!$E$7)+1)*'SLOT_RULES'!$E$7</f>
        <v/>
      </c>
      <c r="I48" s="156">
        <f>'SLOT_RULES'!$D$8+IF($A48&lt;='SLOT_RULES'!$D$8,0,INT(($A48-'SLOT_RULES'!$D$8-1)/'SLOT_RULES'!$E$8)+1)*'SLOT_RULES'!$E$8</f>
        <v/>
      </c>
      <c r="J48" s="156">
        <f>'SLOT_RULES'!$D$9+IF($A48&lt;='SLOT_RULES'!$D$9,0,INT(($A48-'SLOT_RULES'!$D$9-1)/'SLOT_RULES'!$E$9)+1)*'SLOT_RULES'!$E$9</f>
        <v/>
      </c>
      <c r="K48" s="156">
        <f>'SLOT_RULES'!$D$10+IF($A48&lt;='SLOT_RULES'!$D$10,0,INT(($A48-'SLOT_RULES'!$D$10-1)/'SLOT_RULES'!$E$10)+1)*'SLOT_RULES'!$E$10</f>
        <v/>
      </c>
      <c r="L48" s="156">
        <f>'SLOT_RULES'!$D$11+IF($A48&lt;='SLOT_RULES'!$D$11,0,INT(($A48-'SLOT_RULES'!$D$11-1)/'SLOT_RULES'!$E$11)+1)*'SLOT_RULES'!$E$11</f>
        <v/>
      </c>
      <c r="M48" s="156">
        <f>'SLOT_RULES'!$D$12+IF($A48&lt;='SLOT_RULES'!$D$12,0,INT(($A48-'SLOT_RULES'!$D$12-1)/'SLOT_RULES'!$E$12)+1)*'SLOT_RULES'!$E$12</f>
        <v/>
      </c>
      <c r="N48" s="156">
        <f>'SLOT_RULES'!$D$13+IF($A48&lt;='SLOT_RULES'!$D$13,0,INT(($A48-'SLOT_RULES'!$D$13-1)/'SLOT_RULES'!$E$13)+1)*'SLOT_RULES'!$E$13</f>
        <v/>
      </c>
      <c r="O48" s="156">
        <f>'SLOT_RULES'!$D$14+IF($A48&lt;='SLOT_RULES'!$D$14,0,INT(($A48-'SLOT_RULES'!$D$14-1)/'SLOT_RULES'!$E$14)+1)*'SLOT_RULES'!$E$14</f>
        <v/>
      </c>
      <c r="P48" s="156">
        <f>'SLOT_RULES'!$D$15+IF($A48&lt;='SLOT_RULES'!$D$15,0,INT(($A48-'SLOT_RULES'!$D$15-1)/'SLOT_RULES'!$E$15)+1)*'SLOT_RULES'!$E$15</f>
        <v/>
      </c>
      <c r="Q48" s="158">
        <f>MIN(E48:P48)-A48</f>
        <v/>
      </c>
      <c r="R48" s="158">
        <f>MAX(E48:P48)-A48</f>
        <v/>
      </c>
      <c r="S48" s="86">
        <f>IF(AND(COUNT(E48:P48)=10,MIN(E48:P48)&gt;=A48),"PASS","FAIL")</f>
        <v/>
      </c>
      <c r="T48" s="86">
        <f>IF((COUNTIF('LOCAL_REFERENCE'!$D48:$O48,E48)+COUNTIF('LOCAL_REFERENCE'!$D48:$O48,H48)+COUNTIF('LOCAL_REFERENCE'!$D48:$O48,I48)+COUNTIF('LOCAL_REFERENCE'!$D48:$O48,J48)+COUNTIF('LOCAL_REFERENCE'!$D48:$O48,K48)+COUNTIF('LOCAL_REFERENCE'!$D48:$O48,L48)+COUNTIF('LOCAL_REFERENCE'!$D48:$O48,M48)+COUNTIF('LOCAL_REFERENCE'!$D48:$O48,N48)+COUNTIF('LOCAL_REFERENCE'!$D48:$O48,O48)+COUNTIF('LOCAL_REFERENCE'!$D48:$O48,P48))=0,"PASS","FAIL")</f>
        <v/>
      </c>
      <c r="U48" s="86">
        <f>IF((COUNTIF('VPS_REFERENCE'!$D48:$H48,E48)+COUNTIF('VPS_REFERENCE'!$D48:$H48,H48)+COUNTIF('VPS_REFERENCE'!$D48:$H48,I48)+COUNTIF('VPS_REFERENCE'!$D48:$H48,J48)+COUNTIF('VPS_REFERENCE'!$D48:$H48,K48)+COUNTIF('VPS_REFERENCE'!$D48:$H48,L48)+COUNTIF('VPS_REFERENCE'!$D48:$H48,M48)+COUNTIF('VPS_REFERENCE'!$D48:$H48,N48)+COUNTIF('VPS_REFERENCE'!$D48:$H48,O48)+COUNTIF('VPS_REFERENCE'!$D48:$H48,P48))=0,"PASS","FAIL")</f>
        <v/>
      </c>
      <c r="V48" s="86">
        <f>IF(OR(E48=H48,E48=I48,E48=J48,E48=K48,E48=L48,E48=M48,E48=N48,E48=O48,E48=P48,H48=I48,H48=J48,H48=K48,H48=L48,H48=M48,H48=N48,H48=O48,H48=P48,I48=J48,I48=K48,I48=L48,I48=M48,I48=N48,I48=O48,I48=P48,J48=K48,J48=L48,J48=M48,J48=N48,J48=O48,J48=P48,K48=L48,K48=M48,K48=N48,K48=O48,K48=P48,L48=M48,L48=N48,L48=O48,L48=P48,M48=N48,M48=O48,M48=P48,N48=O48,N48=P48,O48=P48),"FAIL","PASS")</f>
        <v/>
      </c>
      <c r="W48" s="87">
        <f>'CRAWL_LOG'!B48</f>
        <v/>
      </c>
      <c r="X48" s="95" t="inlineStr">
        <is>
          <t>10-slot panel: 7 near + 3 far; AN2/AN3 inactive from 03/09</t>
        </is>
      </c>
    </row>
    <row r="49">
      <c r="A49" s="155" t="n">
        <v>46312</v>
      </c>
      <c r="B49" s="83" t="inlineStr">
        <is>
          <t>Thứ Bảy</t>
        </is>
      </c>
      <c r="C49" s="83" t="inlineStr">
        <is>
          <t>Official</t>
        </is>
      </c>
      <c r="D49" s="83" t="inlineStr">
        <is>
          <t>00:30</t>
        </is>
      </c>
      <c r="E49" s="156">
        <f>'SLOT_RULES'!$D$4+IF($A49&lt;='SLOT_RULES'!$D$4,0,INT(($A49-'SLOT_RULES'!$D$4-1)/'SLOT_RULES'!$E$4)+1)*'SLOT_RULES'!$E$4</f>
        <v/>
      </c>
      <c r="F49" s="157" t="n"/>
      <c r="G49" s="157" t="n"/>
      <c r="H49" s="156">
        <f>'SLOT_RULES'!$D$7+IF($A49&lt;='SLOT_RULES'!$D$7,0,INT(($A49-'SLOT_RULES'!$D$7-1)/'SLOT_RULES'!$E$7)+1)*'SLOT_RULES'!$E$7</f>
        <v/>
      </c>
      <c r="I49" s="156">
        <f>'SLOT_RULES'!$D$8+IF($A49&lt;='SLOT_RULES'!$D$8,0,INT(($A49-'SLOT_RULES'!$D$8-1)/'SLOT_RULES'!$E$8)+1)*'SLOT_RULES'!$E$8</f>
        <v/>
      </c>
      <c r="J49" s="156">
        <f>'SLOT_RULES'!$D$9+IF($A49&lt;='SLOT_RULES'!$D$9,0,INT(($A49-'SLOT_RULES'!$D$9-1)/'SLOT_RULES'!$E$9)+1)*'SLOT_RULES'!$E$9</f>
        <v/>
      </c>
      <c r="K49" s="156">
        <f>'SLOT_RULES'!$D$10+IF($A49&lt;='SLOT_RULES'!$D$10,0,INT(($A49-'SLOT_RULES'!$D$10-1)/'SLOT_RULES'!$E$10)+1)*'SLOT_RULES'!$E$10</f>
        <v/>
      </c>
      <c r="L49" s="156">
        <f>'SLOT_RULES'!$D$11+IF($A49&lt;='SLOT_RULES'!$D$11,0,INT(($A49-'SLOT_RULES'!$D$11-1)/'SLOT_RULES'!$E$11)+1)*'SLOT_RULES'!$E$11</f>
        <v/>
      </c>
      <c r="M49" s="156">
        <f>'SLOT_RULES'!$D$12+IF($A49&lt;='SLOT_RULES'!$D$12,0,INT(($A49-'SLOT_RULES'!$D$12-1)/'SLOT_RULES'!$E$12)+1)*'SLOT_RULES'!$E$12</f>
        <v/>
      </c>
      <c r="N49" s="156">
        <f>'SLOT_RULES'!$D$13+IF($A49&lt;='SLOT_RULES'!$D$13,0,INT(($A49-'SLOT_RULES'!$D$13-1)/'SLOT_RULES'!$E$13)+1)*'SLOT_RULES'!$E$13</f>
        <v/>
      </c>
      <c r="O49" s="156">
        <f>'SLOT_RULES'!$D$14+IF($A49&lt;='SLOT_RULES'!$D$14,0,INT(($A49-'SLOT_RULES'!$D$14-1)/'SLOT_RULES'!$E$14)+1)*'SLOT_RULES'!$E$14</f>
        <v/>
      </c>
      <c r="P49" s="156">
        <f>'SLOT_RULES'!$D$15+IF($A49&lt;='SLOT_RULES'!$D$15,0,INT(($A49-'SLOT_RULES'!$D$15-1)/'SLOT_RULES'!$E$15)+1)*'SLOT_RULES'!$E$15</f>
        <v/>
      </c>
      <c r="Q49" s="158">
        <f>MIN(E49:P49)-A49</f>
        <v/>
      </c>
      <c r="R49" s="158">
        <f>MAX(E49:P49)-A49</f>
        <v/>
      </c>
      <c r="S49" s="86">
        <f>IF(AND(COUNT(E49:P49)=10,MIN(E49:P49)&gt;=A49),"PASS","FAIL")</f>
        <v/>
      </c>
      <c r="T49" s="86">
        <f>IF((COUNTIF('LOCAL_REFERENCE'!$D49:$O49,E49)+COUNTIF('LOCAL_REFERENCE'!$D49:$O49,H49)+COUNTIF('LOCAL_REFERENCE'!$D49:$O49,I49)+COUNTIF('LOCAL_REFERENCE'!$D49:$O49,J49)+COUNTIF('LOCAL_REFERENCE'!$D49:$O49,K49)+COUNTIF('LOCAL_REFERENCE'!$D49:$O49,L49)+COUNTIF('LOCAL_REFERENCE'!$D49:$O49,M49)+COUNTIF('LOCAL_REFERENCE'!$D49:$O49,N49)+COUNTIF('LOCAL_REFERENCE'!$D49:$O49,O49)+COUNTIF('LOCAL_REFERENCE'!$D49:$O49,P49))=0,"PASS","FAIL")</f>
        <v/>
      </c>
      <c r="U49" s="86">
        <f>IF((COUNTIF('VPS_REFERENCE'!$D49:$H49,E49)+COUNTIF('VPS_REFERENCE'!$D49:$H49,H49)+COUNTIF('VPS_REFERENCE'!$D49:$H49,I49)+COUNTIF('VPS_REFERENCE'!$D49:$H49,J49)+COUNTIF('VPS_REFERENCE'!$D49:$H49,K49)+COUNTIF('VPS_REFERENCE'!$D49:$H49,L49)+COUNTIF('VPS_REFERENCE'!$D49:$H49,M49)+COUNTIF('VPS_REFERENCE'!$D49:$H49,N49)+COUNTIF('VPS_REFERENCE'!$D49:$H49,O49)+COUNTIF('VPS_REFERENCE'!$D49:$H49,P49))=0,"PASS","FAIL")</f>
        <v/>
      </c>
      <c r="V49" s="86">
        <f>IF(OR(E49=H49,E49=I49,E49=J49,E49=K49,E49=L49,E49=M49,E49=N49,E49=O49,E49=P49,H49=I49,H49=J49,H49=K49,H49=L49,H49=M49,H49=N49,H49=O49,H49=P49,I49=J49,I49=K49,I49=L49,I49=M49,I49=N49,I49=O49,I49=P49,J49=K49,J49=L49,J49=M49,J49=N49,J49=O49,J49=P49,K49=L49,K49=M49,K49=N49,K49=O49,K49=P49,L49=M49,L49=N49,L49=O49,L49=P49,M49=N49,M49=O49,M49=P49,N49=O49,N49=P49,O49=P49),"FAIL","PASS")</f>
        <v/>
      </c>
      <c r="W49" s="87">
        <f>'CRAWL_LOG'!B49</f>
        <v/>
      </c>
      <c r="X49" s="95" t="inlineStr">
        <is>
          <t>10-slot panel: 7 near + 3 far; AN2/AN3 inactive from 03/09</t>
        </is>
      </c>
    </row>
    <row r="50">
      <c r="A50" s="155" t="n">
        <v>46313</v>
      </c>
      <c r="B50" s="83" t="inlineStr">
        <is>
          <t>Chủ Nhật</t>
        </is>
      </c>
      <c r="C50" s="83" t="inlineStr">
        <is>
          <t>Official</t>
        </is>
      </c>
      <c r="D50" s="83" t="inlineStr">
        <is>
          <t>00:30</t>
        </is>
      </c>
      <c r="E50" s="156">
        <f>'SLOT_RULES'!$D$4+IF($A50&lt;='SLOT_RULES'!$D$4,0,INT(($A50-'SLOT_RULES'!$D$4-1)/'SLOT_RULES'!$E$4)+1)*'SLOT_RULES'!$E$4</f>
        <v/>
      </c>
      <c r="F50" s="157" t="n"/>
      <c r="G50" s="157" t="n"/>
      <c r="H50" s="156">
        <f>'SLOT_RULES'!$D$7+IF($A50&lt;='SLOT_RULES'!$D$7,0,INT(($A50-'SLOT_RULES'!$D$7-1)/'SLOT_RULES'!$E$7)+1)*'SLOT_RULES'!$E$7</f>
        <v/>
      </c>
      <c r="I50" s="156">
        <f>'SLOT_RULES'!$D$8+IF($A50&lt;='SLOT_RULES'!$D$8,0,INT(($A50-'SLOT_RULES'!$D$8-1)/'SLOT_RULES'!$E$8)+1)*'SLOT_RULES'!$E$8</f>
        <v/>
      </c>
      <c r="J50" s="156">
        <f>'SLOT_RULES'!$D$9+IF($A50&lt;='SLOT_RULES'!$D$9,0,INT(($A50-'SLOT_RULES'!$D$9-1)/'SLOT_RULES'!$E$9)+1)*'SLOT_RULES'!$E$9</f>
        <v/>
      </c>
      <c r="K50" s="156">
        <f>'SLOT_RULES'!$D$10+IF($A50&lt;='SLOT_RULES'!$D$10,0,INT(($A50-'SLOT_RULES'!$D$10-1)/'SLOT_RULES'!$E$10)+1)*'SLOT_RULES'!$E$10</f>
        <v/>
      </c>
      <c r="L50" s="156">
        <f>'SLOT_RULES'!$D$11+IF($A50&lt;='SLOT_RULES'!$D$11,0,INT(($A50-'SLOT_RULES'!$D$11-1)/'SLOT_RULES'!$E$11)+1)*'SLOT_RULES'!$E$11</f>
        <v/>
      </c>
      <c r="M50" s="156">
        <f>'SLOT_RULES'!$D$12+IF($A50&lt;='SLOT_RULES'!$D$12,0,INT(($A50-'SLOT_RULES'!$D$12-1)/'SLOT_RULES'!$E$12)+1)*'SLOT_RULES'!$E$12</f>
        <v/>
      </c>
      <c r="N50" s="156">
        <f>'SLOT_RULES'!$D$13+IF($A50&lt;='SLOT_RULES'!$D$13,0,INT(($A50-'SLOT_RULES'!$D$13-1)/'SLOT_RULES'!$E$13)+1)*'SLOT_RULES'!$E$13</f>
        <v/>
      </c>
      <c r="O50" s="156">
        <f>'SLOT_RULES'!$D$14+IF($A50&lt;='SLOT_RULES'!$D$14,0,INT(($A50-'SLOT_RULES'!$D$14-1)/'SLOT_RULES'!$E$14)+1)*'SLOT_RULES'!$E$14</f>
        <v/>
      </c>
      <c r="P50" s="156">
        <f>'SLOT_RULES'!$D$15+IF($A50&lt;='SLOT_RULES'!$D$15,0,INT(($A50-'SLOT_RULES'!$D$15-1)/'SLOT_RULES'!$E$15)+1)*'SLOT_RULES'!$E$15</f>
        <v/>
      </c>
      <c r="Q50" s="158">
        <f>MIN(E50:P50)-A50</f>
        <v/>
      </c>
      <c r="R50" s="158">
        <f>MAX(E50:P50)-A50</f>
        <v/>
      </c>
      <c r="S50" s="86">
        <f>IF(AND(COUNT(E50:P50)=10,MIN(E50:P50)&gt;=A50),"PASS","FAIL")</f>
        <v/>
      </c>
      <c r="T50" s="86">
        <f>IF((COUNTIF('LOCAL_REFERENCE'!$D50:$O50,E50)+COUNTIF('LOCAL_REFERENCE'!$D50:$O50,H50)+COUNTIF('LOCAL_REFERENCE'!$D50:$O50,I50)+COUNTIF('LOCAL_REFERENCE'!$D50:$O50,J50)+COUNTIF('LOCAL_REFERENCE'!$D50:$O50,K50)+COUNTIF('LOCAL_REFERENCE'!$D50:$O50,L50)+COUNTIF('LOCAL_REFERENCE'!$D50:$O50,M50)+COUNTIF('LOCAL_REFERENCE'!$D50:$O50,N50)+COUNTIF('LOCAL_REFERENCE'!$D50:$O50,O50)+COUNTIF('LOCAL_REFERENCE'!$D50:$O50,P50))=0,"PASS","FAIL")</f>
        <v/>
      </c>
      <c r="U50" s="86">
        <f>IF((COUNTIF('VPS_REFERENCE'!$D50:$H50,E50)+COUNTIF('VPS_REFERENCE'!$D50:$H50,H50)+COUNTIF('VPS_REFERENCE'!$D50:$H50,I50)+COUNTIF('VPS_REFERENCE'!$D50:$H50,J50)+COUNTIF('VPS_REFERENCE'!$D50:$H50,K50)+COUNTIF('VPS_REFERENCE'!$D50:$H50,L50)+COUNTIF('VPS_REFERENCE'!$D50:$H50,M50)+COUNTIF('VPS_REFERENCE'!$D50:$H50,N50)+COUNTIF('VPS_REFERENCE'!$D50:$H50,O50)+COUNTIF('VPS_REFERENCE'!$D50:$H50,P50))=0,"PASS","FAIL")</f>
        <v/>
      </c>
      <c r="V50" s="86">
        <f>IF(OR(E50=H50,E50=I50,E50=J50,E50=K50,E50=L50,E50=M50,E50=N50,E50=O50,E50=P50,H50=I50,H50=J50,H50=K50,H50=L50,H50=M50,H50=N50,H50=O50,H50=P50,I50=J50,I50=K50,I50=L50,I50=M50,I50=N50,I50=O50,I50=P50,J50=K50,J50=L50,J50=M50,J50=N50,J50=O50,J50=P50,K50=L50,K50=M50,K50=N50,K50=O50,K50=P50,L50=M50,L50=N50,L50=O50,L50=P50,M50=N50,M50=O50,M50=P50,N50=O50,N50=P50,O50=P50),"FAIL","PASS")</f>
        <v/>
      </c>
      <c r="W50" s="87">
        <f>'CRAWL_LOG'!B50</f>
        <v/>
      </c>
      <c r="X50" s="95" t="inlineStr">
        <is>
          <t>10-slot panel: 7 near + 3 far; AN2/AN3 inactive from 03/09</t>
        </is>
      </c>
    </row>
    <row r="51">
      <c r="A51" s="155" t="n">
        <v>46314</v>
      </c>
      <c r="B51" s="83" t="inlineStr">
        <is>
          <t>Thứ Hai</t>
        </is>
      </c>
      <c r="C51" s="83" t="inlineStr">
        <is>
          <t>Official</t>
        </is>
      </c>
      <c r="D51" s="83" t="inlineStr">
        <is>
          <t>00:30</t>
        </is>
      </c>
      <c r="E51" s="156">
        <f>'SLOT_RULES'!$D$4+IF($A51&lt;='SLOT_RULES'!$D$4,0,INT(($A51-'SLOT_RULES'!$D$4-1)/'SLOT_RULES'!$E$4)+1)*'SLOT_RULES'!$E$4</f>
        <v/>
      </c>
      <c r="F51" s="157" t="n"/>
      <c r="G51" s="157" t="n"/>
      <c r="H51" s="156">
        <f>'SLOT_RULES'!$D$7+IF($A51&lt;='SLOT_RULES'!$D$7,0,INT(($A51-'SLOT_RULES'!$D$7-1)/'SLOT_RULES'!$E$7)+1)*'SLOT_RULES'!$E$7</f>
        <v/>
      </c>
      <c r="I51" s="156">
        <f>'SLOT_RULES'!$D$8+IF($A51&lt;='SLOT_RULES'!$D$8,0,INT(($A51-'SLOT_RULES'!$D$8-1)/'SLOT_RULES'!$E$8)+1)*'SLOT_RULES'!$E$8</f>
        <v/>
      </c>
      <c r="J51" s="156">
        <f>'SLOT_RULES'!$D$9+IF($A51&lt;='SLOT_RULES'!$D$9,0,INT(($A51-'SLOT_RULES'!$D$9-1)/'SLOT_RULES'!$E$9)+1)*'SLOT_RULES'!$E$9</f>
        <v/>
      </c>
      <c r="K51" s="156">
        <f>'SLOT_RULES'!$D$10+IF($A51&lt;='SLOT_RULES'!$D$10,0,INT(($A51-'SLOT_RULES'!$D$10-1)/'SLOT_RULES'!$E$10)+1)*'SLOT_RULES'!$E$10</f>
        <v/>
      </c>
      <c r="L51" s="156">
        <f>'SLOT_RULES'!$D$11+IF($A51&lt;='SLOT_RULES'!$D$11,0,INT(($A51-'SLOT_RULES'!$D$11-1)/'SLOT_RULES'!$E$11)+1)*'SLOT_RULES'!$E$11</f>
        <v/>
      </c>
      <c r="M51" s="156">
        <f>'SLOT_RULES'!$D$12+IF($A51&lt;='SLOT_RULES'!$D$12,0,INT(($A51-'SLOT_RULES'!$D$12-1)/'SLOT_RULES'!$E$12)+1)*'SLOT_RULES'!$E$12</f>
        <v/>
      </c>
      <c r="N51" s="156">
        <f>'SLOT_RULES'!$D$13+IF($A51&lt;='SLOT_RULES'!$D$13,0,INT(($A51-'SLOT_RULES'!$D$13-1)/'SLOT_RULES'!$E$13)+1)*'SLOT_RULES'!$E$13</f>
        <v/>
      </c>
      <c r="O51" s="156">
        <f>'SLOT_RULES'!$D$14+IF($A51&lt;='SLOT_RULES'!$D$14,0,INT(($A51-'SLOT_RULES'!$D$14-1)/'SLOT_RULES'!$E$14)+1)*'SLOT_RULES'!$E$14</f>
        <v/>
      </c>
      <c r="P51" s="156">
        <f>'SLOT_RULES'!$D$15+IF($A51&lt;='SLOT_RULES'!$D$15,0,INT(($A51-'SLOT_RULES'!$D$15-1)/'SLOT_RULES'!$E$15)+1)*'SLOT_RULES'!$E$15</f>
        <v/>
      </c>
      <c r="Q51" s="158">
        <f>MIN(E51:P51)-A51</f>
        <v/>
      </c>
      <c r="R51" s="158">
        <f>MAX(E51:P51)-A51</f>
        <v/>
      </c>
      <c r="S51" s="86">
        <f>IF(AND(COUNT(E51:P51)=10,MIN(E51:P51)&gt;=A51),"PASS","FAIL")</f>
        <v/>
      </c>
      <c r="T51" s="86">
        <f>IF((COUNTIF('LOCAL_REFERENCE'!$D51:$O51,E51)+COUNTIF('LOCAL_REFERENCE'!$D51:$O51,H51)+COUNTIF('LOCAL_REFERENCE'!$D51:$O51,I51)+COUNTIF('LOCAL_REFERENCE'!$D51:$O51,J51)+COUNTIF('LOCAL_REFERENCE'!$D51:$O51,K51)+COUNTIF('LOCAL_REFERENCE'!$D51:$O51,L51)+COUNTIF('LOCAL_REFERENCE'!$D51:$O51,M51)+COUNTIF('LOCAL_REFERENCE'!$D51:$O51,N51)+COUNTIF('LOCAL_REFERENCE'!$D51:$O51,O51)+COUNTIF('LOCAL_REFERENCE'!$D51:$O51,P51))=0,"PASS","FAIL")</f>
        <v/>
      </c>
      <c r="U51" s="86">
        <f>IF((COUNTIF('VPS_REFERENCE'!$D51:$H51,E51)+COUNTIF('VPS_REFERENCE'!$D51:$H51,H51)+COUNTIF('VPS_REFERENCE'!$D51:$H51,I51)+COUNTIF('VPS_REFERENCE'!$D51:$H51,J51)+COUNTIF('VPS_REFERENCE'!$D51:$H51,K51)+COUNTIF('VPS_REFERENCE'!$D51:$H51,L51)+COUNTIF('VPS_REFERENCE'!$D51:$H51,M51)+COUNTIF('VPS_REFERENCE'!$D51:$H51,N51)+COUNTIF('VPS_REFERENCE'!$D51:$H51,O51)+COUNTIF('VPS_REFERENCE'!$D51:$H51,P51))=0,"PASS","FAIL")</f>
        <v/>
      </c>
      <c r="V51" s="86">
        <f>IF(OR(E51=H51,E51=I51,E51=J51,E51=K51,E51=L51,E51=M51,E51=N51,E51=O51,E51=P51,H51=I51,H51=J51,H51=K51,H51=L51,H51=M51,H51=N51,H51=O51,H51=P51,I51=J51,I51=K51,I51=L51,I51=M51,I51=N51,I51=O51,I51=P51,J51=K51,J51=L51,J51=M51,J51=N51,J51=O51,J51=P51,K51=L51,K51=M51,K51=N51,K51=O51,K51=P51,L51=M51,L51=N51,L51=O51,L51=P51,M51=N51,M51=O51,M51=P51,N51=O51,N51=P51,O51=P51),"FAIL","PASS")</f>
        <v/>
      </c>
      <c r="W51" s="87">
        <f>'CRAWL_LOG'!B51</f>
        <v/>
      </c>
      <c r="X51" s="95" t="inlineStr">
        <is>
          <t>10-slot panel: 7 near + 3 far; AN2/AN3 inactive from 03/09</t>
        </is>
      </c>
    </row>
    <row r="52">
      <c r="A52" s="155" t="n">
        <v>46315</v>
      </c>
      <c r="B52" s="83" t="inlineStr">
        <is>
          <t>Thứ Ba</t>
        </is>
      </c>
      <c r="C52" s="83" t="inlineStr">
        <is>
          <t>Official</t>
        </is>
      </c>
      <c r="D52" s="83" t="inlineStr">
        <is>
          <t>00:30</t>
        </is>
      </c>
      <c r="E52" s="156">
        <f>'SLOT_RULES'!$D$4+IF($A52&lt;='SLOT_RULES'!$D$4,0,INT(($A52-'SLOT_RULES'!$D$4-1)/'SLOT_RULES'!$E$4)+1)*'SLOT_RULES'!$E$4</f>
        <v/>
      </c>
      <c r="F52" s="157" t="n"/>
      <c r="G52" s="157" t="n"/>
      <c r="H52" s="156">
        <f>'SLOT_RULES'!$D$7+IF($A52&lt;='SLOT_RULES'!$D$7,0,INT(($A52-'SLOT_RULES'!$D$7-1)/'SLOT_RULES'!$E$7)+1)*'SLOT_RULES'!$E$7</f>
        <v/>
      </c>
      <c r="I52" s="156">
        <f>'SLOT_RULES'!$D$8+IF($A52&lt;='SLOT_RULES'!$D$8,0,INT(($A52-'SLOT_RULES'!$D$8-1)/'SLOT_RULES'!$E$8)+1)*'SLOT_RULES'!$E$8</f>
        <v/>
      </c>
      <c r="J52" s="156">
        <f>'SLOT_RULES'!$D$9+IF($A52&lt;='SLOT_RULES'!$D$9,0,INT(($A52-'SLOT_RULES'!$D$9-1)/'SLOT_RULES'!$E$9)+1)*'SLOT_RULES'!$E$9</f>
        <v/>
      </c>
      <c r="K52" s="156">
        <f>'SLOT_RULES'!$D$10+IF($A52&lt;='SLOT_RULES'!$D$10,0,INT(($A52-'SLOT_RULES'!$D$10-1)/'SLOT_RULES'!$E$10)+1)*'SLOT_RULES'!$E$10</f>
        <v/>
      </c>
      <c r="L52" s="156">
        <f>'SLOT_RULES'!$D$11+IF($A52&lt;='SLOT_RULES'!$D$11,0,INT(($A52-'SLOT_RULES'!$D$11-1)/'SLOT_RULES'!$E$11)+1)*'SLOT_RULES'!$E$11</f>
        <v/>
      </c>
      <c r="M52" s="156">
        <f>'SLOT_RULES'!$D$12+IF($A52&lt;='SLOT_RULES'!$D$12,0,INT(($A52-'SLOT_RULES'!$D$12-1)/'SLOT_RULES'!$E$12)+1)*'SLOT_RULES'!$E$12</f>
        <v/>
      </c>
      <c r="N52" s="156">
        <f>'SLOT_RULES'!$D$13+IF($A52&lt;='SLOT_RULES'!$D$13,0,INT(($A52-'SLOT_RULES'!$D$13-1)/'SLOT_RULES'!$E$13)+1)*'SLOT_RULES'!$E$13</f>
        <v/>
      </c>
      <c r="O52" s="156">
        <f>'SLOT_RULES'!$D$14+IF($A52&lt;='SLOT_RULES'!$D$14,0,INT(($A52-'SLOT_RULES'!$D$14-1)/'SLOT_RULES'!$E$14)+1)*'SLOT_RULES'!$E$14</f>
        <v/>
      </c>
      <c r="P52" s="156">
        <f>'SLOT_RULES'!$D$15+IF($A52&lt;='SLOT_RULES'!$D$15,0,INT(($A52-'SLOT_RULES'!$D$15-1)/'SLOT_RULES'!$E$15)+1)*'SLOT_RULES'!$E$15</f>
        <v/>
      </c>
      <c r="Q52" s="158">
        <f>MIN(E52:P52)-A52</f>
        <v/>
      </c>
      <c r="R52" s="158">
        <f>MAX(E52:P52)-A52</f>
        <v/>
      </c>
      <c r="S52" s="86">
        <f>IF(AND(COUNT(E52:P52)=10,MIN(E52:P52)&gt;=A52),"PASS","FAIL")</f>
        <v/>
      </c>
      <c r="T52" s="86">
        <f>IF((COUNTIF('LOCAL_REFERENCE'!$D52:$O52,E52)+COUNTIF('LOCAL_REFERENCE'!$D52:$O52,H52)+COUNTIF('LOCAL_REFERENCE'!$D52:$O52,I52)+COUNTIF('LOCAL_REFERENCE'!$D52:$O52,J52)+COUNTIF('LOCAL_REFERENCE'!$D52:$O52,K52)+COUNTIF('LOCAL_REFERENCE'!$D52:$O52,L52)+COUNTIF('LOCAL_REFERENCE'!$D52:$O52,M52)+COUNTIF('LOCAL_REFERENCE'!$D52:$O52,N52)+COUNTIF('LOCAL_REFERENCE'!$D52:$O52,O52)+COUNTIF('LOCAL_REFERENCE'!$D52:$O52,P52))=0,"PASS","FAIL")</f>
        <v/>
      </c>
      <c r="U52" s="86">
        <f>IF((COUNTIF('VPS_REFERENCE'!$D52:$H52,E52)+COUNTIF('VPS_REFERENCE'!$D52:$H52,H52)+COUNTIF('VPS_REFERENCE'!$D52:$H52,I52)+COUNTIF('VPS_REFERENCE'!$D52:$H52,J52)+COUNTIF('VPS_REFERENCE'!$D52:$H52,K52)+COUNTIF('VPS_REFERENCE'!$D52:$H52,L52)+COUNTIF('VPS_REFERENCE'!$D52:$H52,M52)+COUNTIF('VPS_REFERENCE'!$D52:$H52,N52)+COUNTIF('VPS_REFERENCE'!$D52:$H52,O52)+COUNTIF('VPS_REFERENCE'!$D52:$H52,P52))=0,"PASS","FAIL")</f>
        <v/>
      </c>
      <c r="V52" s="86">
        <f>IF(OR(E52=H52,E52=I52,E52=J52,E52=K52,E52=L52,E52=M52,E52=N52,E52=O52,E52=P52,H52=I52,H52=J52,H52=K52,H52=L52,H52=M52,H52=N52,H52=O52,H52=P52,I52=J52,I52=K52,I52=L52,I52=M52,I52=N52,I52=O52,I52=P52,J52=K52,J52=L52,J52=M52,J52=N52,J52=O52,J52=P52,K52=L52,K52=M52,K52=N52,K52=O52,K52=P52,L52=M52,L52=N52,L52=O52,L52=P52,M52=N52,M52=O52,M52=P52,N52=O52,N52=P52,O52=P52),"FAIL","PASS")</f>
        <v/>
      </c>
      <c r="W52" s="87">
        <f>'CRAWL_LOG'!B52</f>
        <v/>
      </c>
      <c r="X52" s="95" t="inlineStr">
        <is>
          <t>10-slot panel: 7 near + 3 far; AN2/AN3 inactive from 03/09</t>
        </is>
      </c>
    </row>
    <row r="53">
      <c r="A53" s="155" t="n">
        <v>46316</v>
      </c>
      <c r="B53" s="83" t="inlineStr">
        <is>
          <t>Thứ Tư</t>
        </is>
      </c>
      <c r="C53" s="83" t="inlineStr">
        <is>
          <t>Official</t>
        </is>
      </c>
      <c r="D53" s="83" t="inlineStr">
        <is>
          <t>00:30</t>
        </is>
      </c>
      <c r="E53" s="156">
        <f>'SLOT_RULES'!$D$4+IF($A53&lt;='SLOT_RULES'!$D$4,0,INT(($A53-'SLOT_RULES'!$D$4-1)/'SLOT_RULES'!$E$4)+1)*'SLOT_RULES'!$E$4</f>
        <v/>
      </c>
      <c r="F53" s="157" t="n"/>
      <c r="G53" s="157" t="n"/>
      <c r="H53" s="156">
        <f>'SLOT_RULES'!$D$7+IF($A53&lt;='SLOT_RULES'!$D$7,0,INT(($A53-'SLOT_RULES'!$D$7-1)/'SLOT_RULES'!$E$7)+1)*'SLOT_RULES'!$E$7</f>
        <v/>
      </c>
      <c r="I53" s="156">
        <f>'SLOT_RULES'!$D$8+IF($A53&lt;='SLOT_RULES'!$D$8,0,INT(($A53-'SLOT_RULES'!$D$8-1)/'SLOT_RULES'!$E$8)+1)*'SLOT_RULES'!$E$8</f>
        <v/>
      </c>
      <c r="J53" s="156">
        <f>'SLOT_RULES'!$D$9+IF($A53&lt;='SLOT_RULES'!$D$9,0,INT(($A53-'SLOT_RULES'!$D$9-1)/'SLOT_RULES'!$E$9)+1)*'SLOT_RULES'!$E$9</f>
        <v/>
      </c>
      <c r="K53" s="156">
        <f>'SLOT_RULES'!$D$10+IF($A53&lt;='SLOT_RULES'!$D$10,0,INT(($A53-'SLOT_RULES'!$D$10-1)/'SLOT_RULES'!$E$10)+1)*'SLOT_RULES'!$E$10</f>
        <v/>
      </c>
      <c r="L53" s="156">
        <f>'SLOT_RULES'!$D$11+IF($A53&lt;='SLOT_RULES'!$D$11,0,INT(($A53-'SLOT_RULES'!$D$11-1)/'SLOT_RULES'!$E$11)+1)*'SLOT_RULES'!$E$11</f>
        <v/>
      </c>
      <c r="M53" s="156">
        <f>'SLOT_RULES'!$D$12+IF($A53&lt;='SLOT_RULES'!$D$12,0,INT(($A53-'SLOT_RULES'!$D$12-1)/'SLOT_RULES'!$E$12)+1)*'SLOT_RULES'!$E$12</f>
        <v/>
      </c>
      <c r="N53" s="156">
        <f>'SLOT_RULES'!$D$13+IF($A53&lt;='SLOT_RULES'!$D$13,0,INT(($A53-'SLOT_RULES'!$D$13-1)/'SLOT_RULES'!$E$13)+1)*'SLOT_RULES'!$E$13</f>
        <v/>
      </c>
      <c r="O53" s="156">
        <f>'SLOT_RULES'!$D$14+IF($A53&lt;='SLOT_RULES'!$D$14,0,INT(($A53-'SLOT_RULES'!$D$14-1)/'SLOT_RULES'!$E$14)+1)*'SLOT_RULES'!$E$14</f>
        <v/>
      </c>
      <c r="P53" s="156">
        <f>'SLOT_RULES'!$D$15+IF($A53&lt;='SLOT_RULES'!$D$15,0,INT(($A53-'SLOT_RULES'!$D$15-1)/'SLOT_RULES'!$E$15)+1)*'SLOT_RULES'!$E$15</f>
        <v/>
      </c>
      <c r="Q53" s="158">
        <f>MIN(E53:P53)-A53</f>
        <v/>
      </c>
      <c r="R53" s="158">
        <f>MAX(E53:P53)-A53</f>
        <v/>
      </c>
      <c r="S53" s="86">
        <f>IF(AND(COUNT(E53:P53)=10,MIN(E53:P53)&gt;=A53),"PASS","FAIL")</f>
        <v/>
      </c>
      <c r="T53" s="86">
        <f>IF((COUNTIF('LOCAL_REFERENCE'!$D53:$O53,E53)+COUNTIF('LOCAL_REFERENCE'!$D53:$O53,H53)+COUNTIF('LOCAL_REFERENCE'!$D53:$O53,I53)+COUNTIF('LOCAL_REFERENCE'!$D53:$O53,J53)+COUNTIF('LOCAL_REFERENCE'!$D53:$O53,K53)+COUNTIF('LOCAL_REFERENCE'!$D53:$O53,L53)+COUNTIF('LOCAL_REFERENCE'!$D53:$O53,M53)+COUNTIF('LOCAL_REFERENCE'!$D53:$O53,N53)+COUNTIF('LOCAL_REFERENCE'!$D53:$O53,O53)+COUNTIF('LOCAL_REFERENCE'!$D53:$O53,P53))=0,"PASS","FAIL")</f>
        <v/>
      </c>
      <c r="U53" s="86">
        <f>IF((COUNTIF('VPS_REFERENCE'!$D53:$H53,E53)+COUNTIF('VPS_REFERENCE'!$D53:$H53,H53)+COUNTIF('VPS_REFERENCE'!$D53:$H53,I53)+COUNTIF('VPS_REFERENCE'!$D53:$H53,J53)+COUNTIF('VPS_REFERENCE'!$D53:$H53,K53)+COUNTIF('VPS_REFERENCE'!$D53:$H53,L53)+COUNTIF('VPS_REFERENCE'!$D53:$H53,M53)+COUNTIF('VPS_REFERENCE'!$D53:$H53,N53)+COUNTIF('VPS_REFERENCE'!$D53:$H53,O53)+COUNTIF('VPS_REFERENCE'!$D53:$H53,P53))=0,"PASS","FAIL")</f>
        <v/>
      </c>
      <c r="V53" s="86">
        <f>IF(OR(E53=H53,E53=I53,E53=J53,E53=K53,E53=L53,E53=M53,E53=N53,E53=O53,E53=P53,H53=I53,H53=J53,H53=K53,H53=L53,H53=M53,H53=N53,H53=O53,H53=P53,I53=J53,I53=K53,I53=L53,I53=M53,I53=N53,I53=O53,I53=P53,J53=K53,J53=L53,J53=M53,J53=N53,J53=O53,J53=P53,K53=L53,K53=M53,K53=N53,K53=O53,K53=P53,L53=M53,L53=N53,L53=O53,L53=P53,M53=N53,M53=O53,M53=P53,N53=O53,N53=P53,O53=P53),"FAIL","PASS")</f>
        <v/>
      </c>
      <c r="W53" s="87">
        <f>'CRAWL_LOG'!B53</f>
        <v/>
      </c>
      <c r="X53" s="95" t="inlineStr">
        <is>
          <t>10-slot panel: 7 near + 3 far; AN2/AN3 inactive from 03/09</t>
        </is>
      </c>
    </row>
    <row r="54">
      <c r="A54" s="155" t="n">
        <v>46317</v>
      </c>
      <c r="B54" s="83" t="inlineStr">
        <is>
          <t>Thứ Năm</t>
        </is>
      </c>
      <c r="C54" s="83" t="inlineStr">
        <is>
          <t>Official</t>
        </is>
      </c>
      <c r="D54" s="83" t="inlineStr">
        <is>
          <t>00:30</t>
        </is>
      </c>
      <c r="E54" s="156">
        <f>'SLOT_RULES'!$D$4+IF($A54&lt;='SLOT_RULES'!$D$4,0,INT(($A54-'SLOT_RULES'!$D$4-1)/'SLOT_RULES'!$E$4)+1)*'SLOT_RULES'!$E$4</f>
        <v/>
      </c>
      <c r="F54" s="157" t="n"/>
      <c r="G54" s="157" t="n"/>
      <c r="H54" s="156">
        <f>'SLOT_RULES'!$D$7+IF($A54&lt;='SLOT_RULES'!$D$7,0,INT(($A54-'SLOT_RULES'!$D$7-1)/'SLOT_RULES'!$E$7)+1)*'SLOT_RULES'!$E$7</f>
        <v/>
      </c>
      <c r="I54" s="156">
        <f>'SLOT_RULES'!$D$8+IF($A54&lt;='SLOT_RULES'!$D$8,0,INT(($A54-'SLOT_RULES'!$D$8-1)/'SLOT_RULES'!$E$8)+1)*'SLOT_RULES'!$E$8</f>
        <v/>
      </c>
      <c r="J54" s="156">
        <f>'SLOT_RULES'!$D$9+IF($A54&lt;='SLOT_RULES'!$D$9,0,INT(($A54-'SLOT_RULES'!$D$9-1)/'SLOT_RULES'!$E$9)+1)*'SLOT_RULES'!$E$9</f>
        <v/>
      </c>
      <c r="K54" s="156">
        <f>'SLOT_RULES'!$D$10+IF($A54&lt;='SLOT_RULES'!$D$10,0,INT(($A54-'SLOT_RULES'!$D$10-1)/'SLOT_RULES'!$E$10)+1)*'SLOT_RULES'!$E$10</f>
        <v/>
      </c>
      <c r="L54" s="156">
        <f>'SLOT_RULES'!$D$11+IF($A54&lt;='SLOT_RULES'!$D$11,0,INT(($A54-'SLOT_RULES'!$D$11-1)/'SLOT_RULES'!$E$11)+1)*'SLOT_RULES'!$E$11</f>
        <v/>
      </c>
      <c r="M54" s="156">
        <f>'SLOT_RULES'!$D$12+IF($A54&lt;='SLOT_RULES'!$D$12,0,INT(($A54-'SLOT_RULES'!$D$12-1)/'SLOT_RULES'!$E$12)+1)*'SLOT_RULES'!$E$12</f>
        <v/>
      </c>
      <c r="N54" s="156">
        <f>'SLOT_RULES'!$D$13+IF($A54&lt;='SLOT_RULES'!$D$13,0,INT(($A54-'SLOT_RULES'!$D$13-1)/'SLOT_RULES'!$E$13)+1)*'SLOT_RULES'!$E$13</f>
        <v/>
      </c>
      <c r="O54" s="156">
        <f>'SLOT_RULES'!$D$14+IF($A54&lt;='SLOT_RULES'!$D$14,0,INT(($A54-'SLOT_RULES'!$D$14-1)/'SLOT_RULES'!$E$14)+1)*'SLOT_RULES'!$E$14</f>
        <v/>
      </c>
      <c r="P54" s="156">
        <f>'SLOT_RULES'!$D$15+IF($A54&lt;='SLOT_RULES'!$D$15,0,INT(($A54-'SLOT_RULES'!$D$15-1)/'SLOT_RULES'!$E$15)+1)*'SLOT_RULES'!$E$15</f>
        <v/>
      </c>
      <c r="Q54" s="158">
        <f>MIN(E54:P54)-A54</f>
        <v/>
      </c>
      <c r="R54" s="158">
        <f>MAX(E54:P54)-A54</f>
        <v/>
      </c>
      <c r="S54" s="86">
        <f>IF(AND(COUNT(E54:P54)=10,MIN(E54:P54)&gt;=A54),"PASS","FAIL")</f>
        <v/>
      </c>
      <c r="T54" s="86">
        <f>IF((COUNTIF('LOCAL_REFERENCE'!$D54:$O54,E54)+COUNTIF('LOCAL_REFERENCE'!$D54:$O54,H54)+COUNTIF('LOCAL_REFERENCE'!$D54:$O54,I54)+COUNTIF('LOCAL_REFERENCE'!$D54:$O54,J54)+COUNTIF('LOCAL_REFERENCE'!$D54:$O54,K54)+COUNTIF('LOCAL_REFERENCE'!$D54:$O54,L54)+COUNTIF('LOCAL_REFERENCE'!$D54:$O54,M54)+COUNTIF('LOCAL_REFERENCE'!$D54:$O54,N54)+COUNTIF('LOCAL_REFERENCE'!$D54:$O54,O54)+COUNTIF('LOCAL_REFERENCE'!$D54:$O54,P54))=0,"PASS","FAIL")</f>
        <v/>
      </c>
      <c r="U54" s="86">
        <f>IF((COUNTIF('VPS_REFERENCE'!$D54:$H54,E54)+COUNTIF('VPS_REFERENCE'!$D54:$H54,H54)+COUNTIF('VPS_REFERENCE'!$D54:$H54,I54)+COUNTIF('VPS_REFERENCE'!$D54:$H54,J54)+COUNTIF('VPS_REFERENCE'!$D54:$H54,K54)+COUNTIF('VPS_REFERENCE'!$D54:$H54,L54)+COUNTIF('VPS_REFERENCE'!$D54:$H54,M54)+COUNTIF('VPS_REFERENCE'!$D54:$H54,N54)+COUNTIF('VPS_REFERENCE'!$D54:$H54,O54)+COUNTIF('VPS_REFERENCE'!$D54:$H54,P54))=0,"PASS","FAIL")</f>
        <v/>
      </c>
      <c r="V54" s="86">
        <f>IF(OR(E54=H54,E54=I54,E54=J54,E54=K54,E54=L54,E54=M54,E54=N54,E54=O54,E54=P54,H54=I54,H54=J54,H54=K54,H54=L54,H54=M54,H54=N54,H54=O54,H54=P54,I54=J54,I54=K54,I54=L54,I54=M54,I54=N54,I54=O54,I54=P54,J54=K54,J54=L54,J54=M54,J54=N54,J54=O54,J54=P54,K54=L54,K54=M54,K54=N54,K54=O54,K54=P54,L54=M54,L54=N54,L54=O54,L54=P54,M54=N54,M54=O54,M54=P54,N54=O54,N54=P54,O54=P54),"FAIL","PASS")</f>
        <v/>
      </c>
      <c r="W54" s="87">
        <f>'CRAWL_LOG'!B54</f>
        <v/>
      </c>
      <c r="X54" s="95" t="inlineStr">
        <is>
          <t>10-slot panel: 7 near + 3 far; AN2/AN3 inactive from 03/09</t>
        </is>
      </c>
    </row>
    <row r="55">
      <c r="A55" s="155" t="n">
        <v>46318</v>
      </c>
      <c r="B55" s="83" t="inlineStr">
        <is>
          <t>Thứ Sáu</t>
        </is>
      </c>
      <c r="C55" s="83" t="inlineStr">
        <is>
          <t>Official</t>
        </is>
      </c>
      <c r="D55" s="83" t="inlineStr">
        <is>
          <t>00:30</t>
        </is>
      </c>
      <c r="E55" s="156">
        <f>'SLOT_RULES'!$D$4+IF($A55&lt;='SLOT_RULES'!$D$4,0,INT(($A55-'SLOT_RULES'!$D$4-1)/'SLOT_RULES'!$E$4)+1)*'SLOT_RULES'!$E$4</f>
        <v/>
      </c>
      <c r="F55" s="157" t="n"/>
      <c r="G55" s="157" t="n"/>
      <c r="H55" s="156">
        <f>'SLOT_RULES'!$D$7+IF($A55&lt;='SLOT_RULES'!$D$7,0,INT(($A55-'SLOT_RULES'!$D$7-1)/'SLOT_RULES'!$E$7)+1)*'SLOT_RULES'!$E$7</f>
        <v/>
      </c>
      <c r="I55" s="156">
        <f>'SLOT_RULES'!$D$8+IF($A55&lt;='SLOT_RULES'!$D$8,0,INT(($A55-'SLOT_RULES'!$D$8-1)/'SLOT_RULES'!$E$8)+1)*'SLOT_RULES'!$E$8</f>
        <v/>
      </c>
      <c r="J55" s="156">
        <f>'SLOT_RULES'!$D$9+IF($A55&lt;='SLOT_RULES'!$D$9,0,INT(($A55-'SLOT_RULES'!$D$9-1)/'SLOT_RULES'!$E$9)+1)*'SLOT_RULES'!$E$9</f>
        <v/>
      </c>
      <c r="K55" s="156">
        <f>'SLOT_RULES'!$D$10+IF($A55&lt;='SLOT_RULES'!$D$10,0,INT(($A55-'SLOT_RULES'!$D$10-1)/'SLOT_RULES'!$E$10)+1)*'SLOT_RULES'!$E$10</f>
        <v/>
      </c>
      <c r="L55" s="156">
        <f>'SLOT_RULES'!$D$11+IF($A55&lt;='SLOT_RULES'!$D$11,0,INT(($A55-'SLOT_RULES'!$D$11-1)/'SLOT_RULES'!$E$11)+1)*'SLOT_RULES'!$E$11</f>
        <v/>
      </c>
      <c r="M55" s="156">
        <f>'SLOT_RULES'!$D$12+IF($A55&lt;='SLOT_RULES'!$D$12,0,INT(($A55-'SLOT_RULES'!$D$12-1)/'SLOT_RULES'!$E$12)+1)*'SLOT_RULES'!$E$12</f>
        <v/>
      </c>
      <c r="N55" s="156">
        <f>'SLOT_RULES'!$D$13+IF($A55&lt;='SLOT_RULES'!$D$13,0,INT(($A55-'SLOT_RULES'!$D$13-1)/'SLOT_RULES'!$E$13)+1)*'SLOT_RULES'!$E$13</f>
        <v/>
      </c>
      <c r="O55" s="156">
        <f>'SLOT_RULES'!$D$14+IF($A55&lt;='SLOT_RULES'!$D$14,0,INT(($A55-'SLOT_RULES'!$D$14-1)/'SLOT_RULES'!$E$14)+1)*'SLOT_RULES'!$E$14</f>
        <v/>
      </c>
      <c r="P55" s="156">
        <f>'SLOT_RULES'!$D$15+IF($A55&lt;='SLOT_RULES'!$D$15,0,INT(($A55-'SLOT_RULES'!$D$15-1)/'SLOT_RULES'!$E$15)+1)*'SLOT_RULES'!$E$15</f>
        <v/>
      </c>
      <c r="Q55" s="158">
        <f>MIN(E55:P55)-A55</f>
        <v/>
      </c>
      <c r="R55" s="158">
        <f>MAX(E55:P55)-A55</f>
        <v/>
      </c>
      <c r="S55" s="86">
        <f>IF(AND(COUNT(E55:P55)=10,MIN(E55:P55)&gt;=A55),"PASS","FAIL")</f>
        <v/>
      </c>
      <c r="T55" s="86">
        <f>IF((COUNTIF('LOCAL_REFERENCE'!$D55:$O55,E55)+COUNTIF('LOCAL_REFERENCE'!$D55:$O55,H55)+COUNTIF('LOCAL_REFERENCE'!$D55:$O55,I55)+COUNTIF('LOCAL_REFERENCE'!$D55:$O55,J55)+COUNTIF('LOCAL_REFERENCE'!$D55:$O55,K55)+COUNTIF('LOCAL_REFERENCE'!$D55:$O55,L55)+COUNTIF('LOCAL_REFERENCE'!$D55:$O55,M55)+COUNTIF('LOCAL_REFERENCE'!$D55:$O55,N55)+COUNTIF('LOCAL_REFERENCE'!$D55:$O55,O55)+COUNTIF('LOCAL_REFERENCE'!$D55:$O55,P55))=0,"PASS","FAIL")</f>
        <v/>
      </c>
      <c r="U55" s="86">
        <f>IF((COUNTIF('VPS_REFERENCE'!$D55:$H55,E55)+COUNTIF('VPS_REFERENCE'!$D55:$H55,H55)+COUNTIF('VPS_REFERENCE'!$D55:$H55,I55)+COUNTIF('VPS_REFERENCE'!$D55:$H55,J55)+COUNTIF('VPS_REFERENCE'!$D55:$H55,K55)+COUNTIF('VPS_REFERENCE'!$D55:$H55,L55)+COUNTIF('VPS_REFERENCE'!$D55:$H55,M55)+COUNTIF('VPS_REFERENCE'!$D55:$H55,N55)+COUNTIF('VPS_REFERENCE'!$D55:$H55,O55)+COUNTIF('VPS_REFERENCE'!$D55:$H55,P55))=0,"PASS","FAIL")</f>
        <v/>
      </c>
      <c r="V55" s="86">
        <f>IF(OR(E55=H55,E55=I55,E55=J55,E55=K55,E55=L55,E55=M55,E55=N55,E55=O55,E55=P55,H55=I55,H55=J55,H55=K55,H55=L55,H55=M55,H55=N55,H55=O55,H55=P55,I55=J55,I55=K55,I55=L55,I55=M55,I55=N55,I55=O55,I55=P55,J55=K55,J55=L55,J55=M55,J55=N55,J55=O55,J55=P55,K55=L55,K55=M55,K55=N55,K55=O55,K55=P55,L55=M55,L55=N55,L55=O55,L55=P55,M55=N55,M55=O55,M55=P55,N55=O55,N55=P55,O55=P55),"FAIL","PASS")</f>
        <v/>
      </c>
      <c r="W55" s="87">
        <f>'CRAWL_LOG'!B55</f>
        <v/>
      </c>
      <c r="X55" s="95" t="inlineStr">
        <is>
          <t>10-slot panel: 7 near + 3 far; AN2/AN3 inactive from 03/09</t>
        </is>
      </c>
    </row>
    <row r="56">
      <c r="A56" s="155" t="n">
        <v>46319</v>
      </c>
      <c r="B56" s="83" t="inlineStr">
        <is>
          <t>Thứ Bảy</t>
        </is>
      </c>
      <c r="C56" s="83" t="inlineStr">
        <is>
          <t>Official</t>
        </is>
      </c>
      <c r="D56" s="83" t="inlineStr">
        <is>
          <t>00:30</t>
        </is>
      </c>
      <c r="E56" s="156">
        <f>'SLOT_RULES'!$D$4+IF($A56&lt;='SLOT_RULES'!$D$4,0,INT(($A56-'SLOT_RULES'!$D$4-1)/'SLOT_RULES'!$E$4)+1)*'SLOT_RULES'!$E$4</f>
        <v/>
      </c>
      <c r="F56" s="157" t="n"/>
      <c r="G56" s="157" t="n"/>
      <c r="H56" s="156">
        <f>'SLOT_RULES'!$D$7+IF($A56&lt;='SLOT_RULES'!$D$7,0,INT(($A56-'SLOT_RULES'!$D$7-1)/'SLOT_RULES'!$E$7)+1)*'SLOT_RULES'!$E$7</f>
        <v/>
      </c>
      <c r="I56" s="156">
        <f>'SLOT_RULES'!$D$8+IF($A56&lt;='SLOT_RULES'!$D$8,0,INT(($A56-'SLOT_RULES'!$D$8-1)/'SLOT_RULES'!$E$8)+1)*'SLOT_RULES'!$E$8</f>
        <v/>
      </c>
      <c r="J56" s="156">
        <f>'SLOT_RULES'!$D$9+IF($A56&lt;='SLOT_RULES'!$D$9,0,INT(($A56-'SLOT_RULES'!$D$9-1)/'SLOT_RULES'!$E$9)+1)*'SLOT_RULES'!$E$9</f>
        <v/>
      </c>
      <c r="K56" s="156">
        <f>'SLOT_RULES'!$D$10+IF($A56&lt;='SLOT_RULES'!$D$10,0,INT(($A56-'SLOT_RULES'!$D$10-1)/'SLOT_RULES'!$E$10)+1)*'SLOT_RULES'!$E$10</f>
        <v/>
      </c>
      <c r="L56" s="156">
        <f>'SLOT_RULES'!$D$11+IF($A56&lt;='SLOT_RULES'!$D$11,0,INT(($A56-'SLOT_RULES'!$D$11-1)/'SLOT_RULES'!$E$11)+1)*'SLOT_RULES'!$E$11</f>
        <v/>
      </c>
      <c r="M56" s="156">
        <f>'SLOT_RULES'!$D$12+IF($A56&lt;='SLOT_RULES'!$D$12,0,INT(($A56-'SLOT_RULES'!$D$12-1)/'SLOT_RULES'!$E$12)+1)*'SLOT_RULES'!$E$12</f>
        <v/>
      </c>
      <c r="N56" s="156">
        <f>'SLOT_RULES'!$D$13+IF($A56&lt;='SLOT_RULES'!$D$13,0,INT(($A56-'SLOT_RULES'!$D$13-1)/'SLOT_RULES'!$E$13)+1)*'SLOT_RULES'!$E$13</f>
        <v/>
      </c>
      <c r="O56" s="156">
        <f>'SLOT_RULES'!$D$14+IF($A56&lt;='SLOT_RULES'!$D$14,0,INT(($A56-'SLOT_RULES'!$D$14-1)/'SLOT_RULES'!$E$14)+1)*'SLOT_RULES'!$E$14</f>
        <v/>
      </c>
      <c r="P56" s="156">
        <f>'SLOT_RULES'!$D$15+IF($A56&lt;='SLOT_RULES'!$D$15,0,INT(($A56-'SLOT_RULES'!$D$15-1)/'SLOT_RULES'!$E$15)+1)*'SLOT_RULES'!$E$15</f>
        <v/>
      </c>
      <c r="Q56" s="158">
        <f>MIN(E56:P56)-A56</f>
        <v/>
      </c>
      <c r="R56" s="158">
        <f>MAX(E56:P56)-A56</f>
        <v/>
      </c>
      <c r="S56" s="86">
        <f>IF(AND(COUNT(E56:P56)=10,MIN(E56:P56)&gt;=A56),"PASS","FAIL")</f>
        <v/>
      </c>
      <c r="T56" s="86">
        <f>IF((COUNTIF('LOCAL_REFERENCE'!$D56:$O56,E56)+COUNTIF('LOCAL_REFERENCE'!$D56:$O56,H56)+COUNTIF('LOCAL_REFERENCE'!$D56:$O56,I56)+COUNTIF('LOCAL_REFERENCE'!$D56:$O56,J56)+COUNTIF('LOCAL_REFERENCE'!$D56:$O56,K56)+COUNTIF('LOCAL_REFERENCE'!$D56:$O56,L56)+COUNTIF('LOCAL_REFERENCE'!$D56:$O56,M56)+COUNTIF('LOCAL_REFERENCE'!$D56:$O56,N56)+COUNTIF('LOCAL_REFERENCE'!$D56:$O56,O56)+COUNTIF('LOCAL_REFERENCE'!$D56:$O56,P56))=0,"PASS","FAIL")</f>
        <v/>
      </c>
      <c r="U56" s="86">
        <f>IF((COUNTIF('VPS_REFERENCE'!$D56:$H56,E56)+COUNTIF('VPS_REFERENCE'!$D56:$H56,H56)+COUNTIF('VPS_REFERENCE'!$D56:$H56,I56)+COUNTIF('VPS_REFERENCE'!$D56:$H56,J56)+COUNTIF('VPS_REFERENCE'!$D56:$H56,K56)+COUNTIF('VPS_REFERENCE'!$D56:$H56,L56)+COUNTIF('VPS_REFERENCE'!$D56:$H56,M56)+COUNTIF('VPS_REFERENCE'!$D56:$H56,N56)+COUNTIF('VPS_REFERENCE'!$D56:$H56,O56)+COUNTIF('VPS_REFERENCE'!$D56:$H56,P56))=0,"PASS","FAIL")</f>
        <v/>
      </c>
      <c r="V56" s="86">
        <f>IF(OR(E56=H56,E56=I56,E56=J56,E56=K56,E56=L56,E56=M56,E56=N56,E56=O56,E56=P56,H56=I56,H56=J56,H56=K56,H56=L56,H56=M56,H56=N56,H56=O56,H56=P56,I56=J56,I56=K56,I56=L56,I56=M56,I56=N56,I56=O56,I56=P56,J56=K56,J56=L56,J56=M56,J56=N56,J56=O56,J56=P56,K56=L56,K56=M56,K56=N56,K56=O56,K56=P56,L56=M56,L56=N56,L56=O56,L56=P56,M56=N56,M56=O56,M56=P56,N56=O56,N56=P56,O56=P56),"FAIL","PASS")</f>
        <v/>
      </c>
      <c r="W56" s="87">
        <f>'CRAWL_LOG'!B56</f>
        <v/>
      </c>
      <c r="X56" s="95" t="inlineStr">
        <is>
          <t>10-slot panel: 7 near + 3 far; AN2/AN3 inactive from 03/09</t>
        </is>
      </c>
    </row>
    <row r="57">
      <c r="A57" s="155" t="n">
        <v>46320</v>
      </c>
      <c r="B57" s="83" t="inlineStr">
        <is>
          <t>Chủ Nhật</t>
        </is>
      </c>
      <c r="C57" s="83" t="inlineStr">
        <is>
          <t>Official</t>
        </is>
      </c>
      <c r="D57" s="83" t="inlineStr">
        <is>
          <t>00:30</t>
        </is>
      </c>
      <c r="E57" s="156">
        <f>'SLOT_RULES'!$D$4+IF($A57&lt;='SLOT_RULES'!$D$4,0,INT(($A57-'SLOT_RULES'!$D$4-1)/'SLOT_RULES'!$E$4)+1)*'SLOT_RULES'!$E$4</f>
        <v/>
      </c>
      <c r="F57" s="157" t="n"/>
      <c r="G57" s="157" t="n"/>
      <c r="H57" s="156">
        <f>'SLOT_RULES'!$D$7+IF($A57&lt;='SLOT_RULES'!$D$7,0,INT(($A57-'SLOT_RULES'!$D$7-1)/'SLOT_RULES'!$E$7)+1)*'SLOT_RULES'!$E$7</f>
        <v/>
      </c>
      <c r="I57" s="156">
        <f>'SLOT_RULES'!$D$8+IF($A57&lt;='SLOT_RULES'!$D$8,0,INT(($A57-'SLOT_RULES'!$D$8-1)/'SLOT_RULES'!$E$8)+1)*'SLOT_RULES'!$E$8</f>
        <v/>
      </c>
      <c r="J57" s="156">
        <f>'SLOT_RULES'!$D$9+IF($A57&lt;='SLOT_RULES'!$D$9,0,INT(($A57-'SLOT_RULES'!$D$9-1)/'SLOT_RULES'!$E$9)+1)*'SLOT_RULES'!$E$9</f>
        <v/>
      </c>
      <c r="K57" s="156">
        <f>'SLOT_RULES'!$D$10+IF($A57&lt;='SLOT_RULES'!$D$10,0,INT(($A57-'SLOT_RULES'!$D$10-1)/'SLOT_RULES'!$E$10)+1)*'SLOT_RULES'!$E$10</f>
        <v/>
      </c>
      <c r="L57" s="156">
        <f>'SLOT_RULES'!$D$11+IF($A57&lt;='SLOT_RULES'!$D$11,0,INT(($A57-'SLOT_RULES'!$D$11-1)/'SLOT_RULES'!$E$11)+1)*'SLOT_RULES'!$E$11</f>
        <v/>
      </c>
      <c r="M57" s="156">
        <f>'SLOT_RULES'!$D$12+IF($A57&lt;='SLOT_RULES'!$D$12,0,INT(($A57-'SLOT_RULES'!$D$12-1)/'SLOT_RULES'!$E$12)+1)*'SLOT_RULES'!$E$12</f>
        <v/>
      </c>
      <c r="N57" s="156">
        <f>'SLOT_RULES'!$D$13+IF($A57&lt;='SLOT_RULES'!$D$13,0,INT(($A57-'SLOT_RULES'!$D$13-1)/'SLOT_RULES'!$E$13)+1)*'SLOT_RULES'!$E$13</f>
        <v/>
      </c>
      <c r="O57" s="156">
        <f>'SLOT_RULES'!$D$14+IF($A57&lt;='SLOT_RULES'!$D$14,0,INT(($A57-'SLOT_RULES'!$D$14-1)/'SLOT_RULES'!$E$14)+1)*'SLOT_RULES'!$E$14</f>
        <v/>
      </c>
      <c r="P57" s="156">
        <f>'SLOT_RULES'!$D$15+IF($A57&lt;='SLOT_RULES'!$D$15,0,INT(($A57-'SLOT_RULES'!$D$15-1)/'SLOT_RULES'!$E$15)+1)*'SLOT_RULES'!$E$15</f>
        <v/>
      </c>
      <c r="Q57" s="158">
        <f>MIN(E57:P57)-A57</f>
        <v/>
      </c>
      <c r="R57" s="158">
        <f>MAX(E57:P57)-A57</f>
        <v/>
      </c>
      <c r="S57" s="86">
        <f>IF(AND(COUNT(E57:P57)=10,MIN(E57:P57)&gt;=A57),"PASS","FAIL")</f>
        <v/>
      </c>
      <c r="T57" s="86">
        <f>IF((COUNTIF('LOCAL_REFERENCE'!$D57:$O57,E57)+COUNTIF('LOCAL_REFERENCE'!$D57:$O57,H57)+COUNTIF('LOCAL_REFERENCE'!$D57:$O57,I57)+COUNTIF('LOCAL_REFERENCE'!$D57:$O57,J57)+COUNTIF('LOCAL_REFERENCE'!$D57:$O57,K57)+COUNTIF('LOCAL_REFERENCE'!$D57:$O57,L57)+COUNTIF('LOCAL_REFERENCE'!$D57:$O57,M57)+COUNTIF('LOCAL_REFERENCE'!$D57:$O57,N57)+COUNTIF('LOCAL_REFERENCE'!$D57:$O57,O57)+COUNTIF('LOCAL_REFERENCE'!$D57:$O57,P57))=0,"PASS","FAIL")</f>
        <v/>
      </c>
      <c r="U57" s="86">
        <f>IF((COUNTIF('VPS_REFERENCE'!$D57:$H57,E57)+COUNTIF('VPS_REFERENCE'!$D57:$H57,H57)+COUNTIF('VPS_REFERENCE'!$D57:$H57,I57)+COUNTIF('VPS_REFERENCE'!$D57:$H57,J57)+COUNTIF('VPS_REFERENCE'!$D57:$H57,K57)+COUNTIF('VPS_REFERENCE'!$D57:$H57,L57)+COUNTIF('VPS_REFERENCE'!$D57:$H57,M57)+COUNTIF('VPS_REFERENCE'!$D57:$H57,N57)+COUNTIF('VPS_REFERENCE'!$D57:$H57,O57)+COUNTIF('VPS_REFERENCE'!$D57:$H57,P57))=0,"PASS","FAIL")</f>
        <v/>
      </c>
      <c r="V57" s="86">
        <f>IF(OR(E57=H57,E57=I57,E57=J57,E57=K57,E57=L57,E57=M57,E57=N57,E57=O57,E57=P57,H57=I57,H57=J57,H57=K57,H57=L57,H57=M57,H57=N57,H57=O57,H57=P57,I57=J57,I57=K57,I57=L57,I57=M57,I57=N57,I57=O57,I57=P57,J57=K57,J57=L57,J57=M57,J57=N57,J57=O57,J57=P57,K57=L57,K57=M57,K57=N57,K57=O57,K57=P57,L57=M57,L57=N57,L57=O57,L57=P57,M57=N57,M57=O57,M57=P57,N57=O57,N57=P57,O57=P57),"FAIL","PASS")</f>
        <v/>
      </c>
      <c r="W57" s="87">
        <f>'CRAWL_LOG'!B57</f>
        <v/>
      </c>
      <c r="X57" s="95" t="inlineStr">
        <is>
          <t>10-slot panel: 7 near + 3 far; AN2/AN3 inactive from 03/09</t>
        </is>
      </c>
    </row>
    <row r="58">
      <c r="A58" s="155" t="n">
        <v>46321</v>
      </c>
      <c r="B58" s="83" t="inlineStr">
        <is>
          <t>Thứ Hai</t>
        </is>
      </c>
      <c r="C58" s="83" t="inlineStr">
        <is>
          <t>Official</t>
        </is>
      </c>
      <c r="D58" s="83" t="inlineStr">
        <is>
          <t>00:30</t>
        </is>
      </c>
      <c r="E58" s="156">
        <f>'SLOT_RULES'!$D$4+IF($A58&lt;='SLOT_RULES'!$D$4,0,INT(($A58-'SLOT_RULES'!$D$4-1)/'SLOT_RULES'!$E$4)+1)*'SLOT_RULES'!$E$4</f>
        <v/>
      </c>
      <c r="F58" s="157" t="n"/>
      <c r="G58" s="157" t="n"/>
      <c r="H58" s="156">
        <f>'SLOT_RULES'!$D$7+IF($A58&lt;='SLOT_RULES'!$D$7,0,INT(($A58-'SLOT_RULES'!$D$7-1)/'SLOT_RULES'!$E$7)+1)*'SLOT_RULES'!$E$7</f>
        <v/>
      </c>
      <c r="I58" s="156">
        <f>'SLOT_RULES'!$D$8+IF($A58&lt;='SLOT_RULES'!$D$8,0,INT(($A58-'SLOT_RULES'!$D$8-1)/'SLOT_RULES'!$E$8)+1)*'SLOT_RULES'!$E$8</f>
        <v/>
      </c>
      <c r="J58" s="156">
        <f>'SLOT_RULES'!$D$9+IF($A58&lt;='SLOT_RULES'!$D$9,0,INT(($A58-'SLOT_RULES'!$D$9-1)/'SLOT_RULES'!$E$9)+1)*'SLOT_RULES'!$E$9</f>
        <v/>
      </c>
      <c r="K58" s="156">
        <f>'SLOT_RULES'!$D$10+IF($A58&lt;='SLOT_RULES'!$D$10,0,INT(($A58-'SLOT_RULES'!$D$10-1)/'SLOT_RULES'!$E$10)+1)*'SLOT_RULES'!$E$10</f>
        <v/>
      </c>
      <c r="L58" s="156">
        <f>'SLOT_RULES'!$D$11+IF($A58&lt;='SLOT_RULES'!$D$11,0,INT(($A58-'SLOT_RULES'!$D$11-1)/'SLOT_RULES'!$E$11)+1)*'SLOT_RULES'!$E$11</f>
        <v/>
      </c>
      <c r="M58" s="156">
        <f>'SLOT_RULES'!$D$12+IF($A58&lt;='SLOT_RULES'!$D$12,0,INT(($A58-'SLOT_RULES'!$D$12-1)/'SLOT_RULES'!$E$12)+1)*'SLOT_RULES'!$E$12</f>
        <v/>
      </c>
      <c r="N58" s="156">
        <f>'SLOT_RULES'!$D$13+IF($A58&lt;='SLOT_RULES'!$D$13,0,INT(($A58-'SLOT_RULES'!$D$13-1)/'SLOT_RULES'!$E$13)+1)*'SLOT_RULES'!$E$13</f>
        <v/>
      </c>
      <c r="O58" s="156">
        <f>'SLOT_RULES'!$D$14+IF($A58&lt;='SLOT_RULES'!$D$14,0,INT(($A58-'SLOT_RULES'!$D$14-1)/'SLOT_RULES'!$E$14)+1)*'SLOT_RULES'!$E$14</f>
        <v/>
      </c>
      <c r="P58" s="156">
        <f>'SLOT_RULES'!$D$15+IF($A58&lt;='SLOT_RULES'!$D$15,0,INT(($A58-'SLOT_RULES'!$D$15-1)/'SLOT_RULES'!$E$15)+1)*'SLOT_RULES'!$E$15</f>
        <v/>
      </c>
      <c r="Q58" s="158">
        <f>MIN(E58:P58)-A58</f>
        <v/>
      </c>
      <c r="R58" s="158">
        <f>MAX(E58:P58)-A58</f>
        <v/>
      </c>
      <c r="S58" s="86">
        <f>IF(AND(COUNT(E58:P58)=10,MIN(E58:P58)&gt;=A58),"PASS","FAIL")</f>
        <v/>
      </c>
      <c r="T58" s="86">
        <f>IF((COUNTIF('LOCAL_REFERENCE'!$D58:$O58,E58)+COUNTIF('LOCAL_REFERENCE'!$D58:$O58,H58)+COUNTIF('LOCAL_REFERENCE'!$D58:$O58,I58)+COUNTIF('LOCAL_REFERENCE'!$D58:$O58,J58)+COUNTIF('LOCAL_REFERENCE'!$D58:$O58,K58)+COUNTIF('LOCAL_REFERENCE'!$D58:$O58,L58)+COUNTIF('LOCAL_REFERENCE'!$D58:$O58,M58)+COUNTIF('LOCAL_REFERENCE'!$D58:$O58,N58)+COUNTIF('LOCAL_REFERENCE'!$D58:$O58,O58)+COUNTIF('LOCAL_REFERENCE'!$D58:$O58,P58))=0,"PASS","FAIL")</f>
        <v/>
      </c>
      <c r="U58" s="86">
        <f>IF((COUNTIF('VPS_REFERENCE'!$D58:$H58,E58)+COUNTIF('VPS_REFERENCE'!$D58:$H58,H58)+COUNTIF('VPS_REFERENCE'!$D58:$H58,I58)+COUNTIF('VPS_REFERENCE'!$D58:$H58,J58)+COUNTIF('VPS_REFERENCE'!$D58:$H58,K58)+COUNTIF('VPS_REFERENCE'!$D58:$H58,L58)+COUNTIF('VPS_REFERENCE'!$D58:$H58,M58)+COUNTIF('VPS_REFERENCE'!$D58:$H58,N58)+COUNTIF('VPS_REFERENCE'!$D58:$H58,O58)+COUNTIF('VPS_REFERENCE'!$D58:$H58,P58))=0,"PASS","FAIL")</f>
        <v/>
      </c>
      <c r="V58" s="86">
        <f>IF(OR(E58=H58,E58=I58,E58=J58,E58=K58,E58=L58,E58=M58,E58=N58,E58=O58,E58=P58,H58=I58,H58=J58,H58=K58,H58=L58,H58=M58,H58=N58,H58=O58,H58=P58,I58=J58,I58=K58,I58=L58,I58=M58,I58=N58,I58=O58,I58=P58,J58=K58,J58=L58,J58=M58,J58=N58,J58=O58,J58=P58,K58=L58,K58=M58,K58=N58,K58=O58,K58=P58,L58=M58,L58=N58,L58=O58,L58=P58,M58=N58,M58=O58,M58=P58,N58=O58,N58=P58,O58=P58),"FAIL","PASS")</f>
        <v/>
      </c>
      <c r="W58" s="87">
        <f>'CRAWL_LOG'!B58</f>
        <v/>
      </c>
      <c r="X58" s="95" t="inlineStr">
        <is>
          <t>10-slot panel: 7 near + 3 far; AN2/AN3 inactive from 03/09</t>
        </is>
      </c>
    </row>
    <row r="59">
      <c r="A59" s="155" t="n">
        <v>46322</v>
      </c>
      <c r="B59" s="83" t="inlineStr">
        <is>
          <t>Thứ Ba</t>
        </is>
      </c>
      <c r="C59" s="83" t="inlineStr">
        <is>
          <t>Official</t>
        </is>
      </c>
      <c r="D59" s="83" t="inlineStr">
        <is>
          <t>00:30</t>
        </is>
      </c>
      <c r="E59" s="156">
        <f>'SLOT_RULES'!$D$4+IF($A59&lt;='SLOT_RULES'!$D$4,0,INT(($A59-'SLOT_RULES'!$D$4-1)/'SLOT_RULES'!$E$4)+1)*'SLOT_RULES'!$E$4</f>
        <v/>
      </c>
      <c r="F59" s="157" t="n"/>
      <c r="G59" s="157" t="n"/>
      <c r="H59" s="156">
        <f>'SLOT_RULES'!$D$7+IF($A59&lt;='SLOT_RULES'!$D$7,0,INT(($A59-'SLOT_RULES'!$D$7-1)/'SLOT_RULES'!$E$7)+1)*'SLOT_RULES'!$E$7</f>
        <v/>
      </c>
      <c r="I59" s="156">
        <f>'SLOT_RULES'!$D$8+IF($A59&lt;='SLOT_RULES'!$D$8,0,INT(($A59-'SLOT_RULES'!$D$8-1)/'SLOT_RULES'!$E$8)+1)*'SLOT_RULES'!$E$8</f>
        <v/>
      </c>
      <c r="J59" s="156">
        <f>'SLOT_RULES'!$D$9+IF($A59&lt;='SLOT_RULES'!$D$9,0,INT(($A59-'SLOT_RULES'!$D$9-1)/'SLOT_RULES'!$E$9)+1)*'SLOT_RULES'!$E$9</f>
        <v/>
      </c>
      <c r="K59" s="156">
        <f>'SLOT_RULES'!$D$10+IF($A59&lt;='SLOT_RULES'!$D$10,0,INT(($A59-'SLOT_RULES'!$D$10-1)/'SLOT_RULES'!$E$10)+1)*'SLOT_RULES'!$E$10</f>
        <v/>
      </c>
      <c r="L59" s="156">
        <f>'SLOT_RULES'!$D$11+IF($A59&lt;='SLOT_RULES'!$D$11,0,INT(($A59-'SLOT_RULES'!$D$11-1)/'SLOT_RULES'!$E$11)+1)*'SLOT_RULES'!$E$11</f>
        <v/>
      </c>
      <c r="M59" s="156">
        <f>'SLOT_RULES'!$D$12+IF($A59&lt;='SLOT_RULES'!$D$12,0,INT(($A59-'SLOT_RULES'!$D$12-1)/'SLOT_RULES'!$E$12)+1)*'SLOT_RULES'!$E$12</f>
        <v/>
      </c>
      <c r="N59" s="156">
        <f>'SLOT_RULES'!$D$13+IF($A59&lt;='SLOT_RULES'!$D$13,0,INT(($A59-'SLOT_RULES'!$D$13-1)/'SLOT_RULES'!$E$13)+1)*'SLOT_RULES'!$E$13</f>
        <v/>
      </c>
      <c r="O59" s="156">
        <f>'SLOT_RULES'!$D$14+IF($A59&lt;='SLOT_RULES'!$D$14,0,INT(($A59-'SLOT_RULES'!$D$14-1)/'SLOT_RULES'!$E$14)+1)*'SLOT_RULES'!$E$14</f>
        <v/>
      </c>
      <c r="P59" s="156">
        <f>'SLOT_RULES'!$D$15+IF($A59&lt;='SLOT_RULES'!$D$15,0,INT(($A59-'SLOT_RULES'!$D$15-1)/'SLOT_RULES'!$E$15)+1)*'SLOT_RULES'!$E$15</f>
        <v/>
      </c>
      <c r="Q59" s="158">
        <f>MIN(E59:P59)-A59</f>
        <v/>
      </c>
      <c r="R59" s="158">
        <f>MAX(E59:P59)-A59</f>
        <v/>
      </c>
      <c r="S59" s="86">
        <f>IF(AND(COUNT(E59:P59)=10,MIN(E59:P59)&gt;=A59),"PASS","FAIL")</f>
        <v/>
      </c>
      <c r="T59" s="86">
        <f>IF((COUNTIF('LOCAL_REFERENCE'!$D59:$O59,E59)+COUNTIF('LOCAL_REFERENCE'!$D59:$O59,H59)+COUNTIF('LOCAL_REFERENCE'!$D59:$O59,I59)+COUNTIF('LOCAL_REFERENCE'!$D59:$O59,J59)+COUNTIF('LOCAL_REFERENCE'!$D59:$O59,K59)+COUNTIF('LOCAL_REFERENCE'!$D59:$O59,L59)+COUNTIF('LOCAL_REFERENCE'!$D59:$O59,M59)+COUNTIF('LOCAL_REFERENCE'!$D59:$O59,N59)+COUNTIF('LOCAL_REFERENCE'!$D59:$O59,O59)+COUNTIF('LOCAL_REFERENCE'!$D59:$O59,P59))=0,"PASS","FAIL")</f>
        <v/>
      </c>
      <c r="U59" s="86">
        <f>IF((COUNTIF('VPS_REFERENCE'!$D59:$H59,E59)+COUNTIF('VPS_REFERENCE'!$D59:$H59,H59)+COUNTIF('VPS_REFERENCE'!$D59:$H59,I59)+COUNTIF('VPS_REFERENCE'!$D59:$H59,J59)+COUNTIF('VPS_REFERENCE'!$D59:$H59,K59)+COUNTIF('VPS_REFERENCE'!$D59:$H59,L59)+COUNTIF('VPS_REFERENCE'!$D59:$H59,M59)+COUNTIF('VPS_REFERENCE'!$D59:$H59,N59)+COUNTIF('VPS_REFERENCE'!$D59:$H59,O59)+COUNTIF('VPS_REFERENCE'!$D59:$H59,P59))=0,"PASS","FAIL")</f>
        <v/>
      </c>
      <c r="V59" s="86">
        <f>IF(OR(E59=H59,E59=I59,E59=J59,E59=K59,E59=L59,E59=M59,E59=N59,E59=O59,E59=P59,H59=I59,H59=J59,H59=K59,H59=L59,H59=M59,H59=N59,H59=O59,H59=P59,I59=J59,I59=K59,I59=L59,I59=M59,I59=N59,I59=O59,I59=P59,J59=K59,J59=L59,J59=M59,J59=N59,J59=O59,J59=P59,K59=L59,K59=M59,K59=N59,K59=O59,K59=P59,L59=M59,L59=N59,L59=O59,L59=P59,M59=N59,M59=O59,M59=P59,N59=O59,N59=P59,O59=P59),"FAIL","PASS")</f>
        <v/>
      </c>
      <c r="W59" s="87">
        <f>'CRAWL_LOG'!B59</f>
        <v/>
      </c>
      <c r="X59" s="95" t="inlineStr">
        <is>
          <t>10-slot panel: 7 near + 3 far; AN2/AN3 inactive from 03/09</t>
        </is>
      </c>
    </row>
    <row r="60">
      <c r="A60" s="155" t="n">
        <v>46323</v>
      </c>
      <c r="B60" s="83" t="inlineStr">
        <is>
          <t>Thứ Tư</t>
        </is>
      </c>
      <c r="C60" s="83" t="inlineStr">
        <is>
          <t>Official</t>
        </is>
      </c>
      <c r="D60" s="83" t="inlineStr">
        <is>
          <t>00:30</t>
        </is>
      </c>
      <c r="E60" s="156">
        <f>'SLOT_RULES'!$D$4+IF($A60&lt;='SLOT_RULES'!$D$4,0,INT(($A60-'SLOT_RULES'!$D$4-1)/'SLOT_RULES'!$E$4)+1)*'SLOT_RULES'!$E$4</f>
        <v/>
      </c>
      <c r="F60" s="157" t="n"/>
      <c r="G60" s="157" t="n"/>
      <c r="H60" s="156">
        <f>'SLOT_RULES'!$D$7+IF($A60&lt;='SLOT_RULES'!$D$7,0,INT(($A60-'SLOT_RULES'!$D$7-1)/'SLOT_RULES'!$E$7)+1)*'SLOT_RULES'!$E$7</f>
        <v/>
      </c>
      <c r="I60" s="156">
        <f>'SLOT_RULES'!$D$8+IF($A60&lt;='SLOT_RULES'!$D$8,0,INT(($A60-'SLOT_RULES'!$D$8-1)/'SLOT_RULES'!$E$8)+1)*'SLOT_RULES'!$E$8</f>
        <v/>
      </c>
      <c r="J60" s="156">
        <f>'SLOT_RULES'!$D$9+IF($A60&lt;='SLOT_RULES'!$D$9,0,INT(($A60-'SLOT_RULES'!$D$9-1)/'SLOT_RULES'!$E$9)+1)*'SLOT_RULES'!$E$9</f>
        <v/>
      </c>
      <c r="K60" s="156">
        <f>'SLOT_RULES'!$D$10+IF($A60&lt;='SLOT_RULES'!$D$10,0,INT(($A60-'SLOT_RULES'!$D$10-1)/'SLOT_RULES'!$E$10)+1)*'SLOT_RULES'!$E$10</f>
        <v/>
      </c>
      <c r="L60" s="156">
        <f>'SLOT_RULES'!$D$11+IF($A60&lt;='SLOT_RULES'!$D$11,0,INT(($A60-'SLOT_RULES'!$D$11-1)/'SLOT_RULES'!$E$11)+1)*'SLOT_RULES'!$E$11</f>
        <v/>
      </c>
      <c r="M60" s="156">
        <f>'SLOT_RULES'!$D$12+IF($A60&lt;='SLOT_RULES'!$D$12,0,INT(($A60-'SLOT_RULES'!$D$12-1)/'SLOT_RULES'!$E$12)+1)*'SLOT_RULES'!$E$12</f>
        <v/>
      </c>
      <c r="N60" s="156">
        <f>'SLOT_RULES'!$D$13+IF($A60&lt;='SLOT_RULES'!$D$13,0,INT(($A60-'SLOT_RULES'!$D$13-1)/'SLOT_RULES'!$E$13)+1)*'SLOT_RULES'!$E$13</f>
        <v/>
      </c>
      <c r="O60" s="156">
        <f>'SLOT_RULES'!$D$14+IF($A60&lt;='SLOT_RULES'!$D$14,0,INT(($A60-'SLOT_RULES'!$D$14-1)/'SLOT_RULES'!$E$14)+1)*'SLOT_RULES'!$E$14</f>
        <v/>
      </c>
      <c r="P60" s="156">
        <f>'SLOT_RULES'!$D$15+IF($A60&lt;='SLOT_RULES'!$D$15,0,INT(($A60-'SLOT_RULES'!$D$15-1)/'SLOT_RULES'!$E$15)+1)*'SLOT_RULES'!$E$15</f>
        <v/>
      </c>
      <c r="Q60" s="158">
        <f>MIN(E60:P60)-A60</f>
        <v/>
      </c>
      <c r="R60" s="158">
        <f>MAX(E60:P60)-A60</f>
        <v/>
      </c>
      <c r="S60" s="86">
        <f>IF(AND(COUNT(E60:P60)=10,MIN(E60:P60)&gt;=A60),"PASS","FAIL")</f>
        <v/>
      </c>
      <c r="T60" s="86">
        <f>IF((COUNTIF('LOCAL_REFERENCE'!$D60:$O60,E60)+COUNTIF('LOCAL_REFERENCE'!$D60:$O60,H60)+COUNTIF('LOCAL_REFERENCE'!$D60:$O60,I60)+COUNTIF('LOCAL_REFERENCE'!$D60:$O60,J60)+COUNTIF('LOCAL_REFERENCE'!$D60:$O60,K60)+COUNTIF('LOCAL_REFERENCE'!$D60:$O60,L60)+COUNTIF('LOCAL_REFERENCE'!$D60:$O60,M60)+COUNTIF('LOCAL_REFERENCE'!$D60:$O60,N60)+COUNTIF('LOCAL_REFERENCE'!$D60:$O60,O60)+COUNTIF('LOCAL_REFERENCE'!$D60:$O60,P60))=0,"PASS","FAIL")</f>
        <v/>
      </c>
      <c r="U60" s="86">
        <f>IF((COUNTIF('VPS_REFERENCE'!$D60:$H60,E60)+COUNTIF('VPS_REFERENCE'!$D60:$H60,H60)+COUNTIF('VPS_REFERENCE'!$D60:$H60,I60)+COUNTIF('VPS_REFERENCE'!$D60:$H60,J60)+COUNTIF('VPS_REFERENCE'!$D60:$H60,K60)+COUNTIF('VPS_REFERENCE'!$D60:$H60,L60)+COUNTIF('VPS_REFERENCE'!$D60:$H60,M60)+COUNTIF('VPS_REFERENCE'!$D60:$H60,N60)+COUNTIF('VPS_REFERENCE'!$D60:$H60,O60)+COUNTIF('VPS_REFERENCE'!$D60:$H60,P60))=0,"PASS","FAIL")</f>
        <v/>
      </c>
      <c r="V60" s="86">
        <f>IF(OR(E60=H60,E60=I60,E60=J60,E60=K60,E60=L60,E60=M60,E60=N60,E60=O60,E60=P60,H60=I60,H60=J60,H60=K60,H60=L60,H60=M60,H60=N60,H60=O60,H60=P60,I60=J60,I60=K60,I60=L60,I60=M60,I60=N60,I60=O60,I60=P60,J60=K60,J60=L60,J60=M60,J60=N60,J60=O60,J60=P60,K60=L60,K60=M60,K60=N60,K60=O60,K60=P60,L60=M60,L60=N60,L60=O60,L60=P60,M60=N60,M60=O60,M60=P60,N60=O60,N60=P60,O60=P60),"FAIL","PASS")</f>
        <v/>
      </c>
      <c r="W60" s="87">
        <f>'CRAWL_LOG'!B60</f>
        <v/>
      </c>
      <c r="X60" s="95" t="inlineStr">
        <is>
          <t>10-slot panel: 7 near + 3 far; AN2/AN3 inactive from 03/09</t>
        </is>
      </c>
    </row>
    <row r="61">
      <c r="A61" s="155" t="n">
        <v>46324</v>
      </c>
      <c r="B61" s="83" t="inlineStr">
        <is>
          <t>Thứ Năm</t>
        </is>
      </c>
      <c r="C61" s="83" t="inlineStr">
        <is>
          <t>Official</t>
        </is>
      </c>
      <c r="D61" s="83" t="inlineStr">
        <is>
          <t>00:30</t>
        </is>
      </c>
      <c r="E61" s="156">
        <f>'SLOT_RULES'!$D$4+IF($A61&lt;='SLOT_RULES'!$D$4,0,INT(($A61-'SLOT_RULES'!$D$4-1)/'SLOT_RULES'!$E$4)+1)*'SLOT_RULES'!$E$4</f>
        <v/>
      </c>
      <c r="F61" s="157" t="n"/>
      <c r="G61" s="157" t="n"/>
      <c r="H61" s="156">
        <f>'SLOT_RULES'!$D$7+IF($A61&lt;='SLOT_RULES'!$D$7,0,INT(($A61-'SLOT_RULES'!$D$7-1)/'SLOT_RULES'!$E$7)+1)*'SLOT_RULES'!$E$7</f>
        <v/>
      </c>
      <c r="I61" s="156">
        <f>'SLOT_RULES'!$D$8+IF($A61&lt;='SLOT_RULES'!$D$8,0,INT(($A61-'SLOT_RULES'!$D$8-1)/'SLOT_RULES'!$E$8)+1)*'SLOT_RULES'!$E$8</f>
        <v/>
      </c>
      <c r="J61" s="156">
        <f>'SLOT_RULES'!$D$9+IF($A61&lt;='SLOT_RULES'!$D$9,0,INT(($A61-'SLOT_RULES'!$D$9-1)/'SLOT_RULES'!$E$9)+1)*'SLOT_RULES'!$E$9</f>
        <v/>
      </c>
      <c r="K61" s="156">
        <f>'SLOT_RULES'!$D$10+IF($A61&lt;='SLOT_RULES'!$D$10,0,INT(($A61-'SLOT_RULES'!$D$10-1)/'SLOT_RULES'!$E$10)+1)*'SLOT_RULES'!$E$10</f>
        <v/>
      </c>
      <c r="L61" s="156">
        <f>'SLOT_RULES'!$D$11+IF($A61&lt;='SLOT_RULES'!$D$11,0,INT(($A61-'SLOT_RULES'!$D$11-1)/'SLOT_RULES'!$E$11)+1)*'SLOT_RULES'!$E$11</f>
        <v/>
      </c>
      <c r="M61" s="156">
        <f>'SLOT_RULES'!$D$12+IF($A61&lt;='SLOT_RULES'!$D$12,0,INT(($A61-'SLOT_RULES'!$D$12-1)/'SLOT_RULES'!$E$12)+1)*'SLOT_RULES'!$E$12</f>
        <v/>
      </c>
      <c r="N61" s="156">
        <f>'SLOT_RULES'!$D$13+IF($A61&lt;='SLOT_RULES'!$D$13,0,INT(($A61-'SLOT_RULES'!$D$13-1)/'SLOT_RULES'!$E$13)+1)*'SLOT_RULES'!$E$13</f>
        <v/>
      </c>
      <c r="O61" s="156">
        <f>'SLOT_RULES'!$D$14+IF($A61&lt;='SLOT_RULES'!$D$14,0,INT(($A61-'SLOT_RULES'!$D$14-1)/'SLOT_RULES'!$E$14)+1)*'SLOT_RULES'!$E$14</f>
        <v/>
      </c>
      <c r="P61" s="156">
        <f>'SLOT_RULES'!$D$15+IF($A61&lt;='SLOT_RULES'!$D$15,0,INT(($A61-'SLOT_RULES'!$D$15-1)/'SLOT_RULES'!$E$15)+1)*'SLOT_RULES'!$E$15</f>
        <v/>
      </c>
      <c r="Q61" s="158">
        <f>MIN(E61:P61)-A61</f>
        <v/>
      </c>
      <c r="R61" s="158">
        <f>MAX(E61:P61)-A61</f>
        <v/>
      </c>
      <c r="S61" s="86">
        <f>IF(AND(COUNT(E61:P61)=10,MIN(E61:P61)&gt;=A61),"PASS","FAIL")</f>
        <v/>
      </c>
      <c r="T61" s="86">
        <f>IF((COUNTIF('LOCAL_REFERENCE'!$D61:$O61,E61)+COUNTIF('LOCAL_REFERENCE'!$D61:$O61,H61)+COUNTIF('LOCAL_REFERENCE'!$D61:$O61,I61)+COUNTIF('LOCAL_REFERENCE'!$D61:$O61,J61)+COUNTIF('LOCAL_REFERENCE'!$D61:$O61,K61)+COUNTIF('LOCAL_REFERENCE'!$D61:$O61,L61)+COUNTIF('LOCAL_REFERENCE'!$D61:$O61,M61)+COUNTIF('LOCAL_REFERENCE'!$D61:$O61,N61)+COUNTIF('LOCAL_REFERENCE'!$D61:$O61,O61)+COUNTIF('LOCAL_REFERENCE'!$D61:$O61,P61))=0,"PASS","FAIL")</f>
        <v/>
      </c>
      <c r="U61" s="86">
        <f>IF((COUNTIF('VPS_REFERENCE'!$D61:$H61,E61)+COUNTIF('VPS_REFERENCE'!$D61:$H61,H61)+COUNTIF('VPS_REFERENCE'!$D61:$H61,I61)+COUNTIF('VPS_REFERENCE'!$D61:$H61,J61)+COUNTIF('VPS_REFERENCE'!$D61:$H61,K61)+COUNTIF('VPS_REFERENCE'!$D61:$H61,L61)+COUNTIF('VPS_REFERENCE'!$D61:$H61,M61)+COUNTIF('VPS_REFERENCE'!$D61:$H61,N61)+COUNTIF('VPS_REFERENCE'!$D61:$H61,O61)+COUNTIF('VPS_REFERENCE'!$D61:$H61,P61))=0,"PASS","FAIL")</f>
        <v/>
      </c>
      <c r="V61" s="86">
        <f>IF(OR(E61=H61,E61=I61,E61=J61,E61=K61,E61=L61,E61=M61,E61=N61,E61=O61,E61=P61,H61=I61,H61=J61,H61=K61,H61=L61,H61=M61,H61=N61,H61=O61,H61=P61,I61=J61,I61=K61,I61=L61,I61=M61,I61=N61,I61=O61,I61=P61,J61=K61,J61=L61,J61=M61,J61=N61,J61=O61,J61=P61,K61=L61,K61=M61,K61=N61,K61=O61,K61=P61,L61=M61,L61=N61,L61=O61,L61=P61,M61=N61,M61=O61,M61=P61,N61=O61,N61=P61,O61=P61),"FAIL","PASS")</f>
        <v/>
      </c>
      <c r="W61" s="87">
        <f>'CRAWL_LOG'!B61</f>
        <v/>
      </c>
      <c r="X61" s="95" t="inlineStr">
        <is>
          <t>10-slot panel: 7 near + 3 far; AN2/AN3 inactive from 03/09</t>
        </is>
      </c>
    </row>
    <row r="62">
      <c r="A62" s="155" t="n">
        <v>46325</v>
      </c>
      <c r="B62" s="83" t="inlineStr">
        <is>
          <t>Thứ Sáu</t>
        </is>
      </c>
      <c r="C62" s="83" t="inlineStr">
        <is>
          <t>Official</t>
        </is>
      </c>
      <c r="D62" s="83" t="inlineStr">
        <is>
          <t>00:30</t>
        </is>
      </c>
      <c r="E62" s="156">
        <f>'SLOT_RULES'!$D$4+IF($A62&lt;='SLOT_RULES'!$D$4,0,INT(($A62-'SLOT_RULES'!$D$4-1)/'SLOT_RULES'!$E$4)+1)*'SLOT_RULES'!$E$4</f>
        <v/>
      </c>
      <c r="F62" s="157" t="n"/>
      <c r="G62" s="157" t="n"/>
      <c r="H62" s="156">
        <f>'SLOT_RULES'!$D$7+IF($A62&lt;='SLOT_RULES'!$D$7,0,INT(($A62-'SLOT_RULES'!$D$7-1)/'SLOT_RULES'!$E$7)+1)*'SLOT_RULES'!$E$7</f>
        <v/>
      </c>
      <c r="I62" s="156">
        <f>'SLOT_RULES'!$D$8+IF($A62&lt;='SLOT_RULES'!$D$8,0,INT(($A62-'SLOT_RULES'!$D$8-1)/'SLOT_RULES'!$E$8)+1)*'SLOT_RULES'!$E$8</f>
        <v/>
      </c>
      <c r="J62" s="156">
        <f>'SLOT_RULES'!$D$9+IF($A62&lt;='SLOT_RULES'!$D$9,0,INT(($A62-'SLOT_RULES'!$D$9-1)/'SLOT_RULES'!$E$9)+1)*'SLOT_RULES'!$E$9</f>
        <v/>
      </c>
      <c r="K62" s="156">
        <f>'SLOT_RULES'!$D$10+IF($A62&lt;='SLOT_RULES'!$D$10,0,INT(($A62-'SLOT_RULES'!$D$10-1)/'SLOT_RULES'!$E$10)+1)*'SLOT_RULES'!$E$10</f>
        <v/>
      </c>
      <c r="L62" s="156">
        <f>'SLOT_RULES'!$D$11+IF($A62&lt;='SLOT_RULES'!$D$11,0,INT(($A62-'SLOT_RULES'!$D$11-1)/'SLOT_RULES'!$E$11)+1)*'SLOT_RULES'!$E$11</f>
        <v/>
      </c>
      <c r="M62" s="156">
        <f>'SLOT_RULES'!$D$12+IF($A62&lt;='SLOT_RULES'!$D$12,0,INT(($A62-'SLOT_RULES'!$D$12-1)/'SLOT_RULES'!$E$12)+1)*'SLOT_RULES'!$E$12</f>
        <v/>
      </c>
      <c r="N62" s="156">
        <f>'SLOT_RULES'!$D$13+IF($A62&lt;='SLOT_RULES'!$D$13,0,INT(($A62-'SLOT_RULES'!$D$13-1)/'SLOT_RULES'!$E$13)+1)*'SLOT_RULES'!$E$13</f>
        <v/>
      </c>
      <c r="O62" s="156">
        <f>'SLOT_RULES'!$D$14+IF($A62&lt;='SLOT_RULES'!$D$14,0,INT(($A62-'SLOT_RULES'!$D$14-1)/'SLOT_RULES'!$E$14)+1)*'SLOT_RULES'!$E$14</f>
        <v/>
      </c>
      <c r="P62" s="156">
        <f>'SLOT_RULES'!$D$15+IF($A62&lt;='SLOT_RULES'!$D$15,0,INT(($A62-'SLOT_RULES'!$D$15-1)/'SLOT_RULES'!$E$15)+1)*'SLOT_RULES'!$E$15</f>
        <v/>
      </c>
      <c r="Q62" s="158">
        <f>MIN(E62:P62)-A62</f>
        <v/>
      </c>
      <c r="R62" s="158">
        <f>MAX(E62:P62)-A62</f>
        <v/>
      </c>
      <c r="S62" s="86">
        <f>IF(AND(COUNT(E62:P62)=10,MIN(E62:P62)&gt;=A62),"PASS","FAIL")</f>
        <v/>
      </c>
      <c r="T62" s="86">
        <f>IF((COUNTIF('LOCAL_REFERENCE'!$D62:$O62,E62)+COUNTIF('LOCAL_REFERENCE'!$D62:$O62,H62)+COUNTIF('LOCAL_REFERENCE'!$D62:$O62,I62)+COUNTIF('LOCAL_REFERENCE'!$D62:$O62,J62)+COUNTIF('LOCAL_REFERENCE'!$D62:$O62,K62)+COUNTIF('LOCAL_REFERENCE'!$D62:$O62,L62)+COUNTIF('LOCAL_REFERENCE'!$D62:$O62,M62)+COUNTIF('LOCAL_REFERENCE'!$D62:$O62,N62)+COUNTIF('LOCAL_REFERENCE'!$D62:$O62,O62)+COUNTIF('LOCAL_REFERENCE'!$D62:$O62,P62))=0,"PASS","FAIL")</f>
        <v/>
      </c>
      <c r="U62" s="86">
        <f>IF((COUNTIF('VPS_REFERENCE'!$D62:$H62,E62)+COUNTIF('VPS_REFERENCE'!$D62:$H62,H62)+COUNTIF('VPS_REFERENCE'!$D62:$H62,I62)+COUNTIF('VPS_REFERENCE'!$D62:$H62,J62)+COUNTIF('VPS_REFERENCE'!$D62:$H62,K62)+COUNTIF('VPS_REFERENCE'!$D62:$H62,L62)+COUNTIF('VPS_REFERENCE'!$D62:$H62,M62)+COUNTIF('VPS_REFERENCE'!$D62:$H62,N62)+COUNTIF('VPS_REFERENCE'!$D62:$H62,O62)+COUNTIF('VPS_REFERENCE'!$D62:$H62,P62))=0,"PASS","FAIL")</f>
        <v/>
      </c>
      <c r="V62" s="86">
        <f>IF(OR(E62=H62,E62=I62,E62=J62,E62=K62,E62=L62,E62=M62,E62=N62,E62=O62,E62=P62,H62=I62,H62=J62,H62=K62,H62=L62,H62=M62,H62=N62,H62=O62,H62=P62,I62=J62,I62=K62,I62=L62,I62=M62,I62=N62,I62=O62,I62=P62,J62=K62,J62=L62,J62=M62,J62=N62,J62=O62,J62=P62,K62=L62,K62=M62,K62=N62,K62=O62,K62=P62,L62=M62,L62=N62,L62=O62,L62=P62,M62=N62,M62=O62,M62=P62,N62=O62,N62=P62,O62=P62),"FAIL","PASS")</f>
        <v/>
      </c>
      <c r="W62" s="87">
        <f>'CRAWL_LOG'!B62</f>
        <v/>
      </c>
      <c r="X62" s="95" t="inlineStr">
        <is>
          <t>10-slot panel: 7 near + 3 far; AN2/AN3 inactive from 03/09</t>
        </is>
      </c>
    </row>
    <row r="63">
      <c r="A63" s="155" t="n">
        <v>46326</v>
      </c>
      <c r="B63" s="83" t="inlineStr">
        <is>
          <t>Thứ Bảy</t>
        </is>
      </c>
      <c r="C63" s="83" t="inlineStr">
        <is>
          <t>Official</t>
        </is>
      </c>
      <c r="D63" s="83" t="inlineStr">
        <is>
          <t>00:30</t>
        </is>
      </c>
      <c r="E63" s="156">
        <f>'SLOT_RULES'!$D$4+IF($A63&lt;='SLOT_RULES'!$D$4,0,INT(($A63-'SLOT_RULES'!$D$4-1)/'SLOT_RULES'!$E$4)+1)*'SLOT_RULES'!$E$4</f>
        <v/>
      </c>
      <c r="F63" s="157" t="n"/>
      <c r="G63" s="157" t="n"/>
      <c r="H63" s="156">
        <f>'SLOT_RULES'!$D$7+IF($A63&lt;='SLOT_RULES'!$D$7,0,INT(($A63-'SLOT_RULES'!$D$7-1)/'SLOT_RULES'!$E$7)+1)*'SLOT_RULES'!$E$7</f>
        <v/>
      </c>
      <c r="I63" s="156">
        <f>'SLOT_RULES'!$D$8+IF($A63&lt;='SLOT_RULES'!$D$8,0,INT(($A63-'SLOT_RULES'!$D$8-1)/'SLOT_RULES'!$E$8)+1)*'SLOT_RULES'!$E$8</f>
        <v/>
      </c>
      <c r="J63" s="156">
        <f>'SLOT_RULES'!$D$9+IF($A63&lt;='SLOT_RULES'!$D$9,0,INT(($A63-'SLOT_RULES'!$D$9-1)/'SLOT_RULES'!$E$9)+1)*'SLOT_RULES'!$E$9</f>
        <v/>
      </c>
      <c r="K63" s="156">
        <f>'SLOT_RULES'!$D$10+IF($A63&lt;='SLOT_RULES'!$D$10,0,INT(($A63-'SLOT_RULES'!$D$10-1)/'SLOT_RULES'!$E$10)+1)*'SLOT_RULES'!$E$10</f>
        <v/>
      </c>
      <c r="L63" s="156">
        <f>'SLOT_RULES'!$D$11+IF($A63&lt;='SLOT_RULES'!$D$11,0,INT(($A63-'SLOT_RULES'!$D$11-1)/'SLOT_RULES'!$E$11)+1)*'SLOT_RULES'!$E$11</f>
        <v/>
      </c>
      <c r="M63" s="156">
        <f>'SLOT_RULES'!$D$12+IF($A63&lt;='SLOT_RULES'!$D$12,0,INT(($A63-'SLOT_RULES'!$D$12-1)/'SLOT_RULES'!$E$12)+1)*'SLOT_RULES'!$E$12</f>
        <v/>
      </c>
      <c r="N63" s="156">
        <f>'SLOT_RULES'!$D$13+IF($A63&lt;='SLOT_RULES'!$D$13,0,INT(($A63-'SLOT_RULES'!$D$13-1)/'SLOT_RULES'!$E$13)+1)*'SLOT_RULES'!$E$13</f>
        <v/>
      </c>
      <c r="O63" s="156">
        <f>'SLOT_RULES'!$D$14+IF($A63&lt;='SLOT_RULES'!$D$14,0,INT(($A63-'SLOT_RULES'!$D$14-1)/'SLOT_RULES'!$E$14)+1)*'SLOT_RULES'!$E$14</f>
        <v/>
      </c>
      <c r="P63" s="156">
        <f>'SLOT_RULES'!$D$15+IF($A63&lt;='SLOT_RULES'!$D$15,0,INT(($A63-'SLOT_RULES'!$D$15-1)/'SLOT_RULES'!$E$15)+1)*'SLOT_RULES'!$E$15</f>
        <v/>
      </c>
      <c r="Q63" s="158">
        <f>MIN(E63:P63)-A63</f>
        <v/>
      </c>
      <c r="R63" s="158">
        <f>MAX(E63:P63)-A63</f>
        <v/>
      </c>
      <c r="S63" s="86">
        <f>IF(AND(COUNT(E63:P63)=10,MIN(E63:P63)&gt;=A63),"PASS","FAIL")</f>
        <v/>
      </c>
      <c r="T63" s="86">
        <f>IF((COUNTIF('LOCAL_REFERENCE'!$D63:$O63,E63)+COUNTIF('LOCAL_REFERENCE'!$D63:$O63,H63)+COUNTIF('LOCAL_REFERENCE'!$D63:$O63,I63)+COUNTIF('LOCAL_REFERENCE'!$D63:$O63,J63)+COUNTIF('LOCAL_REFERENCE'!$D63:$O63,K63)+COUNTIF('LOCAL_REFERENCE'!$D63:$O63,L63)+COUNTIF('LOCAL_REFERENCE'!$D63:$O63,M63)+COUNTIF('LOCAL_REFERENCE'!$D63:$O63,N63)+COUNTIF('LOCAL_REFERENCE'!$D63:$O63,O63)+COUNTIF('LOCAL_REFERENCE'!$D63:$O63,P63))=0,"PASS","FAIL")</f>
        <v/>
      </c>
      <c r="U63" s="86">
        <f>IF((COUNTIF('VPS_REFERENCE'!$D63:$H63,E63)+COUNTIF('VPS_REFERENCE'!$D63:$H63,H63)+COUNTIF('VPS_REFERENCE'!$D63:$H63,I63)+COUNTIF('VPS_REFERENCE'!$D63:$H63,J63)+COUNTIF('VPS_REFERENCE'!$D63:$H63,K63)+COUNTIF('VPS_REFERENCE'!$D63:$H63,L63)+COUNTIF('VPS_REFERENCE'!$D63:$H63,M63)+COUNTIF('VPS_REFERENCE'!$D63:$H63,N63)+COUNTIF('VPS_REFERENCE'!$D63:$H63,O63)+COUNTIF('VPS_REFERENCE'!$D63:$H63,P63))=0,"PASS","FAIL")</f>
        <v/>
      </c>
      <c r="V63" s="86">
        <f>IF(OR(E63=H63,E63=I63,E63=J63,E63=K63,E63=L63,E63=M63,E63=N63,E63=O63,E63=P63,H63=I63,H63=J63,H63=K63,H63=L63,H63=M63,H63=N63,H63=O63,H63=P63,I63=J63,I63=K63,I63=L63,I63=M63,I63=N63,I63=O63,I63=P63,J63=K63,J63=L63,J63=M63,J63=N63,J63=O63,J63=P63,K63=L63,K63=M63,K63=N63,K63=O63,K63=P63,L63=M63,L63=N63,L63=O63,L63=P63,M63=N63,M63=O63,M63=P63,N63=O63,N63=P63,O63=P63),"FAIL","PASS")</f>
        <v/>
      </c>
      <c r="W63" s="87">
        <f>'CRAWL_LOG'!B63</f>
        <v/>
      </c>
      <c r="X63" s="95" t="inlineStr">
        <is>
          <t>10-slot panel: 7 near + 3 far; AN2/AN3 inactive from 03/09</t>
        </is>
      </c>
    </row>
    <row r="64">
      <c r="A64" s="155" t="n">
        <v>46327</v>
      </c>
      <c r="B64" s="83" t="inlineStr">
        <is>
          <t>Chủ Nhật</t>
        </is>
      </c>
      <c r="C64" s="83" t="inlineStr">
        <is>
          <t>Official</t>
        </is>
      </c>
      <c r="D64" s="83" t="inlineStr">
        <is>
          <t>00:30</t>
        </is>
      </c>
      <c r="E64" s="156">
        <f>'SLOT_RULES'!$D$4+IF($A64&lt;='SLOT_RULES'!$D$4,0,INT(($A64-'SLOT_RULES'!$D$4-1)/'SLOT_RULES'!$E$4)+1)*'SLOT_RULES'!$E$4</f>
        <v/>
      </c>
      <c r="F64" s="157" t="n"/>
      <c r="G64" s="157" t="n"/>
      <c r="H64" s="156">
        <f>'SLOT_RULES'!$D$7+IF($A64&lt;='SLOT_RULES'!$D$7,0,INT(($A64-'SLOT_RULES'!$D$7-1)/'SLOT_RULES'!$E$7)+1)*'SLOT_RULES'!$E$7</f>
        <v/>
      </c>
      <c r="I64" s="156">
        <f>'SLOT_RULES'!$D$8+IF($A64&lt;='SLOT_RULES'!$D$8,0,INT(($A64-'SLOT_RULES'!$D$8-1)/'SLOT_RULES'!$E$8)+1)*'SLOT_RULES'!$E$8</f>
        <v/>
      </c>
      <c r="J64" s="156">
        <f>'SLOT_RULES'!$D$9+IF($A64&lt;='SLOT_RULES'!$D$9,0,INT(($A64-'SLOT_RULES'!$D$9-1)/'SLOT_RULES'!$E$9)+1)*'SLOT_RULES'!$E$9</f>
        <v/>
      </c>
      <c r="K64" s="156">
        <f>'SLOT_RULES'!$D$10+IF($A64&lt;='SLOT_RULES'!$D$10,0,INT(($A64-'SLOT_RULES'!$D$10-1)/'SLOT_RULES'!$E$10)+1)*'SLOT_RULES'!$E$10</f>
        <v/>
      </c>
      <c r="L64" s="156">
        <f>'SLOT_RULES'!$D$11+IF($A64&lt;='SLOT_RULES'!$D$11,0,INT(($A64-'SLOT_RULES'!$D$11-1)/'SLOT_RULES'!$E$11)+1)*'SLOT_RULES'!$E$11</f>
        <v/>
      </c>
      <c r="M64" s="156">
        <f>'SLOT_RULES'!$D$12+IF($A64&lt;='SLOT_RULES'!$D$12,0,INT(($A64-'SLOT_RULES'!$D$12-1)/'SLOT_RULES'!$E$12)+1)*'SLOT_RULES'!$E$12</f>
        <v/>
      </c>
      <c r="N64" s="156">
        <f>'SLOT_RULES'!$D$13+IF($A64&lt;='SLOT_RULES'!$D$13,0,INT(($A64-'SLOT_RULES'!$D$13-1)/'SLOT_RULES'!$E$13)+1)*'SLOT_RULES'!$E$13</f>
        <v/>
      </c>
      <c r="O64" s="156">
        <f>'SLOT_RULES'!$D$14+IF($A64&lt;='SLOT_RULES'!$D$14,0,INT(($A64-'SLOT_RULES'!$D$14-1)/'SLOT_RULES'!$E$14)+1)*'SLOT_RULES'!$E$14</f>
        <v/>
      </c>
      <c r="P64" s="156">
        <f>'SLOT_RULES'!$D$15+IF($A64&lt;='SLOT_RULES'!$D$15,0,INT(($A64-'SLOT_RULES'!$D$15-1)/'SLOT_RULES'!$E$15)+1)*'SLOT_RULES'!$E$15</f>
        <v/>
      </c>
      <c r="Q64" s="158">
        <f>MIN(E64:P64)-A64</f>
        <v/>
      </c>
      <c r="R64" s="158">
        <f>MAX(E64:P64)-A64</f>
        <v/>
      </c>
      <c r="S64" s="86">
        <f>IF(AND(COUNT(E64:P64)=10,MIN(E64:P64)&gt;=A64),"PASS","FAIL")</f>
        <v/>
      </c>
      <c r="T64" s="86">
        <f>IF((COUNTIF('LOCAL_REFERENCE'!$D64:$O64,E64)+COUNTIF('LOCAL_REFERENCE'!$D64:$O64,H64)+COUNTIF('LOCAL_REFERENCE'!$D64:$O64,I64)+COUNTIF('LOCAL_REFERENCE'!$D64:$O64,J64)+COUNTIF('LOCAL_REFERENCE'!$D64:$O64,K64)+COUNTIF('LOCAL_REFERENCE'!$D64:$O64,L64)+COUNTIF('LOCAL_REFERENCE'!$D64:$O64,M64)+COUNTIF('LOCAL_REFERENCE'!$D64:$O64,N64)+COUNTIF('LOCAL_REFERENCE'!$D64:$O64,O64)+COUNTIF('LOCAL_REFERENCE'!$D64:$O64,P64))=0,"PASS","FAIL")</f>
        <v/>
      </c>
      <c r="U64" s="86">
        <f>IF((COUNTIF('VPS_REFERENCE'!$D64:$H64,E64)+COUNTIF('VPS_REFERENCE'!$D64:$H64,H64)+COUNTIF('VPS_REFERENCE'!$D64:$H64,I64)+COUNTIF('VPS_REFERENCE'!$D64:$H64,J64)+COUNTIF('VPS_REFERENCE'!$D64:$H64,K64)+COUNTIF('VPS_REFERENCE'!$D64:$H64,L64)+COUNTIF('VPS_REFERENCE'!$D64:$H64,M64)+COUNTIF('VPS_REFERENCE'!$D64:$H64,N64)+COUNTIF('VPS_REFERENCE'!$D64:$H64,O64)+COUNTIF('VPS_REFERENCE'!$D64:$H64,P64))=0,"PASS","FAIL")</f>
        <v/>
      </c>
      <c r="V64" s="86">
        <f>IF(OR(E64=H64,E64=I64,E64=J64,E64=K64,E64=L64,E64=M64,E64=N64,E64=O64,E64=P64,H64=I64,H64=J64,H64=K64,H64=L64,H64=M64,H64=N64,H64=O64,H64=P64,I64=J64,I64=K64,I64=L64,I64=M64,I64=N64,I64=O64,I64=P64,J64=K64,J64=L64,J64=M64,J64=N64,J64=O64,J64=P64,K64=L64,K64=M64,K64=N64,K64=O64,K64=P64,L64=M64,L64=N64,L64=O64,L64=P64,M64=N64,M64=O64,M64=P64,N64=O64,N64=P64,O64=P64),"FAIL","PASS")</f>
        <v/>
      </c>
      <c r="W64" s="87">
        <f>'CRAWL_LOG'!B64</f>
        <v/>
      </c>
      <c r="X64" s="95" t="inlineStr">
        <is>
          <t>10-slot panel: 7 near + 3 far; AN2/AN3 inactive from 03/09</t>
        </is>
      </c>
    </row>
    <row r="65">
      <c r="A65" s="155" t="n">
        <v>46328</v>
      </c>
      <c r="B65" s="83" t="inlineStr">
        <is>
          <t>Thứ Hai</t>
        </is>
      </c>
      <c r="C65" s="83" t="inlineStr">
        <is>
          <t>Official</t>
        </is>
      </c>
      <c r="D65" s="83" t="inlineStr">
        <is>
          <t>00:30</t>
        </is>
      </c>
      <c r="E65" s="156">
        <f>'SLOT_RULES'!$D$4+IF($A65&lt;='SLOT_RULES'!$D$4,0,INT(($A65-'SLOT_RULES'!$D$4-1)/'SLOT_RULES'!$E$4)+1)*'SLOT_RULES'!$E$4</f>
        <v/>
      </c>
      <c r="F65" s="157" t="n"/>
      <c r="G65" s="157" t="n"/>
      <c r="H65" s="156">
        <f>'SLOT_RULES'!$D$7+IF($A65&lt;='SLOT_RULES'!$D$7,0,INT(($A65-'SLOT_RULES'!$D$7-1)/'SLOT_RULES'!$E$7)+1)*'SLOT_RULES'!$E$7</f>
        <v/>
      </c>
      <c r="I65" s="156">
        <f>'SLOT_RULES'!$D$8+IF($A65&lt;='SLOT_RULES'!$D$8,0,INT(($A65-'SLOT_RULES'!$D$8-1)/'SLOT_RULES'!$E$8)+1)*'SLOT_RULES'!$E$8</f>
        <v/>
      </c>
      <c r="J65" s="156">
        <f>'SLOT_RULES'!$D$9+IF($A65&lt;='SLOT_RULES'!$D$9,0,INT(($A65-'SLOT_RULES'!$D$9-1)/'SLOT_RULES'!$E$9)+1)*'SLOT_RULES'!$E$9</f>
        <v/>
      </c>
      <c r="K65" s="156">
        <f>'SLOT_RULES'!$D$10+IF($A65&lt;='SLOT_RULES'!$D$10,0,INT(($A65-'SLOT_RULES'!$D$10-1)/'SLOT_RULES'!$E$10)+1)*'SLOT_RULES'!$E$10</f>
        <v/>
      </c>
      <c r="L65" s="156">
        <f>'SLOT_RULES'!$D$11+IF($A65&lt;='SLOT_RULES'!$D$11,0,INT(($A65-'SLOT_RULES'!$D$11-1)/'SLOT_RULES'!$E$11)+1)*'SLOT_RULES'!$E$11</f>
        <v/>
      </c>
      <c r="M65" s="156">
        <f>'SLOT_RULES'!$D$12+IF($A65&lt;='SLOT_RULES'!$D$12,0,INT(($A65-'SLOT_RULES'!$D$12-1)/'SLOT_RULES'!$E$12)+1)*'SLOT_RULES'!$E$12</f>
        <v/>
      </c>
      <c r="N65" s="156">
        <f>'SLOT_RULES'!$D$13+IF($A65&lt;='SLOT_RULES'!$D$13,0,INT(($A65-'SLOT_RULES'!$D$13-1)/'SLOT_RULES'!$E$13)+1)*'SLOT_RULES'!$E$13</f>
        <v/>
      </c>
      <c r="O65" s="156">
        <f>'SLOT_RULES'!$D$14+IF($A65&lt;='SLOT_RULES'!$D$14,0,INT(($A65-'SLOT_RULES'!$D$14-1)/'SLOT_RULES'!$E$14)+1)*'SLOT_RULES'!$E$14</f>
        <v/>
      </c>
      <c r="P65" s="156">
        <f>'SLOT_RULES'!$D$15+IF($A65&lt;='SLOT_RULES'!$D$15,0,INT(($A65-'SLOT_RULES'!$D$15-1)/'SLOT_RULES'!$E$15)+1)*'SLOT_RULES'!$E$15</f>
        <v/>
      </c>
      <c r="Q65" s="158">
        <f>MIN(E65:P65)-A65</f>
        <v/>
      </c>
      <c r="R65" s="158">
        <f>MAX(E65:P65)-A65</f>
        <v/>
      </c>
      <c r="S65" s="86">
        <f>IF(AND(COUNT(E65:P65)=10,MIN(E65:P65)&gt;=A65),"PASS","FAIL")</f>
        <v/>
      </c>
      <c r="T65" s="86">
        <f>IF((COUNTIF('LOCAL_REFERENCE'!$D65:$O65,E65)+COUNTIF('LOCAL_REFERENCE'!$D65:$O65,H65)+COUNTIF('LOCAL_REFERENCE'!$D65:$O65,I65)+COUNTIF('LOCAL_REFERENCE'!$D65:$O65,J65)+COUNTIF('LOCAL_REFERENCE'!$D65:$O65,K65)+COUNTIF('LOCAL_REFERENCE'!$D65:$O65,L65)+COUNTIF('LOCAL_REFERENCE'!$D65:$O65,M65)+COUNTIF('LOCAL_REFERENCE'!$D65:$O65,N65)+COUNTIF('LOCAL_REFERENCE'!$D65:$O65,O65)+COUNTIF('LOCAL_REFERENCE'!$D65:$O65,P65))=0,"PASS","FAIL")</f>
        <v/>
      </c>
      <c r="U65" s="86">
        <f>IF((COUNTIF('VPS_REFERENCE'!$D65:$H65,E65)+COUNTIF('VPS_REFERENCE'!$D65:$H65,H65)+COUNTIF('VPS_REFERENCE'!$D65:$H65,I65)+COUNTIF('VPS_REFERENCE'!$D65:$H65,J65)+COUNTIF('VPS_REFERENCE'!$D65:$H65,K65)+COUNTIF('VPS_REFERENCE'!$D65:$H65,L65)+COUNTIF('VPS_REFERENCE'!$D65:$H65,M65)+COUNTIF('VPS_REFERENCE'!$D65:$H65,N65)+COUNTIF('VPS_REFERENCE'!$D65:$H65,O65)+COUNTIF('VPS_REFERENCE'!$D65:$H65,P65))=0,"PASS","FAIL")</f>
        <v/>
      </c>
      <c r="V65" s="86">
        <f>IF(OR(E65=H65,E65=I65,E65=J65,E65=K65,E65=L65,E65=M65,E65=N65,E65=O65,E65=P65,H65=I65,H65=J65,H65=K65,H65=L65,H65=M65,H65=N65,H65=O65,H65=P65,I65=J65,I65=K65,I65=L65,I65=M65,I65=N65,I65=O65,I65=P65,J65=K65,J65=L65,J65=M65,J65=N65,J65=O65,J65=P65,K65=L65,K65=M65,K65=N65,K65=O65,K65=P65,L65=M65,L65=N65,L65=O65,L65=P65,M65=N65,M65=O65,M65=P65,N65=O65,N65=P65,O65=P65),"FAIL","PASS")</f>
        <v/>
      </c>
      <c r="W65" s="87">
        <f>'CRAWL_LOG'!B65</f>
        <v/>
      </c>
      <c r="X65" s="95" t="inlineStr">
        <is>
          <t>10-slot panel: 7 near + 3 far; AN2/AN3 inactive from 03/09</t>
        </is>
      </c>
    </row>
    <row r="66">
      <c r="A66" s="155" t="n">
        <v>46329</v>
      </c>
      <c r="B66" s="83" t="inlineStr">
        <is>
          <t>Thứ Ba</t>
        </is>
      </c>
      <c r="C66" s="83" t="inlineStr">
        <is>
          <t>Official</t>
        </is>
      </c>
      <c r="D66" s="83" t="inlineStr">
        <is>
          <t>00:30</t>
        </is>
      </c>
      <c r="E66" s="156">
        <f>'SLOT_RULES'!$D$4+IF($A66&lt;='SLOT_RULES'!$D$4,0,INT(($A66-'SLOT_RULES'!$D$4-1)/'SLOT_RULES'!$E$4)+1)*'SLOT_RULES'!$E$4</f>
        <v/>
      </c>
      <c r="F66" s="157" t="n"/>
      <c r="G66" s="157" t="n"/>
      <c r="H66" s="156">
        <f>'SLOT_RULES'!$D$7+IF($A66&lt;='SLOT_RULES'!$D$7,0,INT(($A66-'SLOT_RULES'!$D$7-1)/'SLOT_RULES'!$E$7)+1)*'SLOT_RULES'!$E$7</f>
        <v/>
      </c>
      <c r="I66" s="156">
        <f>'SLOT_RULES'!$D$8+IF($A66&lt;='SLOT_RULES'!$D$8,0,INT(($A66-'SLOT_RULES'!$D$8-1)/'SLOT_RULES'!$E$8)+1)*'SLOT_RULES'!$E$8</f>
        <v/>
      </c>
      <c r="J66" s="156">
        <f>'SLOT_RULES'!$D$9+IF($A66&lt;='SLOT_RULES'!$D$9,0,INT(($A66-'SLOT_RULES'!$D$9-1)/'SLOT_RULES'!$E$9)+1)*'SLOT_RULES'!$E$9</f>
        <v/>
      </c>
      <c r="K66" s="156">
        <f>'SLOT_RULES'!$D$10+IF($A66&lt;='SLOT_RULES'!$D$10,0,INT(($A66-'SLOT_RULES'!$D$10-1)/'SLOT_RULES'!$E$10)+1)*'SLOT_RULES'!$E$10</f>
        <v/>
      </c>
      <c r="L66" s="156">
        <f>'SLOT_RULES'!$D$11+IF($A66&lt;='SLOT_RULES'!$D$11,0,INT(($A66-'SLOT_RULES'!$D$11-1)/'SLOT_RULES'!$E$11)+1)*'SLOT_RULES'!$E$11</f>
        <v/>
      </c>
      <c r="M66" s="156">
        <f>'SLOT_RULES'!$D$12+IF($A66&lt;='SLOT_RULES'!$D$12,0,INT(($A66-'SLOT_RULES'!$D$12-1)/'SLOT_RULES'!$E$12)+1)*'SLOT_RULES'!$E$12</f>
        <v/>
      </c>
      <c r="N66" s="156">
        <f>'SLOT_RULES'!$D$13+IF($A66&lt;='SLOT_RULES'!$D$13,0,INT(($A66-'SLOT_RULES'!$D$13-1)/'SLOT_RULES'!$E$13)+1)*'SLOT_RULES'!$E$13</f>
        <v/>
      </c>
      <c r="O66" s="156">
        <f>'SLOT_RULES'!$D$14+IF($A66&lt;='SLOT_RULES'!$D$14,0,INT(($A66-'SLOT_RULES'!$D$14-1)/'SLOT_RULES'!$E$14)+1)*'SLOT_RULES'!$E$14</f>
        <v/>
      </c>
      <c r="P66" s="156">
        <f>'SLOT_RULES'!$D$15+IF($A66&lt;='SLOT_RULES'!$D$15,0,INT(($A66-'SLOT_RULES'!$D$15-1)/'SLOT_RULES'!$E$15)+1)*'SLOT_RULES'!$E$15</f>
        <v/>
      </c>
      <c r="Q66" s="158">
        <f>MIN(E66:P66)-A66</f>
        <v/>
      </c>
      <c r="R66" s="158">
        <f>MAX(E66:P66)-A66</f>
        <v/>
      </c>
      <c r="S66" s="86">
        <f>IF(AND(COUNT(E66:P66)=10,MIN(E66:P66)&gt;=A66),"PASS","FAIL")</f>
        <v/>
      </c>
      <c r="T66" s="86">
        <f>IF((COUNTIF('LOCAL_REFERENCE'!$D66:$O66,E66)+COUNTIF('LOCAL_REFERENCE'!$D66:$O66,H66)+COUNTIF('LOCAL_REFERENCE'!$D66:$O66,I66)+COUNTIF('LOCAL_REFERENCE'!$D66:$O66,J66)+COUNTIF('LOCAL_REFERENCE'!$D66:$O66,K66)+COUNTIF('LOCAL_REFERENCE'!$D66:$O66,L66)+COUNTIF('LOCAL_REFERENCE'!$D66:$O66,M66)+COUNTIF('LOCAL_REFERENCE'!$D66:$O66,N66)+COUNTIF('LOCAL_REFERENCE'!$D66:$O66,O66)+COUNTIF('LOCAL_REFERENCE'!$D66:$O66,P66))=0,"PASS","FAIL")</f>
        <v/>
      </c>
      <c r="U66" s="86">
        <f>IF((COUNTIF('VPS_REFERENCE'!$D66:$H66,E66)+COUNTIF('VPS_REFERENCE'!$D66:$H66,H66)+COUNTIF('VPS_REFERENCE'!$D66:$H66,I66)+COUNTIF('VPS_REFERENCE'!$D66:$H66,J66)+COUNTIF('VPS_REFERENCE'!$D66:$H66,K66)+COUNTIF('VPS_REFERENCE'!$D66:$H66,L66)+COUNTIF('VPS_REFERENCE'!$D66:$H66,M66)+COUNTIF('VPS_REFERENCE'!$D66:$H66,N66)+COUNTIF('VPS_REFERENCE'!$D66:$H66,O66)+COUNTIF('VPS_REFERENCE'!$D66:$H66,P66))=0,"PASS","FAIL")</f>
        <v/>
      </c>
      <c r="V66" s="86">
        <f>IF(OR(E66=H66,E66=I66,E66=J66,E66=K66,E66=L66,E66=M66,E66=N66,E66=O66,E66=P66,H66=I66,H66=J66,H66=K66,H66=L66,H66=M66,H66=N66,H66=O66,H66=P66,I66=J66,I66=K66,I66=L66,I66=M66,I66=N66,I66=O66,I66=P66,J66=K66,J66=L66,J66=M66,J66=N66,J66=O66,J66=P66,K66=L66,K66=M66,K66=N66,K66=O66,K66=P66,L66=M66,L66=N66,L66=O66,L66=P66,M66=N66,M66=O66,M66=P66,N66=O66,N66=P66,O66=P66),"FAIL","PASS")</f>
        <v/>
      </c>
      <c r="W66" s="87">
        <f>'CRAWL_LOG'!B66</f>
        <v/>
      </c>
      <c r="X66" s="95" t="inlineStr">
        <is>
          <t>10-slot panel: 7 near + 3 far; AN2/AN3 inactive from 03/09</t>
        </is>
      </c>
    </row>
    <row r="67">
      <c r="A67" s="155" t="n">
        <v>46330</v>
      </c>
      <c r="B67" s="83" t="inlineStr">
        <is>
          <t>Thứ Tư</t>
        </is>
      </c>
      <c r="C67" s="83" t="inlineStr">
        <is>
          <t>Official</t>
        </is>
      </c>
      <c r="D67" s="83" t="inlineStr">
        <is>
          <t>00:30</t>
        </is>
      </c>
      <c r="E67" s="156">
        <f>'SLOT_RULES'!$D$4+IF($A67&lt;='SLOT_RULES'!$D$4,0,INT(($A67-'SLOT_RULES'!$D$4-1)/'SLOT_RULES'!$E$4)+1)*'SLOT_RULES'!$E$4</f>
        <v/>
      </c>
      <c r="F67" s="157" t="n"/>
      <c r="G67" s="157" t="n"/>
      <c r="H67" s="156">
        <f>'SLOT_RULES'!$D$7+IF($A67&lt;='SLOT_RULES'!$D$7,0,INT(($A67-'SLOT_RULES'!$D$7-1)/'SLOT_RULES'!$E$7)+1)*'SLOT_RULES'!$E$7</f>
        <v/>
      </c>
      <c r="I67" s="156">
        <f>'SLOT_RULES'!$D$8+IF($A67&lt;='SLOT_RULES'!$D$8,0,INT(($A67-'SLOT_RULES'!$D$8-1)/'SLOT_RULES'!$E$8)+1)*'SLOT_RULES'!$E$8</f>
        <v/>
      </c>
      <c r="J67" s="156">
        <f>'SLOT_RULES'!$D$9+IF($A67&lt;='SLOT_RULES'!$D$9,0,INT(($A67-'SLOT_RULES'!$D$9-1)/'SLOT_RULES'!$E$9)+1)*'SLOT_RULES'!$E$9</f>
        <v/>
      </c>
      <c r="K67" s="156">
        <f>'SLOT_RULES'!$D$10+IF($A67&lt;='SLOT_RULES'!$D$10,0,INT(($A67-'SLOT_RULES'!$D$10-1)/'SLOT_RULES'!$E$10)+1)*'SLOT_RULES'!$E$10</f>
        <v/>
      </c>
      <c r="L67" s="156">
        <f>'SLOT_RULES'!$D$11+IF($A67&lt;='SLOT_RULES'!$D$11,0,INT(($A67-'SLOT_RULES'!$D$11-1)/'SLOT_RULES'!$E$11)+1)*'SLOT_RULES'!$E$11</f>
        <v/>
      </c>
      <c r="M67" s="156">
        <f>'SLOT_RULES'!$D$12+IF($A67&lt;='SLOT_RULES'!$D$12,0,INT(($A67-'SLOT_RULES'!$D$12-1)/'SLOT_RULES'!$E$12)+1)*'SLOT_RULES'!$E$12</f>
        <v/>
      </c>
      <c r="N67" s="156">
        <f>'SLOT_RULES'!$D$13+IF($A67&lt;='SLOT_RULES'!$D$13,0,INT(($A67-'SLOT_RULES'!$D$13-1)/'SLOT_RULES'!$E$13)+1)*'SLOT_RULES'!$E$13</f>
        <v/>
      </c>
      <c r="O67" s="156">
        <f>'SLOT_RULES'!$D$14+IF($A67&lt;='SLOT_RULES'!$D$14,0,INT(($A67-'SLOT_RULES'!$D$14-1)/'SLOT_RULES'!$E$14)+1)*'SLOT_RULES'!$E$14</f>
        <v/>
      </c>
      <c r="P67" s="156">
        <f>'SLOT_RULES'!$D$15+IF($A67&lt;='SLOT_RULES'!$D$15,0,INT(($A67-'SLOT_RULES'!$D$15-1)/'SLOT_RULES'!$E$15)+1)*'SLOT_RULES'!$E$15</f>
        <v/>
      </c>
      <c r="Q67" s="158">
        <f>MIN(E67:P67)-A67</f>
        <v/>
      </c>
      <c r="R67" s="158">
        <f>MAX(E67:P67)-A67</f>
        <v/>
      </c>
      <c r="S67" s="86">
        <f>IF(AND(COUNT(E67:P67)=10,MIN(E67:P67)&gt;=A67),"PASS","FAIL")</f>
        <v/>
      </c>
      <c r="T67" s="86">
        <f>IF((COUNTIF('LOCAL_REFERENCE'!$D67:$O67,E67)+COUNTIF('LOCAL_REFERENCE'!$D67:$O67,H67)+COUNTIF('LOCAL_REFERENCE'!$D67:$O67,I67)+COUNTIF('LOCAL_REFERENCE'!$D67:$O67,J67)+COUNTIF('LOCAL_REFERENCE'!$D67:$O67,K67)+COUNTIF('LOCAL_REFERENCE'!$D67:$O67,L67)+COUNTIF('LOCAL_REFERENCE'!$D67:$O67,M67)+COUNTIF('LOCAL_REFERENCE'!$D67:$O67,N67)+COUNTIF('LOCAL_REFERENCE'!$D67:$O67,O67)+COUNTIF('LOCAL_REFERENCE'!$D67:$O67,P67))=0,"PASS","FAIL")</f>
        <v/>
      </c>
      <c r="U67" s="86">
        <f>IF((COUNTIF('VPS_REFERENCE'!$D67:$H67,E67)+COUNTIF('VPS_REFERENCE'!$D67:$H67,H67)+COUNTIF('VPS_REFERENCE'!$D67:$H67,I67)+COUNTIF('VPS_REFERENCE'!$D67:$H67,J67)+COUNTIF('VPS_REFERENCE'!$D67:$H67,K67)+COUNTIF('VPS_REFERENCE'!$D67:$H67,L67)+COUNTIF('VPS_REFERENCE'!$D67:$H67,M67)+COUNTIF('VPS_REFERENCE'!$D67:$H67,N67)+COUNTIF('VPS_REFERENCE'!$D67:$H67,O67)+COUNTIF('VPS_REFERENCE'!$D67:$H67,P67))=0,"PASS","FAIL")</f>
        <v/>
      </c>
      <c r="V67" s="86">
        <f>IF(OR(E67=H67,E67=I67,E67=J67,E67=K67,E67=L67,E67=M67,E67=N67,E67=O67,E67=P67,H67=I67,H67=J67,H67=K67,H67=L67,H67=M67,H67=N67,H67=O67,H67=P67,I67=J67,I67=K67,I67=L67,I67=M67,I67=N67,I67=O67,I67=P67,J67=K67,J67=L67,J67=M67,J67=N67,J67=O67,J67=P67,K67=L67,K67=M67,K67=N67,K67=O67,K67=P67,L67=M67,L67=N67,L67=O67,L67=P67,M67=N67,M67=O67,M67=P67,N67=O67,N67=P67,O67=P67),"FAIL","PASS")</f>
        <v/>
      </c>
      <c r="W67" s="87">
        <f>'CRAWL_LOG'!B67</f>
        <v/>
      </c>
      <c r="X67" s="95" t="inlineStr">
        <is>
          <t>10-slot panel: 7 near + 3 far; AN2/AN3 inactive from 03/09</t>
        </is>
      </c>
    </row>
    <row r="68">
      <c r="A68" s="155" t="n">
        <v>46331</v>
      </c>
      <c r="B68" s="83" t="inlineStr">
        <is>
          <t>Thứ Năm</t>
        </is>
      </c>
      <c r="C68" s="83" t="inlineStr">
        <is>
          <t>Official</t>
        </is>
      </c>
      <c r="D68" s="83" t="inlineStr">
        <is>
          <t>00:30</t>
        </is>
      </c>
      <c r="E68" s="156">
        <f>'SLOT_RULES'!$D$4+IF($A68&lt;='SLOT_RULES'!$D$4,0,INT(($A68-'SLOT_RULES'!$D$4-1)/'SLOT_RULES'!$E$4)+1)*'SLOT_RULES'!$E$4</f>
        <v/>
      </c>
      <c r="F68" s="157" t="n"/>
      <c r="G68" s="157" t="n"/>
      <c r="H68" s="156">
        <f>'SLOT_RULES'!$D$7+IF($A68&lt;='SLOT_RULES'!$D$7,0,INT(($A68-'SLOT_RULES'!$D$7-1)/'SLOT_RULES'!$E$7)+1)*'SLOT_RULES'!$E$7</f>
        <v/>
      </c>
      <c r="I68" s="156">
        <f>'SLOT_RULES'!$D$8+IF($A68&lt;='SLOT_RULES'!$D$8,0,INT(($A68-'SLOT_RULES'!$D$8-1)/'SLOT_RULES'!$E$8)+1)*'SLOT_RULES'!$E$8</f>
        <v/>
      </c>
      <c r="J68" s="156">
        <f>'SLOT_RULES'!$D$9+IF($A68&lt;='SLOT_RULES'!$D$9,0,INT(($A68-'SLOT_RULES'!$D$9-1)/'SLOT_RULES'!$E$9)+1)*'SLOT_RULES'!$E$9</f>
        <v/>
      </c>
      <c r="K68" s="156">
        <f>'SLOT_RULES'!$D$10+IF($A68&lt;='SLOT_RULES'!$D$10,0,INT(($A68-'SLOT_RULES'!$D$10-1)/'SLOT_RULES'!$E$10)+1)*'SLOT_RULES'!$E$10</f>
        <v/>
      </c>
      <c r="L68" s="156">
        <f>'SLOT_RULES'!$D$11+IF($A68&lt;='SLOT_RULES'!$D$11,0,INT(($A68-'SLOT_RULES'!$D$11-1)/'SLOT_RULES'!$E$11)+1)*'SLOT_RULES'!$E$11</f>
        <v/>
      </c>
      <c r="M68" s="156">
        <f>'SLOT_RULES'!$D$12+IF($A68&lt;='SLOT_RULES'!$D$12,0,INT(($A68-'SLOT_RULES'!$D$12-1)/'SLOT_RULES'!$E$12)+1)*'SLOT_RULES'!$E$12</f>
        <v/>
      </c>
      <c r="N68" s="156">
        <f>'SLOT_RULES'!$D$13+IF($A68&lt;='SLOT_RULES'!$D$13,0,INT(($A68-'SLOT_RULES'!$D$13-1)/'SLOT_RULES'!$E$13)+1)*'SLOT_RULES'!$E$13</f>
        <v/>
      </c>
      <c r="O68" s="156">
        <f>'SLOT_RULES'!$D$14+IF($A68&lt;='SLOT_RULES'!$D$14,0,INT(($A68-'SLOT_RULES'!$D$14-1)/'SLOT_RULES'!$E$14)+1)*'SLOT_RULES'!$E$14</f>
        <v/>
      </c>
      <c r="P68" s="156">
        <f>'SLOT_RULES'!$D$15+IF($A68&lt;='SLOT_RULES'!$D$15,0,INT(($A68-'SLOT_RULES'!$D$15-1)/'SLOT_RULES'!$E$15)+1)*'SLOT_RULES'!$E$15</f>
        <v/>
      </c>
      <c r="Q68" s="158">
        <f>MIN(E68:P68)-A68</f>
        <v/>
      </c>
      <c r="R68" s="158">
        <f>MAX(E68:P68)-A68</f>
        <v/>
      </c>
      <c r="S68" s="86">
        <f>IF(AND(COUNT(E68:P68)=10,MIN(E68:P68)&gt;=A68),"PASS","FAIL")</f>
        <v/>
      </c>
      <c r="T68" s="86">
        <f>IF((COUNTIF('LOCAL_REFERENCE'!$D68:$O68,E68)+COUNTIF('LOCAL_REFERENCE'!$D68:$O68,H68)+COUNTIF('LOCAL_REFERENCE'!$D68:$O68,I68)+COUNTIF('LOCAL_REFERENCE'!$D68:$O68,J68)+COUNTIF('LOCAL_REFERENCE'!$D68:$O68,K68)+COUNTIF('LOCAL_REFERENCE'!$D68:$O68,L68)+COUNTIF('LOCAL_REFERENCE'!$D68:$O68,M68)+COUNTIF('LOCAL_REFERENCE'!$D68:$O68,N68)+COUNTIF('LOCAL_REFERENCE'!$D68:$O68,O68)+COUNTIF('LOCAL_REFERENCE'!$D68:$O68,P68))=0,"PASS","FAIL")</f>
        <v/>
      </c>
      <c r="U68" s="86">
        <f>IF((COUNTIF('VPS_REFERENCE'!$D68:$H68,E68)+COUNTIF('VPS_REFERENCE'!$D68:$H68,H68)+COUNTIF('VPS_REFERENCE'!$D68:$H68,I68)+COUNTIF('VPS_REFERENCE'!$D68:$H68,J68)+COUNTIF('VPS_REFERENCE'!$D68:$H68,K68)+COUNTIF('VPS_REFERENCE'!$D68:$H68,L68)+COUNTIF('VPS_REFERENCE'!$D68:$H68,M68)+COUNTIF('VPS_REFERENCE'!$D68:$H68,N68)+COUNTIF('VPS_REFERENCE'!$D68:$H68,O68)+COUNTIF('VPS_REFERENCE'!$D68:$H68,P68))=0,"PASS","FAIL")</f>
        <v/>
      </c>
      <c r="V68" s="86">
        <f>IF(OR(E68=H68,E68=I68,E68=J68,E68=K68,E68=L68,E68=M68,E68=N68,E68=O68,E68=P68,H68=I68,H68=J68,H68=K68,H68=L68,H68=M68,H68=N68,H68=O68,H68=P68,I68=J68,I68=K68,I68=L68,I68=M68,I68=N68,I68=O68,I68=P68,J68=K68,J68=L68,J68=M68,J68=N68,J68=O68,J68=P68,K68=L68,K68=M68,K68=N68,K68=O68,K68=P68,L68=M68,L68=N68,L68=O68,L68=P68,M68=N68,M68=O68,M68=P68,N68=O68,N68=P68,O68=P68),"FAIL","PASS")</f>
        <v/>
      </c>
      <c r="W68" s="87">
        <f>'CRAWL_LOG'!B68</f>
        <v/>
      </c>
      <c r="X68" s="95" t="inlineStr">
        <is>
          <t>10-slot panel: 7 near + 3 far; AN2/AN3 inactive from 03/09</t>
        </is>
      </c>
    </row>
    <row r="69">
      <c r="A69" s="155" t="n">
        <v>46332</v>
      </c>
      <c r="B69" s="83" t="inlineStr">
        <is>
          <t>Thứ Sáu</t>
        </is>
      </c>
      <c r="C69" s="83" t="inlineStr">
        <is>
          <t>Official</t>
        </is>
      </c>
      <c r="D69" s="83" t="inlineStr">
        <is>
          <t>00:30</t>
        </is>
      </c>
      <c r="E69" s="156">
        <f>'SLOT_RULES'!$D$4+IF($A69&lt;='SLOT_RULES'!$D$4,0,INT(($A69-'SLOT_RULES'!$D$4-1)/'SLOT_RULES'!$E$4)+1)*'SLOT_RULES'!$E$4</f>
        <v/>
      </c>
      <c r="F69" s="157" t="n"/>
      <c r="G69" s="157" t="n"/>
      <c r="H69" s="156">
        <f>'SLOT_RULES'!$D$7+IF($A69&lt;='SLOT_RULES'!$D$7,0,INT(($A69-'SLOT_RULES'!$D$7-1)/'SLOT_RULES'!$E$7)+1)*'SLOT_RULES'!$E$7</f>
        <v/>
      </c>
      <c r="I69" s="156">
        <f>'SLOT_RULES'!$D$8+IF($A69&lt;='SLOT_RULES'!$D$8,0,INT(($A69-'SLOT_RULES'!$D$8-1)/'SLOT_RULES'!$E$8)+1)*'SLOT_RULES'!$E$8</f>
        <v/>
      </c>
      <c r="J69" s="156">
        <f>'SLOT_RULES'!$D$9+IF($A69&lt;='SLOT_RULES'!$D$9,0,INT(($A69-'SLOT_RULES'!$D$9-1)/'SLOT_RULES'!$E$9)+1)*'SLOT_RULES'!$E$9</f>
        <v/>
      </c>
      <c r="K69" s="156">
        <f>'SLOT_RULES'!$D$10+IF($A69&lt;='SLOT_RULES'!$D$10,0,INT(($A69-'SLOT_RULES'!$D$10-1)/'SLOT_RULES'!$E$10)+1)*'SLOT_RULES'!$E$10</f>
        <v/>
      </c>
      <c r="L69" s="156">
        <f>'SLOT_RULES'!$D$11+IF($A69&lt;='SLOT_RULES'!$D$11,0,INT(($A69-'SLOT_RULES'!$D$11-1)/'SLOT_RULES'!$E$11)+1)*'SLOT_RULES'!$E$11</f>
        <v/>
      </c>
      <c r="M69" s="156">
        <f>'SLOT_RULES'!$D$12+IF($A69&lt;='SLOT_RULES'!$D$12,0,INT(($A69-'SLOT_RULES'!$D$12-1)/'SLOT_RULES'!$E$12)+1)*'SLOT_RULES'!$E$12</f>
        <v/>
      </c>
      <c r="N69" s="156">
        <f>'SLOT_RULES'!$D$13+IF($A69&lt;='SLOT_RULES'!$D$13,0,INT(($A69-'SLOT_RULES'!$D$13-1)/'SLOT_RULES'!$E$13)+1)*'SLOT_RULES'!$E$13</f>
        <v/>
      </c>
      <c r="O69" s="156">
        <f>'SLOT_RULES'!$D$14+IF($A69&lt;='SLOT_RULES'!$D$14,0,INT(($A69-'SLOT_RULES'!$D$14-1)/'SLOT_RULES'!$E$14)+1)*'SLOT_RULES'!$E$14</f>
        <v/>
      </c>
      <c r="P69" s="156">
        <f>'SLOT_RULES'!$D$15+IF($A69&lt;='SLOT_RULES'!$D$15,0,INT(($A69-'SLOT_RULES'!$D$15-1)/'SLOT_RULES'!$E$15)+1)*'SLOT_RULES'!$E$15</f>
        <v/>
      </c>
      <c r="Q69" s="158">
        <f>MIN(E69:P69)-A69</f>
        <v/>
      </c>
      <c r="R69" s="158">
        <f>MAX(E69:P69)-A69</f>
        <v/>
      </c>
      <c r="S69" s="86">
        <f>IF(AND(COUNT(E69:P69)=10,MIN(E69:P69)&gt;=A69),"PASS","FAIL")</f>
        <v/>
      </c>
      <c r="T69" s="86">
        <f>IF((COUNTIF('LOCAL_REFERENCE'!$D69:$O69,E69)+COUNTIF('LOCAL_REFERENCE'!$D69:$O69,H69)+COUNTIF('LOCAL_REFERENCE'!$D69:$O69,I69)+COUNTIF('LOCAL_REFERENCE'!$D69:$O69,J69)+COUNTIF('LOCAL_REFERENCE'!$D69:$O69,K69)+COUNTIF('LOCAL_REFERENCE'!$D69:$O69,L69)+COUNTIF('LOCAL_REFERENCE'!$D69:$O69,M69)+COUNTIF('LOCAL_REFERENCE'!$D69:$O69,N69)+COUNTIF('LOCAL_REFERENCE'!$D69:$O69,O69)+COUNTIF('LOCAL_REFERENCE'!$D69:$O69,P69))=0,"PASS","FAIL")</f>
        <v/>
      </c>
      <c r="U69" s="86">
        <f>IF((COUNTIF('VPS_REFERENCE'!$D69:$H69,E69)+COUNTIF('VPS_REFERENCE'!$D69:$H69,H69)+COUNTIF('VPS_REFERENCE'!$D69:$H69,I69)+COUNTIF('VPS_REFERENCE'!$D69:$H69,J69)+COUNTIF('VPS_REFERENCE'!$D69:$H69,K69)+COUNTIF('VPS_REFERENCE'!$D69:$H69,L69)+COUNTIF('VPS_REFERENCE'!$D69:$H69,M69)+COUNTIF('VPS_REFERENCE'!$D69:$H69,N69)+COUNTIF('VPS_REFERENCE'!$D69:$H69,O69)+COUNTIF('VPS_REFERENCE'!$D69:$H69,P69))=0,"PASS","FAIL")</f>
        <v/>
      </c>
      <c r="V69" s="86">
        <f>IF(OR(E69=H69,E69=I69,E69=J69,E69=K69,E69=L69,E69=M69,E69=N69,E69=O69,E69=P69,H69=I69,H69=J69,H69=K69,H69=L69,H69=M69,H69=N69,H69=O69,H69=P69,I69=J69,I69=K69,I69=L69,I69=M69,I69=N69,I69=O69,I69=P69,J69=K69,J69=L69,J69=M69,J69=N69,J69=O69,J69=P69,K69=L69,K69=M69,K69=N69,K69=O69,K69=P69,L69=M69,L69=N69,L69=O69,L69=P69,M69=N69,M69=O69,M69=P69,N69=O69,N69=P69,O69=P69),"FAIL","PASS")</f>
        <v/>
      </c>
      <c r="W69" s="87">
        <f>'CRAWL_LOG'!B69</f>
        <v/>
      </c>
      <c r="X69" s="95" t="inlineStr">
        <is>
          <t>10-slot panel: 7 near + 3 far; AN2/AN3 inactive from 03/09</t>
        </is>
      </c>
    </row>
    <row r="70">
      <c r="A70" s="155" t="n">
        <v>46333</v>
      </c>
      <c r="B70" s="83" t="inlineStr">
        <is>
          <t>Thứ Bảy</t>
        </is>
      </c>
      <c r="C70" s="83" t="inlineStr">
        <is>
          <t>Official</t>
        </is>
      </c>
      <c r="D70" s="83" t="inlineStr">
        <is>
          <t>00:30</t>
        </is>
      </c>
      <c r="E70" s="156">
        <f>'SLOT_RULES'!$D$4+IF($A70&lt;='SLOT_RULES'!$D$4,0,INT(($A70-'SLOT_RULES'!$D$4-1)/'SLOT_RULES'!$E$4)+1)*'SLOT_RULES'!$E$4</f>
        <v/>
      </c>
      <c r="F70" s="157" t="n"/>
      <c r="G70" s="157" t="n"/>
      <c r="H70" s="156">
        <f>'SLOT_RULES'!$D$7+IF($A70&lt;='SLOT_RULES'!$D$7,0,INT(($A70-'SLOT_RULES'!$D$7-1)/'SLOT_RULES'!$E$7)+1)*'SLOT_RULES'!$E$7</f>
        <v/>
      </c>
      <c r="I70" s="156">
        <f>'SLOT_RULES'!$D$8+IF($A70&lt;='SLOT_RULES'!$D$8,0,INT(($A70-'SLOT_RULES'!$D$8-1)/'SLOT_RULES'!$E$8)+1)*'SLOT_RULES'!$E$8</f>
        <v/>
      </c>
      <c r="J70" s="156">
        <f>'SLOT_RULES'!$D$9+IF($A70&lt;='SLOT_RULES'!$D$9,0,INT(($A70-'SLOT_RULES'!$D$9-1)/'SLOT_RULES'!$E$9)+1)*'SLOT_RULES'!$E$9</f>
        <v/>
      </c>
      <c r="K70" s="156">
        <f>'SLOT_RULES'!$D$10+IF($A70&lt;='SLOT_RULES'!$D$10,0,INT(($A70-'SLOT_RULES'!$D$10-1)/'SLOT_RULES'!$E$10)+1)*'SLOT_RULES'!$E$10</f>
        <v/>
      </c>
      <c r="L70" s="156">
        <f>'SLOT_RULES'!$D$11+IF($A70&lt;='SLOT_RULES'!$D$11,0,INT(($A70-'SLOT_RULES'!$D$11-1)/'SLOT_RULES'!$E$11)+1)*'SLOT_RULES'!$E$11</f>
        <v/>
      </c>
      <c r="M70" s="156">
        <f>'SLOT_RULES'!$D$12+IF($A70&lt;='SLOT_RULES'!$D$12,0,INT(($A70-'SLOT_RULES'!$D$12-1)/'SLOT_RULES'!$E$12)+1)*'SLOT_RULES'!$E$12</f>
        <v/>
      </c>
      <c r="N70" s="156">
        <f>'SLOT_RULES'!$D$13+IF($A70&lt;='SLOT_RULES'!$D$13,0,INT(($A70-'SLOT_RULES'!$D$13-1)/'SLOT_RULES'!$E$13)+1)*'SLOT_RULES'!$E$13</f>
        <v/>
      </c>
      <c r="O70" s="156">
        <f>'SLOT_RULES'!$D$14+IF($A70&lt;='SLOT_RULES'!$D$14,0,INT(($A70-'SLOT_RULES'!$D$14-1)/'SLOT_RULES'!$E$14)+1)*'SLOT_RULES'!$E$14</f>
        <v/>
      </c>
      <c r="P70" s="156">
        <f>'SLOT_RULES'!$D$15+IF($A70&lt;='SLOT_RULES'!$D$15,0,INT(($A70-'SLOT_RULES'!$D$15-1)/'SLOT_RULES'!$E$15)+1)*'SLOT_RULES'!$E$15</f>
        <v/>
      </c>
      <c r="Q70" s="158">
        <f>MIN(E70:P70)-A70</f>
        <v/>
      </c>
      <c r="R70" s="158">
        <f>MAX(E70:P70)-A70</f>
        <v/>
      </c>
      <c r="S70" s="86">
        <f>IF(AND(COUNT(E70:P70)=10,MIN(E70:P70)&gt;=A70),"PASS","FAIL")</f>
        <v/>
      </c>
      <c r="T70" s="86">
        <f>IF((COUNTIF('LOCAL_REFERENCE'!$D70:$O70,E70)+COUNTIF('LOCAL_REFERENCE'!$D70:$O70,H70)+COUNTIF('LOCAL_REFERENCE'!$D70:$O70,I70)+COUNTIF('LOCAL_REFERENCE'!$D70:$O70,J70)+COUNTIF('LOCAL_REFERENCE'!$D70:$O70,K70)+COUNTIF('LOCAL_REFERENCE'!$D70:$O70,L70)+COUNTIF('LOCAL_REFERENCE'!$D70:$O70,M70)+COUNTIF('LOCAL_REFERENCE'!$D70:$O70,N70)+COUNTIF('LOCAL_REFERENCE'!$D70:$O70,O70)+COUNTIF('LOCAL_REFERENCE'!$D70:$O70,P70))=0,"PASS","FAIL")</f>
        <v/>
      </c>
      <c r="U70" s="86">
        <f>IF((COUNTIF('VPS_REFERENCE'!$D70:$H70,E70)+COUNTIF('VPS_REFERENCE'!$D70:$H70,H70)+COUNTIF('VPS_REFERENCE'!$D70:$H70,I70)+COUNTIF('VPS_REFERENCE'!$D70:$H70,J70)+COUNTIF('VPS_REFERENCE'!$D70:$H70,K70)+COUNTIF('VPS_REFERENCE'!$D70:$H70,L70)+COUNTIF('VPS_REFERENCE'!$D70:$H70,M70)+COUNTIF('VPS_REFERENCE'!$D70:$H70,N70)+COUNTIF('VPS_REFERENCE'!$D70:$H70,O70)+COUNTIF('VPS_REFERENCE'!$D70:$H70,P70))=0,"PASS","FAIL")</f>
        <v/>
      </c>
      <c r="V70" s="86">
        <f>IF(OR(E70=H70,E70=I70,E70=J70,E70=K70,E70=L70,E70=M70,E70=N70,E70=O70,E70=P70,H70=I70,H70=J70,H70=K70,H70=L70,H70=M70,H70=N70,H70=O70,H70=P70,I70=J70,I70=K70,I70=L70,I70=M70,I70=N70,I70=O70,I70=P70,J70=K70,J70=L70,J70=M70,J70=N70,J70=O70,J70=P70,K70=L70,K70=M70,K70=N70,K70=O70,K70=P70,L70=M70,L70=N70,L70=O70,L70=P70,M70=N70,M70=O70,M70=P70,N70=O70,N70=P70,O70=P70),"FAIL","PASS")</f>
        <v/>
      </c>
      <c r="W70" s="87">
        <f>'CRAWL_LOG'!B70</f>
        <v/>
      </c>
      <c r="X70" s="95" t="inlineStr">
        <is>
          <t>10-slot panel: 7 near + 3 far; AN2/AN3 inactive from 03/09</t>
        </is>
      </c>
    </row>
    <row r="71">
      <c r="A71" s="155" t="n">
        <v>46334</v>
      </c>
      <c r="B71" s="83" t="inlineStr">
        <is>
          <t>Chủ Nhật</t>
        </is>
      </c>
      <c r="C71" s="83" t="inlineStr">
        <is>
          <t>Official</t>
        </is>
      </c>
      <c r="D71" s="83" t="inlineStr">
        <is>
          <t>00:30</t>
        </is>
      </c>
      <c r="E71" s="156">
        <f>'SLOT_RULES'!$D$4+IF($A71&lt;='SLOT_RULES'!$D$4,0,INT(($A71-'SLOT_RULES'!$D$4-1)/'SLOT_RULES'!$E$4)+1)*'SLOT_RULES'!$E$4</f>
        <v/>
      </c>
      <c r="F71" s="157" t="n"/>
      <c r="G71" s="157" t="n"/>
      <c r="H71" s="156">
        <f>'SLOT_RULES'!$D$7+IF($A71&lt;='SLOT_RULES'!$D$7,0,INT(($A71-'SLOT_RULES'!$D$7-1)/'SLOT_RULES'!$E$7)+1)*'SLOT_RULES'!$E$7</f>
        <v/>
      </c>
      <c r="I71" s="156">
        <f>'SLOT_RULES'!$D$8+IF($A71&lt;='SLOT_RULES'!$D$8,0,INT(($A71-'SLOT_RULES'!$D$8-1)/'SLOT_RULES'!$E$8)+1)*'SLOT_RULES'!$E$8</f>
        <v/>
      </c>
      <c r="J71" s="156">
        <f>'SLOT_RULES'!$D$9+IF($A71&lt;='SLOT_RULES'!$D$9,0,INT(($A71-'SLOT_RULES'!$D$9-1)/'SLOT_RULES'!$E$9)+1)*'SLOT_RULES'!$E$9</f>
        <v/>
      </c>
      <c r="K71" s="156">
        <f>'SLOT_RULES'!$D$10+IF($A71&lt;='SLOT_RULES'!$D$10,0,INT(($A71-'SLOT_RULES'!$D$10-1)/'SLOT_RULES'!$E$10)+1)*'SLOT_RULES'!$E$10</f>
        <v/>
      </c>
      <c r="L71" s="156">
        <f>'SLOT_RULES'!$D$11+IF($A71&lt;='SLOT_RULES'!$D$11,0,INT(($A71-'SLOT_RULES'!$D$11-1)/'SLOT_RULES'!$E$11)+1)*'SLOT_RULES'!$E$11</f>
        <v/>
      </c>
      <c r="M71" s="156">
        <f>'SLOT_RULES'!$D$12+IF($A71&lt;='SLOT_RULES'!$D$12,0,INT(($A71-'SLOT_RULES'!$D$12-1)/'SLOT_RULES'!$E$12)+1)*'SLOT_RULES'!$E$12</f>
        <v/>
      </c>
      <c r="N71" s="156">
        <f>'SLOT_RULES'!$D$13+IF($A71&lt;='SLOT_RULES'!$D$13,0,INT(($A71-'SLOT_RULES'!$D$13-1)/'SLOT_RULES'!$E$13)+1)*'SLOT_RULES'!$E$13</f>
        <v/>
      </c>
      <c r="O71" s="156">
        <f>'SLOT_RULES'!$D$14+IF($A71&lt;='SLOT_RULES'!$D$14,0,INT(($A71-'SLOT_RULES'!$D$14-1)/'SLOT_RULES'!$E$14)+1)*'SLOT_RULES'!$E$14</f>
        <v/>
      </c>
      <c r="P71" s="156">
        <f>'SLOT_RULES'!$D$15+IF($A71&lt;='SLOT_RULES'!$D$15,0,INT(($A71-'SLOT_RULES'!$D$15-1)/'SLOT_RULES'!$E$15)+1)*'SLOT_RULES'!$E$15</f>
        <v/>
      </c>
      <c r="Q71" s="158">
        <f>MIN(E71:P71)-A71</f>
        <v/>
      </c>
      <c r="R71" s="158">
        <f>MAX(E71:P71)-A71</f>
        <v/>
      </c>
      <c r="S71" s="86">
        <f>IF(AND(COUNT(E71:P71)=10,MIN(E71:P71)&gt;=A71),"PASS","FAIL")</f>
        <v/>
      </c>
      <c r="T71" s="86">
        <f>IF((COUNTIF('LOCAL_REFERENCE'!$D71:$O71,E71)+COUNTIF('LOCAL_REFERENCE'!$D71:$O71,H71)+COUNTIF('LOCAL_REFERENCE'!$D71:$O71,I71)+COUNTIF('LOCAL_REFERENCE'!$D71:$O71,J71)+COUNTIF('LOCAL_REFERENCE'!$D71:$O71,K71)+COUNTIF('LOCAL_REFERENCE'!$D71:$O71,L71)+COUNTIF('LOCAL_REFERENCE'!$D71:$O71,M71)+COUNTIF('LOCAL_REFERENCE'!$D71:$O71,N71)+COUNTIF('LOCAL_REFERENCE'!$D71:$O71,O71)+COUNTIF('LOCAL_REFERENCE'!$D71:$O71,P71))=0,"PASS","FAIL")</f>
        <v/>
      </c>
      <c r="U71" s="86">
        <f>IF((COUNTIF('VPS_REFERENCE'!$D71:$H71,E71)+COUNTIF('VPS_REFERENCE'!$D71:$H71,H71)+COUNTIF('VPS_REFERENCE'!$D71:$H71,I71)+COUNTIF('VPS_REFERENCE'!$D71:$H71,J71)+COUNTIF('VPS_REFERENCE'!$D71:$H71,K71)+COUNTIF('VPS_REFERENCE'!$D71:$H71,L71)+COUNTIF('VPS_REFERENCE'!$D71:$H71,M71)+COUNTIF('VPS_REFERENCE'!$D71:$H71,N71)+COUNTIF('VPS_REFERENCE'!$D71:$H71,O71)+COUNTIF('VPS_REFERENCE'!$D71:$H71,P71))=0,"PASS","FAIL")</f>
        <v/>
      </c>
      <c r="V71" s="86">
        <f>IF(OR(E71=H71,E71=I71,E71=J71,E71=K71,E71=L71,E71=M71,E71=N71,E71=O71,E71=P71,H71=I71,H71=J71,H71=K71,H71=L71,H71=M71,H71=N71,H71=O71,H71=P71,I71=J71,I71=K71,I71=L71,I71=M71,I71=N71,I71=O71,I71=P71,J71=K71,J71=L71,J71=M71,J71=N71,J71=O71,J71=P71,K71=L71,K71=M71,K71=N71,K71=O71,K71=P71,L71=M71,L71=N71,L71=O71,L71=P71,M71=N71,M71=O71,M71=P71,N71=O71,N71=P71,O71=P71),"FAIL","PASS")</f>
        <v/>
      </c>
      <c r="W71" s="87">
        <f>'CRAWL_LOG'!B71</f>
        <v/>
      </c>
      <c r="X71" s="95" t="inlineStr">
        <is>
          <t>10-slot panel: 7 near + 3 far; AN2/AN3 inactive from 03/09</t>
        </is>
      </c>
    </row>
    <row r="72">
      <c r="A72" s="155" t="n">
        <v>46335</v>
      </c>
      <c r="B72" s="83" t="inlineStr">
        <is>
          <t>Thứ Hai</t>
        </is>
      </c>
      <c r="C72" s="83" t="inlineStr">
        <is>
          <t>Official</t>
        </is>
      </c>
      <c r="D72" s="83" t="inlineStr">
        <is>
          <t>00:30</t>
        </is>
      </c>
      <c r="E72" s="156">
        <f>'SLOT_RULES'!$D$4+IF($A72&lt;='SLOT_RULES'!$D$4,0,INT(($A72-'SLOT_RULES'!$D$4-1)/'SLOT_RULES'!$E$4)+1)*'SLOT_RULES'!$E$4</f>
        <v/>
      </c>
      <c r="F72" s="157" t="n"/>
      <c r="G72" s="157" t="n"/>
      <c r="H72" s="156">
        <f>'SLOT_RULES'!$D$7+IF($A72&lt;='SLOT_RULES'!$D$7,0,INT(($A72-'SLOT_RULES'!$D$7-1)/'SLOT_RULES'!$E$7)+1)*'SLOT_RULES'!$E$7</f>
        <v/>
      </c>
      <c r="I72" s="156">
        <f>'SLOT_RULES'!$D$8+IF($A72&lt;='SLOT_RULES'!$D$8,0,INT(($A72-'SLOT_RULES'!$D$8-1)/'SLOT_RULES'!$E$8)+1)*'SLOT_RULES'!$E$8</f>
        <v/>
      </c>
      <c r="J72" s="156">
        <f>'SLOT_RULES'!$D$9+IF($A72&lt;='SLOT_RULES'!$D$9,0,INT(($A72-'SLOT_RULES'!$D$9-1)/'SLOT_RULES'!$E$9)+1)*'SLOT_RULES'!$E$9</f>
        <v/>
      </c>
      <c r="K72" s="156">
        <f>'SLOT_RULES'!$D$10+IF($A72&lt;='SLOT_RULES'!$D$10,0,INT(($A72-'SLOT_RULES'!$D$10-1)/'SLOT_RULES'!$E$10)+1)*'SLOT_RULES'!$E$10</f>
        <v/>
      </c>
      <c r="L72" s="156">
        <f>'SLOT_RULES'!$D$11+IF($A72&lt;='SLOT_RULES'!$D$11,0,INT(($A72-'SLOT_RULES'!$D$11-1)/'SLOT_RULES'!$E$11)+1)*'SLOT_RULES'!$E$11</f>
        <v/>
      </c>
      <c r="M72" s="156">
        <f>'SLOT_RULES'!$D$12+IF($A72&lt;='SLOT_RULES'!$D$12,0,INT(($A72-'SLOT_RULES'!$D$12-1)/'SLOT_RULES'!$E$12)+1)*'SLOT_RULES'!$E$12</f>
        <v/>
      </c>
      <c r="N72" s="156">
        <f>'SLOT_RULES'!$D$13+IF($A72&lt;='SLOT_RULES'!$D$13,0,INT(($A72-'SLOT_RULES'!$D$13-1)/'SLOT_RULES'!$E$13)+1)*'SLOT_RULES'!$E$13</f>
        <v/>
      </c>
      <c r="O72" s="156">
        <f>'SLOT_RULES'!$D$14+IF($A72&lt;='SLOT_RULES'!$D$14,0,INT(($A72-'SLOT_RULES'!$D$14-1)/'SLOT_RULES'!$E$14)+1)*'SLOT_RULES'!$E$14</f>
        <v/>
      </c>
      <c r="P72" s="156">
        <f>'SLOT_RULES'!$D$15+IF($A72&lt;='SLOT_RULES'!$D$15,0,INT(($A72-'SLOT_RULES'!$D$15-1)/'SLOT_RULES'!$E$15)+1)*'SLOT_RULES'!$E$15</f>
        <v/>
      </c>
      <c r="Q72" s="158">
        <f>MIN(E72:P72)-A72</f>
        <v/>
      </c>
      <c r="R72" s="158">
        <f>MAX(E72:P72)-A72</f>
        <v/>
      </c>
      <c r="S72" s="86">
        <f>IF(AND(COUNT(E72:P72)=10,MIN(E72:P72)&gt;=A72),"PASS","FAIL")</f>
        <v/>
      </c>
      <c r="T72" s="86">
        <f>IF((COUNTIF('LOCAL_REFERENCE'!$D72:$O72,E72)+COUNTIF('LOCAL_REFERENCE'!$D72:$O72,H72)+COUNTIF('LOCAL_REFERENCE'!$D72:$O72,I72)+COUNTIF('LOCAL_REFERENCE'!$D72:$O72,J72)+COUNTIF('LOCAL_REFERENCE'!$D72:$O72,K72)+COUNTIF('LOCAL_REFERENCE'!$D72:$O72,L72)+COUNTIF('LOCAL_REFERENCE'!$D72:$O72,M72)+COUNTIF('LOCAL_REFERENCE'!$D72:$O72,N72)+COUNTIF('LOCAL_REFERENCE'!$D72:$O72,O72)+COUNTIF('LOCAL_REFERENCE'!$D72:$O72,P72))=0,"PASS","FAIL")</f>
        <v/>
      </c>
      <c r="U72" s="86">
        <f>IF((COUNTIF('VPS_REFERENCE'!$D72:$H72,E72)+COUNTIF('VPS_REFERENCE'!$D72:$H72,H72)+COUNTIF('VPS_REFERENCE'!$D72:$H72,I72)+COUNTIF('VPS_REFERENCE'!$D72:$H72,J72)+COUNTIF('VPS_REFERENCE'!$D72:$H72,K72)+COUNTIF('VPS_REFERENCE'!$D72:$H72,L72)+COUNTIF('VPS_REFERENCE'!$D72:$H72,M72)+COUNTIF('VPS_REFERENCE'!$D72:$H72,N72)+COUNTIF('VPS_REFERENCE'!$D72:$H72,O72)+COUNTIF('VPS_REFERENCE'!$D72:$H72,P72))=0,"PASS","FAIL")</f>
        <v/>
      </c>
      <c r="V72" s="86">
        <f>IF(OR(E72=H72,E72=I72,E72=J72,E72=K72,E72=L72,E72=M72,E72=N72,E72=O72,E72=P72,H72=I72,H72=J72,H72=K72,H72=L72,H72=M72,H72=N72,H72=O72,H72=P72,I72=J72,I72=K72,I72=L72,I72=M72,I72=N72,I72=O72,I72=P72,J72=K72,J72=L72,J72=M72,J72=N72,J72=O72,J72=P72,K72=L72,K72=M72,K72=N72,K72=O72,K72=P72,L72=M72,L72=N72,L72=O72,L72=P72,M72=N72,M72=O72,M72=P72,N72=O72,N72=P72,O72=P72),"FAIL","PASS")</f>
        <v/>
      </c>
      <c r="W72" s="87">
        <f>'CRAWL_LOG'!B72</f>
        <v/>
      </c>
      <c r="X72" s="95" t="inlineStr">
        <is>
          <t>10-slot panel: 7 near + 3 far; AN2/AN3 inactive from 03/09</t>
        </is>
      </c>
    </row>
    <row r="73">
      <c r="A73" s="155" t="n">
        <v>46336</v>
      </c>
      <c r="B73" s="83" t="inlineStr">
        <is>
          <t>Thứ Ba</t>
        </is>
      </c>
      <c r="C73" s="83" t="inlineStr">
        <is>
          <t>Official</t>
        </is>
      </c>
      <c r="D73" s="83" t="inlineStr">
        <is>
          <t>00:30</t>
        </is>
      </c>
      <c r="E73" s="156">
        <f>'SLOT_RULES'!$D$4+IF($A73&lt;='SLOT_RULES'!$D$4,0,INT(($A73-'SLOT_RULES'!$D$4-1)/'SLOT_RULES'!$E$4)+1)*'SLOT_RULES'!$E$4</f>
        <v/>
      </c>
      <c r="F73" s="157" t="n"/>
      <c r="G73" s="157" t="n"/>
      <c r="H73" s="156">
        <f>'SLOT_RULES'!$D$7+IF($A73&lt;='SLOT_RULES'!$D$7,0,INT(($A73-'SLOT_RULES'!$D$7-1)/'SLOT_RULES'!$E$7)+1)*'SLOT_RULES'!$E$7</f>
        <v/>
      </c>
      <c r="I73" s="156">
        <f>'SLOT_RULES'!$D$8+IF($A73&lt;='SLOT_RULES'!$D$8,0,INT(($A73-'SLOT_RULES'!$D$8-1)/'SLOT_RULES'!$E$8)+1)*'SLOT_RULES'!$E$8</f>
        <v/>
      </c>
      <c r="J73" s="156">
        <f>'SLOT_RULES'!$D$9+IF($A73&lt;='SLOT_RULES'!$D$9,0,INT(($A73-'SLOT_RULES'!$D$9-1)/'SLOT_RULES'!$E$9)+1)*'SLOT_RULES'!$E$9</f>
        <v/>
      </c>
      <c r="K73" s="156">
        <f>'SLOT_RULES'!$D$10+IF($A73&lt;='SLOT_RULES'!$D$10,0,INT(($A73-'SLOT_RULES'!$D$10-1)/'SLOT_RULES'!$E$10)+1)*'SLOT_RULES'!$E$10</f>
        <v/>
      </c>
      <c r="L73" s="156">
        <f>'SLOT_RULES'!$D$11+IF($A73&lt;='SLOT_RULES'!$D$11,0,INT(($A73-'SLOT_RULES'!$D$11-1)/'SLOT_RULES'!$E$11)+1)*'SLOT_RULES'!$E$11</f>
        <v/>
      </c>
      <c r="M73" s="156">
        <f>'SLOT_RULES'!$D$12+IF($A73&lt;='SLOT_RULES'!$D$12,0,INT(($A73-'SLOT_RULES'!$D$12-1)/'SLOT_RULES'!$E$12)+1)*'SLOT_RULES'!$E$12</f>
        <v/>
      </c>
      <c r="N73" s="156">
        <f>'SLOT_RULES'!$D$13+IF($A73&lt;='SLOT_RULES'!$D$13,0,INT(($A73-'SLOT_RULES'!$D$13-1)/'SLOT_RULES'!$E$13)+1)*'SLOT_RULES'!$E$13</f>
        <v/>
      </c>
      <c r="O73" s="156">
        <f>'SLOT_RULES'!$D$14+IF($A73&lt;='SLOT_RULES'!$D$14,0,INT(($A73-'SLOT_RULES'!$D$14-1)/'SLOT_RULES'!$E$14)+1)*'SLOT_RULES'!$E$14</f>
        <v/>
      </c>
      <c r="P73" s="156">
        <f>'SLOT_RULES'!$D$15+IF($A73&lt;='SLOT_RULES'!$D$15,0,INT(($A73-'SLOT_RULES'!$D$15-1)/'SLOT_RULES'!$E$15)+1)*'SLOT_RULES'!$E$15</f>
        <v/>
      </c>
      <c r="Q73" s="158">
        <f>MIN(E73:P73)-A73</f>
        <v/>
      </c>
      <c r="R73" s="158">
        <f>MAX(E73:P73)-A73</f>
        <v/>
      </c>
      <c r="S73" s="86">
        <f>IF(AND(COUNT(E73:P73)=10,MIN(E73:P73)&gt;=A73),"PASS","FAIL")</f>
        <v/>
      </c>
      <c r="T73" s="86">
        <f>IF((COUNTIF('LOCAL_REFERENCE'!$D73:$O73,E73)+COUNTIF('LOCAL_REFERENCE'!$D73:$O73,H73)+COUNTIF('LOCAL_REFERENCE'!$D73:$O73,I73)+COUNTIF('LOCAL_REFERENCE'!$D73:$O73,J73)+COUNTIF('LOCAL_REFERENCE'!$D73:$O73,K73)+COUNTIF('LOCAL_REFERENCE'!$D73:$O73,L73)+COUNTIF('LOCAL_REFERENCE'!$D73:$O73,M73)+COUNTIF('LOCAL_REFERENCE'!$D73:$O73,N73)+COUNTIF('LOCAL_REFERENCE'!$D73:$O73,O73)+COUNTIF('LOCAL_REFERENCE'!$D73:$O73,P73))=0,"PASS","FAIL")</f>
        <v/>
      </c>
      <c r="U73" s="86">
        <f>IF((COUNTIF('VPS_REFERENCE'!$D73:$H73,E73)+COUNTIF('VPS_REFERENCE'!$D73:$H73,H73)+COUNTIF('VPS_REFERENCE'!$D73:$H73,I73)+COUNTIF('VPS_REFERENCE'!$D73:$H73,J73)+COUNTIF('VPS_REFERENCE'!$D73:$H73,K73)+COUNTIF('VPS_REFERENCE'!$D73:$H73,L73)+COUNTIF('VPS_REFERENCE'!$D73:$H73,M73)+COUNTIF('VPS_REFERENCE'!$D73:$H73,N73)+COUNTIF('VPS_REFERENCE'!$D73:$H73,O73)+COUNTIF('VPS_REFERENCE'!$D73:$H73,P73))=0,"PASS","FAIL")</f>
        <v/>
      </c>
      <c r="V73" s="86">
        <f>IF(OR(E73=H73,E73=I73,E73=J73,E73=K73,E73=L73,E73=M73,E73=N73,E73=O73,E73=P73,H73=I73,H73=J73,H73=K73,H73=L73,H73=M73,H73=N73,H73=O73,H73=P73,I73=J73,I73=K73,I73=L73,I73=M73,I73=N73,I73=O73,I73=P73,J73=K73,J73=L73,J73=M73,J73=N73,J73=O73,J73=P73,K73=L73,K73=M73,K73=N73,K73=O73,K73=P73,L73=M73,L73=N73,L73=O73,L73=P73,M73=N73,M73=O73,M73=P73,N73=O73,N73=P73,O73=P73),"FAIL","PASS")</f>
        <v/>
      </c>
      <c r="W73" s="87">
        <f>'CRAWL_LOG'!B73</f>
        <v/>
      </c>
      <c r="X73" s="95" t="inlineStr">
        <is>
          <t>10-slot panel: 7 near + 3 far; AN2/AN3 inactive from 03/09</t>
        </is>
      </c>
    </row>
    <row r="74">
      <c r="A74" s="155" t="n">
        <v>46337</v>
      </c>
      <c r="B74" s="83" t="inlineStr">
        <is>
          <t>Thứ Tư</t>
        </is>
      </c>
      <c r="C74" s="83" t="inlineStr">
        <is>
          <t>Official</t>
        </is>
      </c>
      <c r="D74" s="83" t="inlineStr">
        <is>
          <t>00:30</t>
        </is>
      </c>
      <c r="E74" s="156">
        <f>'SLOT_RULES'!$D$4+IF($A74&lt;='SLOT_RULES'!$D$4,0,INT(($A74-'SLOT_RULES'!$D$4-1)/'SLOT_RULES'!$E$4)+1)*'SLOT_RULES'!$E$4</f>
        <v/>
      </c>
      <c r="F74" s="157" t="n"/>
      <c r="G74" s="157" t="n"/>
      <c r="H74" s="156">
        <f>'SLOT_RULES'!$D$7+IF($A74&lt;='SLOT_RULES'!$D$7,0,INT(($A74-'SLOT_RULES'!$D$7-1)/'SLOT_RULES'!$E$7)+1)*'SLOT_RULES'!$E$7</f>
        <v/>
      </c>
      <c r="I74" s="156">
        <f>'SLOT_RULES'!$D$8+IF($A74&lt;='SLOT_RULES'!$D$8,0,INT(($A74-'SLOT_RULES'!$D$8-1)/'SLOT_RULES'!$E$8)+1)*'SLOT_RULES'!$E$8</f>
        <v/>
      </c>
      <c r="J74" s="156">
        <f>'SLOT_RULES'!$D$9+IF($A74&lt;='SLOT_RULES'!$D$9,0,INT(($A74-'SLOT_RULES'!$D$9-1)/'SLOT_RULES'!$E$9)+1)*'SLOT_RULES'!$E$9</f>
        <v/>
      </c>
      <c r="K74" s="156">
        <f>'SLOT_RULES'!$D$10+IF($A74&lt;='SLOT_RULES'!$D$10,0,INT(($A74-'SLOT_RULES'!$D$10-1)/'SLOT_RULES'!$E$10)+1)*'SLOT_RULES'!$E$10</f>
        <v/>
      </c>
      <c r="L74" s="156">
        <f>'SLOT_RULES'!$D$11+IF($A74&lt;='SLOT_RULES'!$D$11,0,INT(($A74-'SLOT_RULES'!$D$11-1)/'SLOT_RULES'!$E$11)+1)*'SLOT_RULES'!$E$11</f>
        <v/>
      </c>
      <c r="M74" s="156">
        <f>'SLOT_RULES'!$D$12+IF($A74&lt;='SLOT_RULES'!$D$12,0,INT(($A74-'SLOT_RULES'!$D$12-1)/'SLOT_RULES'!$E$12)+1)*'SLOT_RULES'!$E$12</f>
        <v/>
      </c>
      <c r="N74" s="156">
        <f>'SLOT_RULES'!$D$13+IF($A74&lt;='SLOT_RULES'!$D$13,0,INT(($A74-'SLOT_RULES'!$D$13-1)/'SLOT_RULES'!$E$13)+1)*'SLOT_RULES'!$E$13</f>
        <v/>
      </c>
      <c r="O74" s="156">
        <f>'SLOT_RULES'!$D$14+IF($A74&lt;='SLOT_RULES'!$D$14,0,INT(($A74-'SLOT_RULES'!$D$14-1)/'SLOT_RULES'!$E$14)+1)*'SLOT_RULES'!$E$14</f>
        <v/>
      </c>
      <c r="P74" s="156">
        <f>'SLOT_RULES'!$D$15+IF($A74&lt;='SLOT_RULES'!$D$15,0,INT(($A74-'SLOT_RULES'!$D$15-1)/'SLOT_RULES'!$E$15)+1)*'SLOT_RULES'!$E$15</f>
        <v/>
      </c>
      <c r="Q74" s="158">
        <f>MIN(E74:P74)-A74</f>
        <v/>
      </c>
      <c r="R74" s="158">
        <f>MAX(E74:P74)-A74</f>
        <v/>
      </c>
      <c r="S74" s="86">
        <f>IF(AND(COUNT(E74:P74)=10,MIN(E74:P74)&gt;=A74),"PASS","FAIL")</f>
        <v/>
      </c>
      <c r="T74" s="86">
        <f>IF((COUNTIF('LOCAL_REFERENCE'!$D74:$O74,E74)+COUNTIF('LOCAL_REFERENCE'!$D74:$O74,H74)+COUNTIF('LOCAL_REFERENCE'!$D74:$O74,I74)+COUNTIF('LOCAL_REFERENCE'!$D74:$O74,J74)+COUNTIF('LOCAL_REFERENCE'!$D74:$O74,K74)+COUNTIF('LOCAL_REFERENCE'!$D74:$O74,L74)+COUNTIF('LOCAL_REFERENCE'!$D74:$O74,M74)+COUNTIF('LOCAL_REFERENCE'!$D74:$O74,N74)+COUNTIF('LOCAL_REFERENCE'!$D74:$O74,O74)+COUNTIF('LOCAL_REFERENCE'!$D74:$O74,P74))=0,"PASS","FAIL")</f>
        <v/>
      </c>
      <c r="U74" s="86">
        <f>IF((COUNTIF('VPS_REFERENCE'!$D74:$H74,E74)+COUNTIF('VPS_REFERENCE'!$D74:$H74,H74)+COUNTIF('VPS_REFERENCE'!$D74:$H74,I74)+COUNTIF('VPS_REFERENCE'!$D74:$H74,J74)+COUNTIF('VPS_REFERENCE'!$D74:$H74,K74)+COUNTIF('VPS_REFERENCE'!$D74:$H74,L74)+COUNTIF('VPS_REFERENCE'!$D74:$H74,M74)+COUNTIF('VPS_REFERENCE'!$D74:$H74,N74)+COUNTIF('VPS_REFERENCE'!$D74:$H74,O74)+COUNTIF('VPS_REFERENCE'!$D74:$H74,P74))=0,"PASS","FAIL")</f>
        <v/>
      </c>
      <c r="V74" s="86">
        <f>IF(OR(E74=H74,E74=I74,E74=J74,E74=K74,E74=L74,E74=M74,E74=N74,E74=O74,E74=P74,H74=I74,H74=J74,H74=K74,H74=L74,H74=M74,H74=N74,H74=O74,H74=P74,I74=J74,I74=K74,I74=L74,I74=M74,I74=N74,I74=O74,I74=P74,J74=K74,J74=L74,J74=M74,J74=N74,J74=O74,J74=P74,K74=L74,K74=M74,K74=N74,K74=O74,K74=P74,L74=M74,L74=N74,L74=O74,L74=P74,M74=N74,M74=O74,M74=P74,N74=O74,N74=P74,O74=P74),"FAIL","PASS")</f>
        <v/>
      </c>
      <c r="W74" s="87">
        <f>'CRAWL_LOG'!B74</f>
        <v/>
      </c>
      <c r="X74" s="95" t="inlineStr">
        <is>
          <t>10-slot panel: 7 near + 3 far; AN2/AN3 inactive from 03/09</t>
        </is>
      </c>
    </row>
    <row r="75">
      <c r="A75" s="155" t="n">
        <v>46338</v>
      </c>
      <c r="B75" s="83" t="inlineStr">
        <is>
          <t>Thứ Năm</t>
        </is>
      </c>
      <c r="C75" s="83" t="inlineStr">
        <is>
          <t>Official</t>
        </is>
      </c>
      <c r="D75" s="83" t="inlineStr">
        <is>
          <t>00:30</t>
        </is>
      </c>
      <c r="E75" s="156">
        <f>'SLOT_RULES'!$D$4+IF($A75&lt;='SLOT_RULES'!$D$4,0,INT(($A75-'SLOT_RULES'!$D$4-1)/'SLOT_RULES'!$E$4)+1)*'SLOT_RULES'!$E$4</f>
        <v/>
      </c>
      <c r="F75" s="157" t="n"/>
      <c r="G75" s="157" t="n"/>
      <c r="H75" s="156">
        <f>'SLOT_RULES'!$D$7+IF($A75&lt;='SLOT_RULES'!$D$7,0,INT(($A75-'SLOT_RULES'!$D$7-1)/'SLOT_RULES'!$E$7)+1)*'SLOT_RULES'!$E$7</f>
        <v/>
      </c>
      <c r="I75" s="156">
        <f>'SLOT_RULES'!$D$8+IF($A75&lt;='SLOT_RULES'!$D$8,0,INT(($A75-'SLOT_RULES'!$D$8-1)/'SLOT_RULES'!$E$8)+1)*'SLOT_RULES'!$E$8</f>
        <v/>
      </c>
      <c r="J75" s="156">
        <f>'SLOT_RULES'!$D$9+IF($A75&lt;='SLOT_RULES'!$D$9,0,INT(($A75-'SLOT_RULES'!$D$9-1)/'SLOT_RULES'!$E$9)+1)*'SLOT_RULES'!$E$9</f>
        <v/>
      </c>
      <c r="K75" s="156">
        <f>'SLOT_RULES'!$D$10+IF($A75&lt;='SLOT_RULES'!$D$10,0,INT(($A75-'SLOT_RULES'!$D$10-1)/'SLOT_RULES'!$E$10)+1)*'SLOT_RULES'!$E$10</f>
        <v/>
      </c>
      <c r="L75" s="156">
        <f>'SLOT_RULES'!$D$11+IF($A75&lt;='SLOT_RULES'!$D$11,0,INT(($A75-'SLOT_RULES'!$D$11-1)/'SLOT_RULES'!$E$11)+1)*'SLOT_RULES'!$E$11</f>
        <v/>
      </c>
      <c r="M75" s="156">
        <f>'SLOT_RULES'!$D$12+IF($A75&lt;='SLOT_RULES'!$D$12,0,INT(($A75-'SLOT_RULES'!$D$12-1)/'SLOT_RULES'!$E$12)+1)*'SLOT_RULES'!$E$12</f>
        <v/>
      </c>
      <c r="N75" s="156">
        <f>'SLOT_RULES'!$D$13+IF($A75&lt;='SLOT_RULES'!$D$13,0,INT(($A75-'SLOT_RULES'!$D$13-1)/'SLOT_RULES'!$E$13)+1)*'SLOT_RULES'!$E$13</f>
        <v/>
      </c>
      <c r="O75" s="156">
        <f>'SLOT_RULES'!$D$14+IF($A75&lt;='SLOT_RULES'!$D$14,0,INT(($A75-'SLOT_RULES'!$D$14-1)/'SLOT_RULES'!$E$14)+1)*'SLOT_RULES'!$E$14</f>
        <v/>
      </c>
      <c r="P75" s="156">
        <f>'SLOT_RULES'!$D$15+IF($A75&lt;='SLOT_RULES'!$D$15,0,INT(($A75-'SLOT_RULES'!$D$15-1)/'SLOT_RULES'!$E$15)+1)*'SLOT_RULES'!$E$15</f>
        <v/>
      </c>
      <c r="Q75" s="158">
        <f>MIN(E75:P75)-A75</f>
        <v/>
      </c>
      <c r="R75" s="158">
        <f>MAX(E75:P75)-A75</f>
        <v/>
      </c>
      <c r="S75" s="86">
        <f>IF(AND(COUNT(E75:P75)=10,MIN(E75:P75)&gt;=A75),"PASS","FAIL")</f>
        <v/>
      </c>
      <c r="T75" s="86">
        <f>IF((COUNTIF('LOCAL_REFERENCE'!$D75:$O75,E75)+COUNTIF('LOCAL_REFERENCE'!$D75:$O75,H75)+COUNTIF('LOCAL_REFERENCE'!$D75:$O75,I75)+COUNTIF('LOCAL_REFERENCE'!$D75:$O75,J75)+COUNTIF('LOCAL_REFERENCE'!$D75:$O75,K75)+COUNTIF('LOCAL_REFERENCE'!$D75:$O75,L75)+COUNTIF('LOCAL_REFERENCE'!$D75:$O75,M75)+COUNTIF('LOCAL_REFERENCE'!$D75:$O75,N75)+COUNTIF('LOCAL_REFERENCE'!$D75:$O75,O75)+COUNTIF('LOCAL_REFERENCE'!$D75:$O75,P75))=0,"PASS","FAIL")</f>
        <v/>
      </c>
      <c r="U75" s="86">
        <f>IF((COUNTIF('VPS_REFERENCE'!$D75:$H75,E75)+COUNTIF('VPS_REFERENCE'!$D75:$H75,H75)+COUNTIF('VPS_REFERENCE'!$D75:$H75,I75)+COUNTIF('VPS_REFERENCE'!$D75:$H75,J75)+COUNTIF('VPS_REFERENCE'!$D75:$H75,K75)+COUNTIF('VPS_REFERENCE'!$D75:$H75,L75)+COUNTIF('VPS_REFERENCE'!$D75:$H75,M75)+COUNTIF('VPS_REFERENCE'!$D75:$H75,N75)+COUNTIF('VPS_REFERENCE'!$D75:$H75,O75)+COUNTIF('VPS_REFERENCE'!$D75:$H75,P75))=0,"PASS","FAIL")</f>
        <v/>
      </c>
      <c r="V75" s="86">
        <f>IF(OR(E75=H75,E75=I75,E75=J75,E75=K75,E75=L75,E75=M75,E75=N75,E75=O75,E75=P75,H75=I75,H75=J75,H75=K75,H75=L75,H75=M75,H75=N75,H75=O75,H75=P75,I75=J75,I75=K75,I75=L75,I75=M75,I75=N75,I75=O75,I75=P75,J75=K75,J75=L75,J75=M75,J75=N75,J75=O75,J75=P75,K75=L75,K75=M75,K75=N75,K75=O75,K75=P75,L75=M75,L75=N75,L75=O75,L75=P75,M75=N75,M75=O75,M75=P75,N75=O75,N75=P75,O75=P75),"FAIL","PASS")</f>
        <v/>
      </c>
      <c r="W75" s="87">
        <f>'CRAWL_LOG'!B75</f>
        <v/>
      </c>
      <c r="X75" s="95" t="inlineStr">
        <is>
          <t>10-slot panel: 7 near + 3 far; AN2/AN3 inactive from 03/09</t>
        </is>
      </c>
    </row>
    <row r="76">
      <c r="A76" s="155" t="n">
        <v>46339</v>
      </c>
      <c r="B76" s="83" t="inlineStr">
        <is>
          <t>Thứ Sáu</t>
        </is>
      </c>
      <c r="C76" s="83" t="inlineStr">
        <is>
          <t>Official</t>
        </is>
      </c>
      <c r="D76" s="83" t="inlineStr">
        <is>
          <t>00:30</t>
        </is>
      </c>
      <c r="E76" s="156">
        <f>'SLOT_RULES'!$D$4+IF($A76&lt;='SLOT_RULES'!$D$4,0,INT(($A76-'SLOT_RULES'!$D$4-1)/'SLOT_RULES'!$E$4)+1)*'SLOT_RULES'!$E$4</f>
        <v/>
      </c>
      <c r="F76" s="157" t="n"/>
      <c r="G76" s="157" t="n"/>
      <c r="H76" s="156">
        <f>'SLOT_RULES'!$D$7+IF($A76&lt;='SLOT_RULES'!$D$7,0,INT(($A76-'SLOT_RULES'!$D$7-1)/'SLOT_RULES'!$E$7)+1)*'SLOT_RULES'!$E$7</f>
        <v/>
      </c>
      <c r="I76" s="156">
        <f>'SLOT_RULES'!$D$8+IF($A76&lt;='SLOT_RULES'!$D$8,0,INT(($A76-'SLOT_RULES'!$D$8-1)/'SLOT_RULES'!$E$8)+1)*'SLOT_RULES'!$E$8</f>
        <v/>
      </c>
      <c r="J76" s="156">
        <f>'SLOT_RULES'!$D$9+IF($A76&lt;='SLOT_RULES'!$D$9,0,INT(($A76-'SLOT_RULES'!$D$9-1)/'SLOT_RULES'!$E$9)+1)*'SLOT_RULES'!$E$9</f>
        <v/>
      </c>
      <c r="K76" s="156">
        <f>'SLOT_RULES'!$D$10+IF($A76&lt;='SLOT_RULES'!$D$10,0,INT(($A76-'SLOT_RULES'!$D$10-1)/'SLOT_RULES'!$E$10)+1)*'SLOT_RULES'!$E$10</f>
        <v/>
      </c>
      <c r="L76" s="156">
        <f>'SLOT_RULES'!$D$11+IF($A76&lt;='SLOT_RULES'!$D$11,0,INT(($A76-'SLOT_RULES'!$D$11-1)/'SLOT_RULES'!$E$11)+1)*'SLOT_RULES'!$E$11</f>
        <v/>
      </c>
      <c r="M76" s="156">
        <f>'SLOT_RULES'!$D$12+IF($A76&lt;='SLOT_RULES'!$D$12,0,INT(($A76-'SLOT_RULES'!$D$12-1)/'SLOT_RULES'!$E$12)+1)*'SLOT_RULES'!$E$12</f>
        <v/>
      </c>
      <c r="N76" s="156">
        <f>'SLOT_RULES'!$D$13+IF($A76&lt;='SLOT_RULES'!$D$13,0,INT(($A76-'SLOT_RULES'!$D$13-1)/'SLOT_RULES'!$E$13)+1)*'SLOT_RULES'!$E$13</f>
        <v/>
      </c>
      <c r="O76" s="156">
        <f>'SLOT_RULES'!$D$14+IF($A76&lt;='SLOT_RULES'!$D$14,0,INT(($A76-'SLOT_RULES'!$D$14-1)/'SLOT_RULES'!$E$14)+1)*'SLOT_RULES'!$E$14</f>
        <v/>
      </c>
      <c r="P76" s="156">
        <f>'SLOT_RULES'!$D$15+IF($A76&lt;='SLOT_RULES'!$D$15,0,INT(($A76-'SLOT_RULES'!$D$15-1)/'SLOT_RULES'!$E$15)+1)*'SLOT_RULES'!$E$15</f>
        <v/>
      </c>
      <c r="Q76" s="158">
        <f>MIN(E76:P76)-A76</f>
        <v/>
      </c>
      <c r="R76" s="158">
        <f>MAX(E76:P76)-A76</f>
        <v/>
      </c>
      <c r="S76" s="86">
        <f>IF(AND(COUNT(E76:P76)=10,MIN(E76:P76)&gt;=A76),"PASS","FAIL")</f>
        <v/>
      </c>
      <c r="T76" s="86">
        <f>IF((COUNTIF('LOCAL_REFERENCE'!$D76:$O76,E76)+COUNTIF('LOCAL_REFERENCE'!$D76:$O76,H76)+COUNTIF('LOCAL_REFERENCE'!$D76:$O76,I76)+COUNTIF('LOCAL_REFERENCE'!$D76:$O76,J76)+COUNTIF('LOCAL_REFERENCE'!$D76:$O76,K76)+COUNTIF('LOCAL_REFERENCE'!$D76:$O76,L76)+COUNTIF('LOCAL_REFERENCE'!$D76:$O76,M76)+COUNTIF('LOCAL_REFERENCE'!$D76:$O76,N76)+COUNTIF('LOCAL_REFERENCE'!$D76:$O76,O76)+COUNTIF('LOCAL_REFERENCE'!$D76:$O76,P76))=0,"PASS","FAIL")</f>
        <v/>
      </c>
      <c r="U76" s="86">
        <f>IF((COUNTIF('VPS_REFERENCE'!$D76:$H76,E76)+COUNTIF('VPS_REFERENCE'!$D76:$H76,H76)+COUNTIF('VPS_REFERENCE'!$D76:$H76,I76)+COUNTIF('VPS_REFERENCE'!$D76:$H76,J76)+COUNTIF('VPS_REFERENCE'!$D76:$H76,K76)+COUNTIF('VPS_REFERENCE'!$D76:$H76,L76)+COUNTIF('VPS_REFERENCE'!$D76:$H76,M76)+COUNTIF('VPS_REFERENCE'!$D76:$H76,N76)+COUNTIF('VPS_REFERENCE'!$D76:$H76,O76)+COUNTIF('VPS_REFERENCE'!$D76:$H76,P76))=0,"PASS","FAIL")</f>
        <v/>
      </c>
      <c r="V76" s="86">
        <f>IF(OR(E76=H76,E76=I76,E76=J76,E76=K76,E76=L76,E76=M76,E76=N76,E76=O76,E76=P76,H76=I76,H76=J76,H76=K76,H76=L76,H76=M76,H76=N76,H76=O76,H76=P76,I76=J76,I76=K76,I76=L76,I76=M76,I76=N76,I76=O76,I76=P76,J76=K76,J76=L76,J76=M76,J76=N76,J76=O76,J76=P76,K76=L76,K76=M76,K76=N76,K76=O76,K76=P76,L76=M76,L76=N76,L76=O76,L76=P76,M76=N76,M76=O76,M76=P76,N76=O76,N76=P76,O76=P76),"FAIL","PASS")</f>
        <v/>
      </c>
      <c r="W76" s="87">
        <f>'CRAWL_LOG'!B76</f>
        <v/>
      </c>
      <c r="X76" s="95" t="inlineStr">
        <is>
          <t>10-slot panel: 7 near + 3 far; AN2/AN3 inactive from 03/09</t>
        </is>
      </c>
    </row>
    <row r="77">
      <c r="A77" s="155" t="n">
        <v>46340</v>
      </c>
      <c r="B77" s="83" t="inlineStr">
        <is>
          <t>Thứ Bảy</t>
        </is>
      </c>
      <c r="C77" s="83" t="inlineStr">
        <is>
          <t>Official</t>
        </is>
      </c>
      <c r="D77" s="83" t="inlineStr">
        <is>
          <t>00:30</t>
        </is>
      </c>
      <c r="E77" s="156">
        <f>'SLOT_RULES'!$D$4+IF($A77&lt;='SLOT_RULES'!$D$4,0,INT(($A77-'SLOT_RULES'!$D$4-1)/'SLOT_RULES'!$E$4)+1)*'SLOT_RULES'!$E$4</f>
        <v/>
      </c>
      <c r="F77" s="157" t="n"/>
      <c r="G77" s="157" t="n"/>
      <c r="H77" s="156">
        <f>'SLOT_RULES'!$D$7+IF($A77&lt;='SLOT_RULES'!$D$7,0,INT(($A77-'SLOT_RULES'!$D$7-1)/'SLOT_RULES'!$E$7)+1)*'SLOT_RULES'!$E$7</f>
        <v/>
      </c>
      <c r="I77" s="156">
        <f>'SLOT_RULES'!$D$8+IF($A77&lt;='SLOT_RULES'!$D$8,0,INT(($A77-'SLOT_RULES'!$D$8-1)/'SLOT_RULES'!$E$8)+1)*'SLOT_RULES'!$E$8</f>
        <v/>
      </c>
      <c r="J77" s="156">
        <f>'SLOT_RULES'!$D$9+IF($A77&lt;='SLOT_RULES'!$D$9,0,INT(($A77-'SLOT_RULES'!$D$9-1)/'SLOT_RULES'!$E$9)+1)*'SLOT_RULES'!$E$9</f>
        <v/>
      </c>
      <c r="K77" s="156">
        <f>'SLOT_RULES'!$D$10+IF($A77&lt;='SLOT_RULES'!$D$10,0,INT(($A77-'SLOT_RULES'!$D$10-1)/'SLOT_RULES'!$E$10)+1)*'SLOT_RULES'!$E$10</f>
        <v/>
      </c>
      <c r="L77" s="156">
        <f>'SLOT_RULES'!$D$11+IF($A77&lt;='SLOT_RULES'!$D$11,0,INT(($A77-'SLOT_RULES'!$D$11-1)/'SLOT_RULES'!$E$11)+1)*'SLOT_RULES'!$E$11</f>
        <v/>
      </c>
      <c r="M77" s="156">
        <f>'SLOT_RULES'!$D$12+IF($A77&lt;='SLOT_RULES'!$D$12,0,INT(($A77-'SLOT_RULES'!$D$12-1)/'SLOT_RULES'!$E$12)+1)*'SLOT_RULES'!$E$12</f>
        <v/>
      </c>
      <c r="N77" s="156">
        <f>'SLOT_RULES'!$D$13+IF($A77&lt;='SLOT_RULES'!$D$13,0,INT(($A77-'SLOT_RULES'!$D$13-1)/'SLOT_RULES'!$E$13)+1)*'SLOT_RULES'!$E$13</f>
        <v/>
      </c>
      <c r="O77" s="156">
        <f>'SLOT_RULES'!$D$14+IF($A77&lt;='SLOT_RULES'!$D$14,0,INT(($A77-'SLOT_RULES'!$D$14-1)/'SLOT_RULES'!$E$14)+1)*'SLOT_RULES'!$E$14</f>
        <v/>
      </c>
      <c r="P77" s="156">
        <f>'SLOT_RULES'!$D$15+IF($A77&lt;='SLOT_RULES'!$D$15,0,INT(($A77-'SLOT_RULES'!$D$15-1)/'SLOT_RULES'!$E$15)+1)*'SLOT_RULES'!$E$15</f>
        <v/>
      </c>
      <c r="Q77" s="158">
        <f>MIN(E77:P77)-A77</f>
        <v/>
      </c>
      <c r="R77" s="158">
        <f>MAX(E77:P77)-A77</f>
        <v/>
      </c>
      <c r="S77" s="86">
        <f>IF(AND(COUNT(E77:P77)=10,MIN(E77:P77)&gt;=A77),"PASS","FAIL")</f>
        <v/>
      </c>
      <c r="T77" s="86">
        <f>IF((COUNTIF('LOCAL_REFERENCE'!$D77:$O77,E77)+COUNTIF('LOCAL_REFERENCE'!$D77:$O77,H77)+COUNTIF('LOCAL_REFERENCE'!$D77:$O77,I77)+COUNTIF('LOCAL_REFERENCE'!$D77:$O77,J77)+COUNTIF('LOCAL_REFERENCE'!$D77:$O77,K77)+COUNTIF('LOCAL_REFERENCE'!$D77:$O77,L77)+COUNTIF('LOCAL_REFERENCE'!$D77:$O77,M77)+COUNTIF('LOCAL_REFERENCE'!$D77:$O77,N77)+COUNTIF('LOCAL_REFERENCE'!$D77:$O77,O77)+COUNTIF('LOCAL_REFERENCE'!$D77:$O77,P77))=0,"PASS","FAIL")</f>
        <v/>
      </c>
      <c r="U77" s="86">
        <f>IF((COUNTIF('VPS_REFERENCE'!$D77:$H77,E77)+COUNTIF('VPS_REFERENCE'!$D77:$H77,H77)+COUNTIF('VPS_REFERENCE'!$D77:$H77,I77)+COUNTIF('VPS_REFERENCE'!$D77:$H77,J77)+COUNTIF('VPS_REFERENCE'!$D77:$H77,K77)+COUNTIF('VPS_REFERENCE'!$D77:$H77,L77)+COUNTIF('VPS_REFERENCE'!$D77:$H77,M77)+COUNTIF('VPS_REFERENCE'!$D77:$H77,N77)+COUNTIF('VPS_REFERENCE'!$D77:$H77,O77)+COUNTIF('VPS_REFERENCE'!$D77:$H77,P77))=0,"PASS","FAIL")</f>
        <v/>
      </c>
      <c r="V77" s="86">
        <f>IF(OR(E77=H77,E77=I77,E77=J77,E77=K77,E77=L77,E77=M77,E77=N77,E77=O77,E77=P77,H77=I77,H77=J77,H77=K77,H77=L77,H77=M77,H77=N77,H77=O77,H77=P77,I77=J77,I77=K77,I77=L77,I77=M77,I77=N77,I77=O77,I77=P77,J77=K77,J77=L77,J77=M77,J77=N77,J77=O77,J77=P77,K77=L77,K77=M77,K77=N77,K77=O77,K77=P77,L77=M77,L77=N77,L77=O77,L77=P77,M77=N77,M77=O77,M77=P77,N77=O77,N77=P77,O77=P77),"FAIL","PASS")</f>
        <v/>
      </c>
      <c r="W77" s="87">
        <f>'CRAWL_LOG'!B77</f>
        <v/>
      </c>
      <c r="X77" s="95" t="inlineStr">
        <is>
          <t>10-slot panel: 7 near + 3 far; AN2/AN3 inactive from 03/09</t>
        </is>
      </c>
    </row>
    <row r="78">
      <c r="A78" s="155" t="n">
        <v>46341</v>
      </c>
      <c r="B78" s="83" t="inlineStr">
        <is>
          <t>Chủ Nhật</t>
        </is>
      </c>
      <c r="C78" s="83" t="inlineStr">
        <is>
          <t>Official</t>
        </is>
      </c>
      <c r="D78" s="83" t="inlineStr">
        <is>
          <t>00:30</t>
        </is>
      </c>
      <c r="E78" s="156">
        <f>'SLOT_RULES'!$D$4+IF($A78&lt;='SLOT_RULES'!$D$4,0,INT(($A78-'SLOT_RULES'!$D$4-1)/'SLOT_RULES'!$E$4)+1)*'SLOT_RULES'!$E$4</f>
        <v/>
      </c>
      <c r="F78" s="157" t="n"/>
      <c r="G78" s="157" t="n"/>
      <c r="H78" s="156">
        <f>'SLOT_RULES'!$D$7+IF($A78&lt;='SLOT_RULES'!$D$7,0,INT(($A78-'SLOT_RULES'!$D$7-1)/'SLOT_RULES'!$E$7)+1)*'SLOT_RULES'!$E$7</f>
        <v/>
      </c>
      <c r="I78" s="156">
        <f>'SLOT_RULES'!$D$8+IF($A78&lt;='SLOT_RULES'!$D$8,0,INT(($A78-'SLOT_RULES'!$D$8-1)/'SLOT_RULES'!$E$8)+1)*'SLOT_RULES'!$E$8</f>
        <v/>
      </c>
      <c r="J78" s="156">
        <f>'SLOT_RULES'!$D$9+IF($A78&lt;='SLOT_RULES'!$D$9,0,INT(($A78-'SLOT_RULES'!$D$9-1)/'SLOT_RULES'!$E$9)+1)*'SLOT_RULES'!$E$9</f>
        <v/>
      </c>
      <c r="K78" s="156">
        <f>'SLOT_RULES'!$D$10+IF($A78&lt;='SLOT_RULES'!$D$10,0,INT(($A78-'SLOT_RULES'!$D$10-1)/'SLOT_RULES'!$E$10)+1)*'SLOT_RULES'!$E$10</f>
        <v/>
      </c>
      <c r="L78" s="156">
        <f>'SLOT_RULES'!$D$11+IF($A78&lt;='SLOT_RULES'!$D$11,0,INT(($A78-'SLOT_RULES'!$D$11-1)/'SLOT_RULES'!$E$11)+1)*'SLOT_RULES'!$E$11</f>
        <v/>
      </c>
      <c r="M78" s="156">
        <f>'SLOT_RULES'!$D$12+IF($A78&lt;='SLOT_RULES'!$D$12,0,INT(($A78-'SLOT_RULES'!$D$12-1)/'SLOT_RULES'!$E$12)+1)*'SLOT_RULES'!$E$12</f>
        <v/>
      </c>
      <c r="N78" s="156">
        <f>'SLOT_RULES'!$D$13+IF($A78&lt;='SLOT_RULES'!$D$13,0,INT(($A78-'SLOT_RULES'!$D$13-1)/'SLOT_RULES'!$E$13)+1)*'SLOT_RULES'!$E$13</f>
        <v/>
      </c>
      <c r="O78" s="156">
        <f>'SLOT_RULES'!$D$14+IF($A78&lt;='SLOT_RULES'!$D$14,0,INT(($A78-'SLOT_RULES'!$D$14-1)/'SLOT_RULES'!$E$14)+1)*'SLOT_RULES'!$E$14</f>
        <v/>
      </c>
      <c r="P78" s="156">
        <f>'SLOT_RULES'!$D$15+IF($A78&lt;='SLOT_RULES'!$D$15,0,INT(($A78-'SLOT_RULES'!$D$15-1)/'SLOT_RULES'!$E$15)+1)*'SLOT_RULES'!$E$15</f>
        <v/>
      </c>
      <c r="Q78" s="158">
        <f>MIN(E78:P78)-A78</f>
        <v/>
      </c>
      <c r="R78" s="158">
        <f>MAX(E78:P78)-A78</f>
        <v/>
      </c>
      <c r="S78" s="86">
        <f>IF(AND(COUNT(E78:P78)=10,MIN(E78:P78)&gt;=A78),"PASS","FAIL")</f>
        <v/>
      </c>
      <c r="T78" s="86">
        <f>IF((COUNTIF('LOCAL_REFERENCE'!$D78:$O78,E78)+COUNTIF('LOCAL_REFERENCE'!$D78:$O78,H78)+COUNTIF('LOCAL_REFERENCE'!$D78:$O78,I78)+COUNTIF('LOCAL_REFERENCE'!$D78:$O78,J78)+COUNTIF('LOCAL_REFERENCE'!$D78:$O78,K78)+COUNTIF('LOCAL_REFERENCE'!$D78:$O78,L78)+COUNTIF('LOCAL_REFERENCE'!$D78:$O78,M78)+COUNTIF('LOCAL_REFERENCE'!$D78:$O78,N78)+COUNTIF('LOCAL_REFERENCE'!$D78:$O78,O78)+COUNTIF('LOCAL_REFERENCE'!$D78:$O78,P78))=0,"PASS","FAIL")</f>
        <v/>
      </c>
      <c r="U78" s="86">
        <f>IF((COUNTIF('VPS_REFERENCE'!$D78:$H78,E78)+COUNTIF('VPS_REFERENCE'!$D78:$H78,H78)+COUNTIF('VPS_REFERENCE'!$D78:$H78,I78)+COUNTIF('VPS_REFERENCE'!$D78:$H78,J78)+COUNTIF('VPS_REFERENCE'!$D78:$H78,K78)+COUNTIF('VPS_REFERENCE'!$D78:$H78,L78)+COUNTIF('VPS_REFERENCE'!$D78:$H78,M78)+COUNTIF('VPS_REFERENCE'!$D78:$H78,N78)+COUNTIF('VPS_REFERENCE'!$D78:$H78,O78)+COUNTIF('VPS_REFERENCE'!$D78:$H78,P78))=0,"PASS","FAIL")</f>
        <v/>
      </c>
      <c r="V78" s="86">
        <f>IF(OR(E78=H78,E78=I78,E78=J78,E78=K78,E78=L78,E78=M78,E78=N78,E78=O78,E78=P78,H78=I78,H78=J78,H78=K78,H78=L78,H78=M78,H78=N78,H78=O78,H78=P78,I78=J78,I78=K78,I78=L78,I78=M78,I78=N78,I78=O78,I78=P78,J78=K78,J78=L78,J78=M78,J78=N78,J78=O78,J78=P78,K78=L78,K78=M78,K78=N78,K78=O78,K78=P78,L78=M78,L78=N78,L78=O78,L78=P78,M78=N78,M78=O78,M78=P78,N78=O78,N78=P78,O78=P78),"FAIL","PASS")</f>
        <v/>
      </c>
      <c r="W78" s="87">
        <f>'CRAWL_LOG'!B78</f>
        <v/>
      </c>
      <c r="X78" s="95" t="inlineStr">
        <is>
          <t>10-slot panel: 7 near + 3 far; AN2/AN3 inactive from 03/09</t>
        </is>
      </c>
    </row>
    <row r="79">
      <c r="A79" s="155" t="n">
        <v>46342</v>
      </c>
      <c r="B79" s="83" t="inlineStr">
        <is>
          <t>Thứ Hai</t>
        </is>
      </c>
      <c r="C79" s="83" t="inlineStr">
        <is>
          <t>Official</t>
        </is>
      </c>
      <c r="D79" s="83" t="inlineStr">
        <is>
          <t>00:30</t>
        </is>
      </c>
      <c r="E79" s="156">
        <f>'SLOT_RULES'!$D$4+IF($A79&lt;='SLOT_RULES'!$D$4,0,INT(($A79-'SLOT_RULES'!$D$4-1)/'SLOT_RULES'!$E$4)+1)*'SLOT_RULES'!$E$4</f>
        <v/>
      </c>
      <c r="F79" s="157" t="n"/>
      <c r="G79" s="157" t="n"/>
      <c r="H79" s="156">
        <f>'SLOT_RULES'!$D$7+IF($A79&lt;='SLOT_RULES'!$D$7,0,INT(($A79-'SLOT_RULES'!$D$7-1)/'SLOT_RULES'!$E$7)+1)*'SLOT_RULES'!$E$7</f>
        <v/>
      </c>
      <c r="I79" s="156">
        <f>'SLOT_RULES'!$D$8+IF($A79&lt;='SLOT_RULES'!$D$8,0,INT(($A79-'SLOT_RULES'!$D$8-1)/'SLOT_RULES'!$E$8)+1)*'SLOT_RULES'!$E$8</f>
        <v/>
      </c>
      <c r="J79" s="156">
        <f>'SLOT_RULES'!$D$9+IF($A79&lt;='SLOT_RULES'!$D$9,0,INT(($A79-'SLOT_RULES'!$D$9-1)/'SLOT_RULES'!$E$9)+1)*'SLOT_RULES'!$E$9</f>
        <v/>
      </c>
      <c r="K79" s="156">
        <f>'SLOT_RULES'!$D$10+IF($A79&lt;='SLOT_RULES'!$D$10,0,INT(($A79-'SLOT_RULES'!$D$10-1)/'SLOT_RULES'!$E$10)+1)*'SLOT_RULES'!$E$10</f>
        <v/>
      </c>
      <c r="L79" s="156">
        <f>'SLOT_RULES'!$D$11+IF($A79&lt;='SLOT_RULES'!$D$11,0,INT(($A79-'SLOT_RULES'!$D$11-1)/'SLOT_RULES'!$E$11)+1)*'SLOT_RULES'!$E$11</f>
        <v/>
      </c>
      <c r="M79" s="156">
        <f>'SLOT_RULES'!$D$12+IF($A79&lt;='SLOT_RULES'!$D$12,0,INT(($A79-'SLOT_RULES'!$D$12-1)/'SLOT_RULES'!$E$12)+1)*'SLOT_RULES'!$E$12</f>
        <v/>
      </c>
      <c r="N79" s="156">
        <f>'SLOT_RULES'!$D$13+IF($A79&lt;='SLOT_RULES'!$D$13,0,INT(($A79-'SLOT_RULES'!$D$13-1)/'SLOT_RULES'!$E$13)+1)*'SLOT_RULES'!$E$13</f>
        <v/>
      </c>
      <c r="O79" s="156">
        <f>'SLOT_RULES'!$D$14+IF($A79&lt;='SLOT_RULES'!$D$14,0,INT(($A79-'SLOT_RULES'!$D$14-1)/'SLOT_RULES'!$E$14)+1)*'SLOT_RULES'!$E$14</f>
        <v/>
      </c>
      <c r="P79" s="156">
        <f>'SLOT_RULES'!$D$15+IF($A79&lt;='SLOT_RULES'!$D$15,0,INT(($A79-'SLOT_RULES'!$D$15-1)/'SLOT_RULES'!$E$15)+1)*'SLOT_RULES'!$E$15</f>
        <v/>
      </c>
      <c r="Q79" s="158">
        <f>MIN(E79:P79)-A79</f>
        <v/>
      </c>
      <c r="R79" s="158">
        <f>MAX(E79:P79)-A79</f>
        <v/>
      </c>
      <c r="S79" s="86">
        <f>IF(AND(COUNT(E79:P79)=10,MIN(E79:P79)&gt;=A79),"PASS","FAIL")</f>
        <v/>
      </c>
      <c r="T79" s="86">
        <f>IF((COUNTIF('LOCAL_REFERENCE'!$D79:$O79,E79)+COUNTIF('LOCAL_REFERENCE'!$D79:$O79,H79)+COUNTIF('LOCAL_REFERENCE'!$D79:$O79,I79)+COUNTIF('LOCAL_REFERENCE'!$D79:$O79,J79)+COUNTIF('LOCAL_REFERENCE'!$D79:$O79,K79)+COUNTIF('LOCAL_REFERENCE'!$D79:$O79,L79)+COUNTIF('LOCAL_REFERENCE'!$D79:$O79,M79)+COUNTIF('LOCAL_REFERENCE'!$D79:$O79,N79)+COUNTIF('LOCAL_REFERENCE'!$D79:$O79,O79)+COUNTIF('LOCAL_REFERENCE'!$D79:$O79,P79))=0,"PASS","FAIL")</f>
        <v/>
      </c>
      <c r="U79" s="86">
        <f>IF((COUNTIF('VPS_REFERENCE'!$D79:$H79,E79)+COUNTIF('VPS_REFERENCE'!$D79:$H79,H79)+COUNTIF('VPS_REFERENCE'!$D79:$H79,I79)+COUNTIF('VPS_REFERENCE'!$D79:$H79,J79)+COUNTIF('VPS_REFERENCE'!$D79:$H79,K79)+COUNTIF('VPS_REFERENCE'!$D79:$H79,L79)+COUNTIF('VPS_REFERENCE'!$D79:$H79,M79)+COUNTIF('VPS_REFERENCE'!$D79:$H79,N79)+COUNTIF('VPS_REFERENCE'!$D79:$H79,O79)+COUNTIF('VPS_REFERENCE'!$D79:$H79,P79))=0,"PASS","FAIL")</f>
        <v/>
      </c>
      <c r="V79" s="86">
        <f>IF(OR(E79=H79,E79=I79,E79=J79,E79=K79,E79=L79,E79=M79,E79=N79,E79=O79,E79=P79,H79=I79,H79=J79,H79=K79,H79=L79,H79=M79,H79=N79,H79=O79,H79=P79,I79=J79,I79=K79,I79=L79,I79=M79,I79=N79,I79=O79,I79=P79,J79=K79,J79=L79,J79=M79,J79=N79,J79=O79,J79=P79,K79=L79,K79=M79,K79=N79,K79=O79,K79=P79,L79=M79,L79=N79,L79=O79,L79=P79,M79=N79,M79=O79,M79=P79,N79=O79,N79=P79,O79=P79),"FAIL","PASS")</f>
        <v/>
      </c>
      <c r="W79" s="87">
        <f>'CRAWL_LOG'!B79</f>
        <v/>
      </c>
      <c r="X79" s="95" t="inlineStr">
        <is>
          <t>10-slot panel: 7 near + 3 far; AN2/AN3 inactive from 03/09</t>
        </is>
      </c>
    </row>
    <row r="80">
      <c r="A80" s="155" t="n">
        <v>46343</v>
      </c>
      <c r="B80" s="83" t="inlineStr">
        <is>
          <t>Thứ Ba</t>
        </is>
      </c>
      <c r="C80" s="83" t="inlineStr">
        <is>
          <t>Official</t>
        </is>
      </c>
      <c r="D80" s="83" t="inlineStr">
        <is>
          <t>00:30</t>
        </is>
      </c>
      <c r="E80" s="156">
        <f>'SLOT_RULES'!$D$4+IF($A80&lt;='SLOT_RULES'!$D$4,0,INT(($A80-'SLOT_RULES'!$D$4-1)/'SLOT_RULES'!$E$4)+1)*'SLOT_RULES'!$E$4</f>
        <v/>
      </c>
      <c r="F80" s="157" t="n"/>
      <c r="G80" s="157" t="n"/>
      <c r="H80" s="156">
        <f>'SLOT_RULES'!$D$7+IF($A80&lt;='SLOT_RULES'!$D$7,0,INT(($A80-'SLOT_RULES'!$D$7-1)/'SLOT_RULES'!$E$7)+1)*'SLOT_RULES'!$E$7</f>
        <v/>
      </c>
      <c r="I80" s="156">
        <f>'SLOT_RULES'!$D$8+IF($A80&lt;='SLOT_RULES'!$D$8,0,INT(($A80-'SLOT_RULES'!$D$8-1)/'SLOT_RULES'!$E$8)+1)*'SLOT_RULES'!$E$8</f>
        <v/>
      </c>
      <c r="J80" s="156">
        <f>'SLOT_RULES'!$D$9+IF($A80&lt;='SLOT_RULES'!$D$9,0,INT(($A80-'SLOT_RULES'!$D$9-1)/'SLOT_RULES'!$E$9)+1)*'SLOT_RULES'!$E$9</f>
        <v/>
      </c>
      <c r="K80" s="156">
        <f>'SLOT_RULES'!$D$10+IF($A80&lt;='SLOT_RULES'!$D$10,0,INT(($A80-'SLOT_RULES'!$D$10-1)/'SLOT_RULES'!$E$10)+1)*'SLOT_RULES'!$E$10</f>
        <v/>
      </c>
      <c r="L80" s="156">
        <f>'SLOT_RULES'!$D$11+IF($A80&lt;='SLOT_RULES'!$D$11,0,INT(($A80-'SLOT_RULES'!$D$11-1)/'SLOT_RULES'!$E$11)+1)*'SLOT_RULES'!$E$11</f>
        <v/>
      </c>
      <c r="M80" s="156">
        <f>'SLOT_RULES'!$D$12+IF($A80&lt;='SLOT_RULES'!$D$12,0,INT(($A80-'SLOT_RULES'!$D$12-1)/'SLOT_RULES'!$E$12)+1)*'SLOT_RULES'!$E$12</f>
        <v/>
      </c>
      <c r="N80" s="156">
        <f>'SLOT_RULES'!$D$13+IF($A80&lt;='SLOT_RULES'!$D$13,0,INT(($A80-'SLOT_RULES'!$D$13-1)/'SLOT_RULES'!$E$13)+1)*'SLOT_RULES'!$E$13</f>
        <v/>
      </c>
      <c r="O80" s="156">
        <f>'SLOT_RULES'!$D$14+IF($A80&lt;='SLOT_RULES'!$D$14,0,INT(($A80-'SLOT_RULES'!$D$14-1)/'SLOT_RULES'!$E$14)+1)*'SLOT_RULES'!$E$14</f>
        <v/>
      </c>
      <c r="P80" s="156">
        <f>'SLOT_RULES'!$D$15+IF($A80&lt;='SLOT_RULES'!$D$15,0,INT(($A80-'SLOT_RULES'!$D$15-1)/'SLOT_RULES'!$E$15)+1)*'SLOT_RULES'!$E$15</f>
        <v/>
      </c>
      <c r="Q80" s="158">
        <f>MIN(E80:P80)-A80</f>
        <v/>
      </c>
      <c r="R80" s="158">
        <f>MAX(E80:P80)-A80</f>
        <v/>
      </c>
      <c r="S80" s="86">
        <f>IF(AND(COUNT(E80:P80)=10,MIN(E80:P80)&gt;=A80),"PASS","FAIL")</f>
        <v/>
      </c>
      <c r="T80" s="86">
        <f>IF((COUNTIF('LOCAL_REFERENCE'!$D80:$O80,E80)+COUNTIF('LOCAL_REFERENCE'!$D80:$O80,H80)+COUNTIF('LOCAL_REFERENCE'!$D80:$O80,I80)+COUNTIF('LOCAL_REFERENCE'!$D80:$O80,J80)+COUNTIF('LOCAL_REFERENCE'!$D80:$O80,K80)+COUNTIF('LOCAL_REFERENCE'!$D80:$O80,L80)+COUNTIF('LOCAL_REFERENCE'!$D80:$O80,M80)+COUNTIF('LOCAL_REFERENCE'!$D80:$O80,N80)+COUNTIF('LOCAL_REFERENCE'!$D80:$O80,O80)+COUNTIF('LOCAL_REFERENCE'!$D80:$O80,P80))=0,"PASS","FAIL")</f>
        <v/>
      </c>
      <c r="U80" s="86">
        <f>IF((COUNTIF('VPS_REFERENCE'!$D80:$H80,E80)+COUNTIF('VPS_REFERENCE'!$D80:$H80,H80)+COUNTIF('VPS_REFERENCE'!$D80:$H80,I80)+COUNTIF('VPS_REFERENCE'!$D80:$H80,J80)+COUNTIF('VPS_REFERENCE'!$D80:$H80,K80)+COUNTIF('VPS_REFERENCE'!$D80:$H80,L80)+COUNTIF('VPS_REFERENCE'!$D80:$H80,M80)+COUNTIF('VPS_REFERENCE'!$D80:$H80,N80)+COUNTIF('VPS_REFERENCE'!$D80:$H80,O80)+COUNTIF('VPS_REFERENCE'!$D80:$H80,P80))=0,"PASS","FAIL")</f>
        <v/>
      </c>
      <c r="V80" s="86">
        <f>IF(OR(E80=H80,E80=I80,E80=J80,E80=K80,E80=L80,E80=M80,E80=N80,E80=O80,E80=P80,H80=I80,H80=J80,H80=K80,H80=L80,H80=M80,H80=N80,H80=O80,H80=P80,I80=J80,I80=K80,I80=L80,I80=M80,I80=N80,I80=O80,I80=P80,J80=K80,J80=L80,J80=M80,J80=N80,J80=O80,J80=P80,K80=L80,K80=M80,K80=N80,K80=O80,K80=P80,L80=M80,L80=N80,L80=O80,L80=P80,M80=N80,M80=O80,M80=P80,N80=O80,N80=P80,O80=P80),"FAIL","PASS")</f>
        <v/>
      </c>
      <c r="W80" s="87">
        <f>'CRAWL_LOG'!B80</f>
        <v/>
      </c>
      <c r="X80" s="95" t="inlineStr">
        <is>
          <t>10-slot panel: 7 near + 3 far; AN2/AN3 inactive from 03/09</t>
        </is>
      </c>
    </row>
    <row r="81">
      <c r="A81" s="155" t="n">
        <v>46344</v>
      </c>
      <c r="B81" s="83" t="inlineStr">
        <is>
          <t>Thứ Tư</t>
        </is>
      </c>
      <c r="C81" s="83" t="inlineStr">
        <is>
          <t>Official</t>
        </is>
      </c>
      <c r="D81" s="83" t="inlineStr">
        <is>
          <t>00:30</t>
        </is>
      </c>
      <c r="E81" s="156">
        <f>'SLOT_RULES'!$D$4+IF($A81&lt;='SLOT_RULES'!$D$4,0,INT(($A81-'SLOT_RULES'!$D$4-1)/'SLOT_RULES'!$E$4)+1)*'SLOT_RULES'!$E$4</f>
        <v/>
      </c>
      <c r="F81" s="157" t="n"/>
      <c r="G81" s="157" t="n"/>
      <c r="H81" s="156">
        <f>'SLOT_RULES'!$D$7+IF($A81&lt;='SLOT_RULES'!$D$7,0,INT(($A81-'SLOT_RULES'!$D$7-1)/'SLOT_RULES'!$E$7)+1)*'SLOT_RULES'!$E$7</f>
        <v/>
      </c>
      <c r="I81" s="156">
        <f>'SLOT_RULES'!$D$8+IF($A81&lt;='SLOT_RULES'!$D$8,0,INT(($A81-'SLOT_RULES'!$D$8-1)/'SLOT_RULES'!$E$8)+1)*'SLOT_RULES'!$E$8</f>
        <v/>
      </c>
      <c r="J81" s="156">
        <f>'SLOT_RULES'!$D$9+IF($A81&lt;='SLOT_RULES'!$D$9,0,INT(($A81-'SLOT_RULES'!$D$9-1)/'SLOT_RULES'!$E$9)+1)*'SLOT_RULES'!$E$9</f>
        <v/>
      </c>
      <c r="K81" s="156">
        <f>'SLOT_RULES'!$D$10+IF($A81&lt;='SLOT_RULES'!$D$10,0,INT(($A81-'SLOT_RULES'!$D$10-1)/'SLOT_RULES'!$E$10)+1)*'SLOT_RULES'!$E$10</f>
        <v/>
      </c>
      <c r="L81" s="156">
        <f>'SLOT_RULES'!$D$11+IF($A81&lt;='SLOT_RULES'!$D$11,0,INT(($A81-'SLOT_RULES'!$D$11-1)/'SLOT_RULES'!$E$11)+1)*'SLOT_RULES'!$E$11</f>
        <v/>
      </c>
      <c r="M81" s="156">
        <f>'SLOT_RULES'!$D$12+IF($A81&lt;='SLOT_RULES'!$D$12,0,INT(($A81-'SLOT_RULES'!$D$12-1)/'SLOT_RULES'!$E$12)+1)*'SLOT_RULES'!$E$12</f>
        <v/>
      </c>
      <c r="N81" s="156">
        <f>'SLOT_RULES'!$D$13+IF($A81&lt;='SLOT_RULES'!$D$13,0,INT(($A81-'SLOT_RULES'!$D$13-1)/'SLOT_RULES'!$E$13)+1)*'SLOT_RULES'!$E$13</f>
        <v/>
      </c>
      <c r="O81" s="156">
        <f>'SLOT_RULES'!$D$14+IF($A81&lt;='SLOT_RULES'!$D$14,0,INT(($A81-'SLOT_RULES'!$D$14-1)/'SLOT_RULES'!$E$14)+1)*'SLOT_RULES'!$E$14</f>
        <v/>
      </c>
      <c r="P81" s="156">
        <f>'SLOT_RULES'!$D$15+IF($A81&lt;='SLOT_RULES'!$D$15,0,INT(($A81-'SLOT_RULES'!$D$15-1)/'SLOT_RULES'!$E$15)+1)*'SLOT_RULES'!$E$15</f>
        <v/>
      </c>
      <c r="Q81" s="158">
        <f>MIN(E81:P81)-A81</f>
        <v/>
      </c>
      <c r="R81" s="158">
        <f>MAX(E81:P81)-A81</f>
        <v/>
      </c>
      <c r="S81" s="86">
        <f>IF(AND(COUNT(E81:P81)=10,MIN(E81:P81)&gt;=A81),"PASS","FAIL")</f>
        <v/>
      </c>
      <c r="T81" s="86">
        <f>IF((COUNTIF('LOCAL_REFERENCE'!$D81:$O81,E81)+COUNTIF('LOCAL_REFERENCE'!$D81:$O81,H81)+COUNTIF('LOCAL_REFERENCE'!$D81:$O81,I81)+COUNTIF('LOCAL_REFERENCE'!$D81:$O81,J81)+COUNTIF('LOCAL_REFERENCE'!$D81:$O81,K81)+COUNTIF('LOCAL_REFERENCE'!$D81:$O81,L81)+COUNTIF('LOCAL_REFERENCE'!$D81:$O81,M81)+COUNTIF('LOCAL_REFERENCE'!$D81:$O81,N81)+COUNTIF('LOCAL_REFERENCE'!$D81:$O81,O81)+COUNTIF('LOCAL_REFERENCE'!$D81:$O81,P81))=0,"PASS","FAIL")</f>
        <v/>
      </c>
      <c r="U81" s="86">
        <f>IF((COUNTIF('VPS_REFERENCE'!$D81:$H81,E81)+COUNTIF('VPS_REFERENCE'!$D81:$H81,H81)+COUNTIF('VPS_REFERENCE'!$D81:$H81,I81)+COUNTIF('VPS_REFERENCE'!$D81:$H81,J81)+COUNTIF('VPS_REFERENCE'!$D81:$H81,K81)+COUNTIF('VPS_REFERENCE'!$D81:$H81,L81)+COUNTIF('VPS_REFERENCE'!$D81:$H81,M81)+COUNTIF('VPS_REFERENCE'!$D81:$H81,N81)+COUNTIF('VPS_REFERENCE'!$D81:$H81,O81)+COUNTIF('VPS_REFERENCE'!$D81:$H81,P81))=0,"PASS","FAIL")</f>
        <v/>
      </c>
      <c r="V81" s="86">
        <f>IF(OR(E81=H81,E81=I81,E81=J81,E81=K81,E81=L81,E81=M81,E81=N81,E81=O81,E81=P81,H81=I81,H81=J81,H81=K81,H81=L81,H81=M81,H81=N81,H81=O81,H81=P81,I81=J81,I81=K81,I81=L81,I81=M81,I81=N81,I81=O81,I81=P81,J81=K81,J81=L81,J81=M81,J81=N81,J81=O81,J81=P81,K81=L81,K81=M81,K81=N81,K81=O81,K81=P81,L81=M81,L81=N81,L81=O81,L81=P81,M81=N81,M81=O81,M81=P81,N81=O81,N81=P81,O81=P81),"FAIL","PASS")</f>
        <v/>
      </c>
      <c r="W81" s="87">
        <f>'CRAWL_LOG'!B81</f>
        <v/>
      </c>
      <c r="X81" s="95" t="inlineStr">
        <is>
          <t>10-slot panel: 7 near + 3 far; AN2/AN3 inactive from 03/09</t>
        </is>
      </c>
    </row>
    <row r="82">
      <c r="A82" s="155" t="n">
        <v>46345</v>
      </c>
      <c r="B82" s="83" t="inlineStr">
        <is>
          <t>Thứ Năm</t>
        </is>
      </c>
      <c r="C82" s="83" t="inlineStr">
        <is>
          <t>Official</t>
        </is>
      </c>
      <c r="D82" s="83" t="inlineStr">
        <is>
          <t>00:30</t>
        </is>
      </c>
      <c r="E82" s="156">
        <f>'SLOT_RULES'!$D$4+IF($A82&lt;='SLOT_RULES'!$D$4,0,INT(($A82-'SLOT_RULES'!$D$4-1)/'SLOT_RULES'!$E$4)+1)*'SLOT_RULES'!$E$4</f>
        <v/>
      </c>
      <c r="F82" s="157" t="n"/>
      <c r="G82" s="157" t="n"/>
      <c r="H82" s="156">
        <f>'SLOT_RULES'!$D$7+IF($A82&lt;='SLOT_RULES'!$D$7,0,INT(($A82-'SLOT_RULES'!$D$7-1)/'SLOT_RULES'!$E$7)+1)*'SLOT_RULES'!$E$7</f>
        <v/>
      </c>
      <c r="I82" s="156">
        <f>'SLOT_RULES'!$D$8+IF($A82&lt;='SLOT_RULES'!$D$8,0,INT(($A82-'SLOT_RULES'!$D$8-1)/'SLOT_RULES'!$E$8)+1)*'SLOT_RULES'!$E$8</f>
        <v/>
      </c>
      <c r="J82" s="156">
        <f>'SLOT_RULES'!$D$9+IF($A82&lt;='SLOT_RULES'!$D$9,0,INT(($A82-'SLOT_RULES'!$D$9-1)/'SLOT_RULES'!$E$9)+1)*'SLOT_RULES'!$E$9</f>
        <v/>
      </c>
      <c r="K82" s="156">
        <f>'SLOT_RULES'!$D$10+IF($A82&lt;='SLOT_RULES'!$D$10,0,INT(($A82-'SLOT_RULES'!$D$10-1)/'SLOT_RULES'!$E$10)+1)*'SLOT_RULES'!$E$10</f>
        <v/>
      </c>
      <c r="L82" s="156">
        <f>'SLOT_RULES'!$D$11+IF($A82&lt;='SLOT_RULES'!$D$11,0,INT(($A82-'SLOT_RULES'!$D$11-1)/'SLOT_RULES'!$E$11)+1)*'SLOT_RULES'!$E$11</f>
        <v/>
      </c>
      <c r="M82" s="156">
        <f>'SLOT_RULES'!$D$12+IF($A82&lt;='SLOT_RULES'!$D$12,0,INT(($A82-'SLOT_RULES'!$D$12-1)/'SLOT_RULES'!$E$12)+1)*'SLOT_RULES'!$E$12</f>
        <v/>
      </c>
      <c r="N82" s="156">
        <f>'SLOT_RULES'!$D$13+IF($A82&lt;='SLOT_RULES'!$D$13,0,INT(($A82-'SLOT_RULES'!$D$13-1)/'SLOT_RULES'!$E$13)+1)*'SLOT_RULES'!$E$13</f>
        <v/>
      </c>
      <c r="O82" s="156">
        <f>'SLOT_RULES'!$D$14+IF($A82&lt;='SLOT_RULES'!$D$14,0,INT(($A82-'SLOT_RULES'!$D$14-1)/'SLOT_RULES'!$E$14)+1)*'SLOT_RULES'!$E$14</f>
        <v/>
      </c>
      <c r="P82" s="156">
        <f>'SLOT_RULES'!$D$15+IF($A82&lt;='SLOT_RULES'!$D$15,0,INT(($A82-'SLOT_RULES'!$D$15-1)/'SLOT_RULES'!$E$15)+1)*'SLOT_RULES'!$E$15</f>
        <v/>
      </c>
      <c r="Q82" s="158">
        <f>MIN(E82:P82)-A82</f>
        <v/>
      </c>
      <c r="R82" s="158">
        <f>MAX(E82:P82)-A82</f>
        <v/>
      </c>
      <c r="S82" s="86">
        <f>IF(AND(COUNT(E82:P82)=10,MIN(E82:P82)&gt;=A82),"PASS","FAIL")</f>
        <v/>
      </c>
      <c r="T82" s="86">
        <f>IF((COUNTIF('LOCAL_REFERENCE'!$D82:$O82,E82)+COUNTIF('LOCAL_REFERENCE'!$D82:$O82,H82)+COUNTIF('LOCAL_REFERENCE'!$D82:$O82,I82)+COUNTIF('LOCAL_REFERENCE'!$D82:$O82,J82)+COUNTIF('LOCAL_REFERENCE'!$D82:$O82,K82)+COUNTIF('LOCAL_REFERENCE'!$D82:$O82,L82)+COUNTIF('LOCAL_REFERENCE'!$D82:$O82,M82)+COUNTIF('LOCAL_REFERENCE'!$D82:$O82,N82)+COUNTIF('LOCAL_REFERENCE'!$D82:$O82,O82)+COUNTIF('LOCAL_REFERENCE'!$D82:$O82,P82))=0,"PASS","FAIL")</f>
        <v/>
      </c>
      <c r="U82" s="86">
        <f>IF((COUNTIF('VPS_REFERENCE'!$D82:$H82,E82)+COUNTIF('VPS_REFERENCE'!$D82:$H82,H82)+COUNTIF('VPS_REFERENCE'!$D82:$H82,I82)+COUNTIF('VPS_REFERENCE'!$D82:$H82,J82)+COUNTIF('VPS_REFERENCE'!$D82:$H82,K82)+COUNTIF('VPS_REFERENCE'!$D82:$H82,L82)+COUNTIF('VPS_REFERENCE'!$D82:$H82,M82)+COUNTIF('VPS_REFERENCE'!$D82:$H82,N82)+COUNTIF('VPS_REFERENCE'!$D82:$H82,O82)+COUNTIF('VPS_REFERENCE'!$D82:$H82,P82))=0,"PASS","FAIL")</f>
        <v/>
      </c>
      <c r="V82" s="86">
        <f>IF(OR(E82=H82,E82=I82,E82=J82,E82=K82,E82=L82,E82=M82,E82=N82,E82=O82,E82=P82,H82=I82,H82=J82,H82=K82,H82=L82,H82=M82,H82=N82,H82=O82,H82=P82,I82=J82,I82=K82,I82=L82,I82=M82,I82=N82,I82=O82,I82=P82,J82=K82,J82=L82,J82=M82,J82=N82,J82=O82,J82=P82,K82=L82,K82=M82,K82=N82,K82=O82,K82=P82,L82=M82,L82=N82,L82=O82,L82=P82,M82=N82,M82=O82,M82=P82,N82=O82,N82=P82,O82=P82),"FAIL","PASS")</f>
        <v/>
      </c>
      <c r="W82" s="87">
        <f>'CRAWL_LOG'!B82</f>
        <v/>
      </c>
      <c r="X82" s="95" t="inlineStr">
        <is>
          <t>10-slot panel: 7 near + 3 far; AN2/AN3 inactive from 03/09</t>
        </is>
      </c>
    </row>
    <row r="83">
      <c r="A83" s="155" t="n">
        <v>46346</v>
      </c>
      <c r="B83" s="83" t="inlineStr">
        <is>
          <t>Thứ Sáu</t>
        </is>
      </c>
      <c r="C83" s="83" t="inlineStr">
        <is>
          <t>Official</t>
        </is>
      </c>
      <c r="D83" s="83" t="inlineStr">
        <is>
          <t>00:30</t>
        </is>
      </c>
      <c r="E83" s="156">
        <f>'SLOT_RULES'!$D$4+IF($A83&lt;='SLOT_RULES'!$D$4,0,INT(($A83-'SLOT_RULES'!$D$4-1)/'SLOT_RULES'!$E$4)+1)*'SLOT_RULES'!$E$4</f>
        <v/>
      </c>
      <c r="F83" s="157" t="n"/>
      <c r="G83" s="157" t="n"/>
      <c r="H83" s="156">
        <f>'SLOT_RULES'!$D$7+IF($A83&lt;='SLOT_RULES'!$D$7,0,INT(($A83-'SLOT_RULES'!$D$7-1)/'SLOT_RULES'!$E$7)+1)*'SLOT_RULES'!$E$7</f>
        <v/>
      </c>
      <c r="I83" s="156">
        <f>'SLOT_RULES'!$D$8+IF($A83&lt;='SLOT_RULES'!$D$8,0,INT(($A83-'SLOT_RULES'!$D$8-1)/'SLOT_RULES'!$E$8)+1)*'SLOT_RULES'!$E$8</f>
        <v/>
      </c>
      <c r="J83" s="156">
        <f>'SLOT_RULES'!$D$9+IF($A83&lt;='SLOT_RULES'!$D$9,0,INT(($A83-'SLOT_RULES'!$D$9-1)/'SLOT_RULES'!$E$9)+1)*'SLOT_RULES'!$E$9</f>
        <v/>
      </c>
      <c r="K83" s="156">
        <f>'SLOT_RULES'!$D$10+IF($A83&lt;='SLOT_RULES'!$D$10,0,INT(($A83-'SLOT_RULES'!$D$10-1)/'SLOT_RULES'!$E$10)+1)*'SLOT_RULES'!$E$10</f>
        <v/>
      </c>
      <c r="L83" s="156">
        <f>'SLOT_RULES'!$D$11+IF($A83&lt;='SLOT_RULES'!$D$11,0,INT(($A83-'SLOT_RULES'!$D$11-1)/'SLOT_RULES'!$E$11)+1)*'SLOT_RULES'!$E$11</f>
        <v/>
      </c>
      <c r="M83" s="156">
        <f>'SLOT_RULES'!$D$12+IF($A83&lt;='SLOT_RULES'!$D$12,0,INT(($A83-'SLOT_RULES'!$D$12-1)/'SLOT_RULES'!$E$12)+1)*'SLOT_RULES'!$E$12</f>
        <v/>
      </c>
      <c r="N83" s="156">
        <f>'SLOT_RULES'!$D$13+IF($A83&lt;='SLOT_RULES'!$D$13,0,INT(($A83-'SLOT_RULES'!$D$13-1)/'SLOT_RULES'!$E$13)+1)*'SLOT_RULES'!$E$13</f>
        <v/>
      </c>
      <c r="O83" s="156">
        <f>'SLOT_RULES'!$D$14+IF($A83&lt;='SLOT_RULES'!$D$14,0,INT(($A83-'SLOT_RULES'!$D$14-1)/'SLOT_RULES'!$E$14)+1)*'SLOT_RULES'!$E$14</f>
        <v/>
      </c>
      <c r="P83" s="156">
        <f>'SLOT_RULES'!$D$15+IF($A83&lt;='SLOT_RULES'!$D$15,0,INT(($A83-'SLOT_RULES'!$D$15-1)/'SLOT_RULES'!$E$15)+1)*'SLOT_RULES'!$E$15</f>
        <v/>
      </c>
      <c r="Q83" s="158">
        <f>MIN(E83:P83)-A83</f>
        <v/>
      </c>
      <c r="R83" s="158">
        <f>MAX(E83:P83)-A83</f>
        <v/>
      </c>
      <c r="S83" s="86">
        <f>IF(AND(COUNT(E83:P83)=10,MIN(E83:P83)&gt;=A83),"PASS","FAIL")</f>
        <v/>
      </c>
      <c r="T83" s="86">
        <f>IF((COUNTIF('LOCAL_REFERENCE'!$D83:$O83,E83)+COUNTIF('LOCAL_REFERENCE'!$D83:$O83,H83)+COUNTIF('LOCAL_REFERENCE'!$D83:$O83,I83)+COUNTIF('LOCAL_REFERENCE'!$D83:$O83,J83)+COUNTIF('LOCAL_REFERENCE'!$D83:$O83,K83)+COUNTIF('LOCAL_REFERENCE'!$D83:$O83,L83)+COUNTIF('LOCAL_REFERENCE'!$D83:$O83,M83)+COUNTIF('LOCAL_REFERENCE'!$D83:$O83,N83)+COUNTIF('LOCAL_REFERENCE'!$D83:$O83,O83)+COUNTIF('LOCAL_REFERENCE'!$D83:$O83,P83))=0,"PASS","FAIL")</f>
        <v/>
      </c>
      <c r="U83" s="86">
        <f>IF((COUNTIF('VPS_REFERENCE'!$D83:$H83,E83)+COUNTIF('VPS_REFERENCE'!$D83:$H83,H83)+COUNTIF('VPS_REFERENCE'!$D83:$H83,I83)+COUNTIF('VPS_REFERENCE'!$D83:$H83,J83)+COUNTIF('VPS_REFERENCE'!$D83:$H83,K83)+COUNTIF('VPS_REFERENCE'!$D83:$H83,L83)+COUNTIF('VPS_REFERENCE'!$D83:$H83,M83)+COUNTIF('VPS_REFERENCE'!$D83:$H83,N83)+COUNTIF('VPS_REFERENCE'!$D83:$H83,O83)+COUNTIF('VPS_REFERENCE'!$D83:$H83,P83))=0,"PASS","FAIL")</f>
        <v/>
      </c>
      <c r="V83" s="86">
        <f>IF(OR(E83=H83,E83=I83,E83=J83,E83=K83,E83=L83,E83=M83,E83=N83,E83=O83,E83=P83,H83=I83,H83=J83,H83=K83,H83=L83,H83=M83,H83=N83,H83=O83,H83=P83,I83=J83,I83=K83,I83=L83,I83=M83,I83=N83,I83=O83,I83=P83,J83=K83,J83=L83,J83=M83,J83=N83,J83=O83,J83=P83,K83=L83,K83=M83,K83=N83,K83=O83,K83=P83,L83=M83,L83=N83,L83=O83,L83=P83,M83=N83,M83=O83,M83=P83,N83=O83,N83=P83,O83=P83),"FAIL","PASS")</f>
        <v/>
      </c>
      <c r="W83" s="87">
        <f>'CRAWL_LOG'!B83</f>
        <v/>
      </c>
      <c r="X83" s="95" t="inlineStr">
        <is>
          <t>10-slot panel: 7 near + 3 far; AN2/AN3 inactive from 03/09</t>
        </is>
      </c>
    </row>
    <row r="84">
      <c r="A84" s="155" t="n">
        <v>46347</v>
      </c>
      <c r="B84" s="83" t="inlineStr">
        <is>
          <t>Thứ Bảy</t>
        </is>
      </c>
      <c r="C84" s="83" t="inlineStr">
        <is>
          <t>Official</t>
        </is>
      </c>
      <c r="D84" s="83" t="inlineStr">
        <is>
          <t>00:30</t>
        </is>
      </c>
      <c r="E84" s="156">
        <f>'SLOT_RULES'!$D$4+IF($A84&lt;='SLOT_RULES'!$D$4,0,INT(($A84-'SLOT_RULES'!$D$4-1)/'SLOT_RULES'!$E$4)+1)*'SLOT_RULES'!$E$4</f>
        <v/>
      </c>
      <c r="F84" s="157" t="n"/>
      <c r="G84" s="157" t="n"/>
      <c r="H84" s="156">
        <f>'SLOT_RULES'!$D$7+IF($A84&lt;='SLOT_RULES'!$D$7,0,INT(($A84-'SLOT_RULES'!$D$7-1)/'SLOT_RULES'!$E$7)+1)*'SLOT_RULES'!$E$7</f>
        <v/>
      </c>
      <c r="I84" s="156">
        <f>'SLOT_RULES'!$D$8+IF($A84&lt;='SLOT_RULES'!$D$8,0,INT(($A84-'SLOT_RULES'!$D$8-1)/'SLOT_RULES'!$E$8)+1)*'SLOT_RULES'!$E$8</f>
        <v/>
      </c>
      <c r="J84" s="156">
        <f>'SLOT_RULES'!$D$9+IF($A84&lt;='SLOT_RULES'!$D$9,0,INT(($A84-'SLOT_RULES'!$D$9-1)/'SLOT_RULES'!$E$9)+1)*'SLOT_RULES'!$E$9</f>
        <v/>
      </c>
      <c r="K84" s="156">
        <f>'SLOT_RULES'!$D$10+IF($A84&lt;='SLOT_RULES'!$D$10,0,INT(($A84-'SLOT_RULES'!$D$10-1)/'SLOT_RULES'!$E$10)+1)*'SLOT_RULES'!$E$10</f>
        <v/>
      </c>
      <c r="L84" s="156">
        <f>'SLOT_RULES'!$D$11+IF($A84&lt;='SLOT_RULES'!$D$11,0,INT(($A84-'SLOT_RULES'!$D$11-1)/'SLOT_RULES'!$E$11)+1)*'SLOT_RULES'!$E$11</f>
        <v/>
      </c>
      <c r="M84" s="156">
        <f>'SLOT_RULES'!$D$12+IF($A84&lt;='SLOT_RULES'!$D$12,0,INT(($A84-'SLOT_RULES'!$D$12-1)/'SLOT_RULES'!$E$12)+1)*'SLOT_RULES'!$E$12</f>
        <v/>
      </c>
      <c r="N84" s="156">
        <f>'SLOT_RULES'!$D$13+IF($A84&lt;='SLOT_RULES'!$D$13,0,INT(($A84-'SLOT_RULES'!$D$13-1)/'SLOT_RULES'!$E$13)+1)*'SLOT_RULES'!$E$13</f>
        <v/>
      </c>
      <c r="O84" s="156">
        <f>'SLOT_RULES'!$D$14+IF($A84&lt;='SLOT_RULES'!$D$14,0,INT(($A84-'SLOT_RULES'!$D$14-1)/'SLOT_RULES'!$E$14)+1)*'SLOT_RULES'!$E$14</f>
        <v/>
      </c>
      <c r="P84" s="156">
        <f>'SLOT_RULES'!$D$15+IF($A84&lt;='SLOT_RULES'!$D$15,0,INT(($A84-'SLOT_RULES'!$D$15-1)/'SLOT_RULES'!$E$15)+1)*'SLOT_RULES'!$E$15</f>
        <v/>
      </c>
      <c r="Q84" s="158">
        <f>MIN(E84:P84)-A84</f>
        <v/>
      </c>
      <c r="R84" s="158">
        <f>MAX(E84:P84)-A84</f>
        <v/>
      </c>
      <c r="S84" s="86">
        <f>IF(AND(COUNT(E84:P84)=10,MIN(E84:P84)&gt;=A84),"PASS","FAIL")</f>
        <v/>
      </c>
      <c r="T84" s="86">
        <f>IF((COUNTIF('LOCAL_REFERENCE'!$D84:$O84,E84)+COUNTIF('LOCAL_REFERENCE'!$D84:$O84,H84)+COUNTIF('LOCAL_REFERENCE'!$D84:$O84,I84)+COUNTIF('LOCAL_REFERENCE'!$D84:$O84,J84)+COUNTIF('LOCAL_REFERENCE'!$D84:$O84,K84)+COUNTIF('LOCAL_REFERENCE'!$D84:$O84,L84)+COUNTIF('LOCAL_REFERENCE'!$D84:$O84,M84)+COUNTIF('LOCAL_REFERENCE'!$D84:$O84,N84)+COUNTIF('LOCAL_REFERENCE'!$D84:$O84,O84)+COUNTIF('LOCAL_REFERENCE'!$D84:$O84,P84))=0,"PASS","FAIL")</f>
        <v/>
      </c>
      <c r="U84" s="86">
        <f>IF((COUNTIF('VPS_REFERENCE'!$D84:$H84,E84)+COUNTIF('VPS_REFERENCE'!$D84:$H84,H84)+COUNTIF('VPS_REFERENCE'!$D84:$H84,I84)+COUNTIF('VPS_REFERENCE'!$D84:$H84,J84)+COUNTIF('VPS_REFERENCE'!$D84:$H84,K84)+COUNTIF('VPS_REFERENCE'!$D84:$H84,L84)+COUNTIF('VPS_REFERENCE'!$D84:$H84,M84)+COUNTIF('VPS_REFERENCE'!$D84:$H84,N84)+COUNTIF('VPS_REFERENCE'!$D84:$H84,O84)+COUNTIF('VPS_REFERENCE'!$D84:$H84,P84))=0,"PASS","FAIL")</f>
        <v/>
      </c>
      <c r="V84" s="86">
        <f>IF(OR(E84=H84,E84=I84,E84=J84,E84=K84,E84=L84,E84=M84,E84=N84,E84=O84,E84=P84,H84=I84,H84=J84,H84=K84,H84=L84,H84=M84,H84=N84,H84=O84,H84=P84,I84=J84,I84=K84,I84=L84,I84=M84,I84=N84,I84=O84,I84=P84,J84=K84,J84=L84,J84=M84,J84=N84,J84=O84,J84=P84,K84=L84,K84=M84,K84=N84,K84=O84,K84=P84,L84=M84,L84=N84,L84=O84,L84=P84,M84=N84,M84=O84,M84=P84,N84=O84,N84=P84,O84=P84),"FAIL","PASS")</f>
        <v/>
      </c>
      <c r="W84" s="87">
        <f>'CRAWL_LOG'!B84</f>
        <v/>
      </c>
      <c r="X84" s="95" t="inlineStr">
        <is>
          <t>10-slot panel: 7 near + 3 far; AN2/AN3 inactive from 03/09</t>
        </is>
      </c>
    </row>
    <row r="85">
      <c r="A85" s="155" t="n">
        <v>46348</v>
      </c>
      <c r="B85" s="83" t="inlineStr">
        <is>
          <t>Chủ Nhật</t>
        </is>
      </c>
      <c r="C85" s="83" t="inlineStr">
        <is>
          <t>Official</t>
        </is>
      </c>
      <c r="D85" s="83" t="inlineStr">
        <is>
          <t>00:30</t>
        </is>
      </c>
      <c r="E85" s="156">
        <f>'SLOT_RULES'!$D$4+IF($A85&lt;='SLOT_RULES'!$D$4,0,INT(($A85-'SLOT_RULES'!$D$4-1)/'SLOT_RULES'!$E$4)+1)*'SLOT_RULES'!$E$4</f>
        <v/>
      </c>
      <c r="F85" s="157" t="n"/>
      <c r="G85" s="157" t="n"/>
      <c r="H85" s="156">
        <f>'SLOT_RULES'!$D$7+IF($A85&lt;='SLOT_RULES'!$D$7,0,INT(($A85-'SLOT_RULES'!$D$7-1)/'SLOT_RULES'!$E$7)+1)*'SLOT_RULES'!$E$7</f>
        <v/>
      </c>
      <c r="I85" s="156">
        <f>'SLOT_RULES'!$D$8+IF($A85&lt;='SLOT_RULES'!$D$8,0,INT(($A85-'SLOT_RULES'!$D$8-1)/'SLOT_RULES'!$E$8)+1)*'SLOT_RULES'!$E$8</f>
        <v/>
      </c>
      <c r="J85" s="156">
        <f>'SLOT_RULES'!$D$9+IF($A85&lt;='SLOT_RULES'!$D$9,0,INT(($A85-'SLOT_RULES'!$D$9-1)/'SLOT_RULES'!$E$9)+1)*'SLOT_RULES'!$E$9</f>
        <v/>
      </c>
      <c r="K85" s="156">
        <f>'SLOT_RULES'!$D$10+IF($A85&lt;='SLOT_RULES'!$D$10,0,INT(($A85-'SLOT_RULES'!$D$10-1)/'SLOT_RULES'!$E$10)+1)*'SLOT_RULES'!$E$10</f>
        <v/>
      </c>
      <c r="L85" s="156">
        <f>'SLOT_RULES'!$D$11+IF($A85&lt;='SLOT_RULES'!$D$11,0,INT(($A85-'SLOT_RULES'!$D$11-1)/'SLOT_RULES'!$E$11)+1)*'SLOT_RULES'!$E$11</f>
        <v/>
      </c>
      <c r="M85" s="156">
        <f>'SLOT_RULES'!$D$12+IF($A85&lt;='SLOT_RULES'!$D$12,0,INT(($A85-'SLOT_RULES'!$D$12-1)/'SLOT_RULES'!$E$12)+1)*'SLOT_RULES'!$E$12</f>
        <v/>
      </c>
      <c r="N85" s="156">
        <f>'SLOT_RULES'!$D$13+IF($A85&lt;='SLOT_RULES'!$D$13,0,INT(($A85-'SLOT_RULES'!$D$13-1)/'SLOT_RULES'!$E$13)+1)*'SLOT_RULES'!$E$13</f>
        <v/>
      </c>
      <c r="O85" s="156">
        <f>'SLOT_RULES'!$D$14+IF($A85&lt;='SLOT_RULES'!$D$14,0,INT(($A85-'SLOT_RULES'!$D$14-1)/'SLOT_RULES'!$E$14)+1)*'SLOT_RULES'!$E$14</f>
        <v/>
      </c>
      <c r="P85" s="156">
        <f>'SLOT_RULES'!$D$15+IF($A85&lt;='SLOT_RULES'!$D$15,0,INT(($A85-'SLOT_RULES'!$D$15-1)/'SLOT_RULES'!$E$15)+1)*'SLOT_RULES'!$E$15</f>
        <v/>
      </c>
      <c r="Q85" s="158">
        <f>MIN(E85:P85)-A85</f>
        <v/>
      </c>
      <c r="R85" s="158">
        <f>MAX(E85:P85)-A85</f>
        <v/>
      </c>
      <c r="S85" s="86">
        <f>IF(AND(COUNT(E85:P85)=10,MIN(E85:P85)&gt;=A85),"PASS","FAIL")</f>
        <v/>
      </c>
      <c r="T85" s="86">
        <f>IF((COUNTIF('LOCAL_REFERENCE'!$D85:$O85,E85)+COUNTIF('LOCAL_REFERENCE'!$D85:$O85,H85)+COUNTIF('LOCAL_REFERENCE'!$D85:$O85,I85)+COUNTIF('LOCAL_REFERENCE'!$D85:$O85,J85)+COUNTIF('LOCAL_REFERENCE'!$D85:$O85,K85)+COUNTIF('LOCAL_REFERENCE'!$D85:$O85,L85)+COUNTIF('LOCAL_REFERENCE'!$D85:$O85,M85)+COUNTIF('LOCAL_REFERENCE'!$D85:$O85,N85)+COUNTIF('LOCAL_REFERENCE'!$D85:$O85,O85)+COUNTIF('LOCAL_REFERENCE'!$D85:$O85,P85))=0,"PASS","FAIL")</f>
        <v/>
      </c>
      <c r="U85" s="86">
        <f>IF((COUNTIF('VPS_REFERENCE'!$D85:$H85,E85)+COUNTIF('VPS_REFERENCE'!$D85:$H85,H85)+COUNTIF('VPS_REFERENCE'!$D85:$H85,I85)+COUNTIF('VPS_REFERENCE'!$D85:$H85,J85)+COUNTIF('VPS_REFERENCE'!$D85:$H85,K85)+COUNTIF('VPS_REFERENCE'!$D85:$H85,L85)+COUNTIF('VPS_REFERENCE'!$D85:$H85,M85)+COUNTIF('VPS_REFERENCE'!$D85:$H85,N85)+COUNTIF('VPS_REFERENCE'!$D85:$H85,O85)+COUNTIF('VPS_REFERENCE'!$D85:$H85,P85))=0,"PASS","FAIL")</f>
        <v/>
      </c>
      <c r="V85" s="86">
        <f>IF(OR(E85=H85,E85=I85,E85=J85,E85=K85,E85=L85,E85=M85,E85=N85,E85=O85,E85=P85,H85=I85,H85=J85,H85=K85,H85=L85,H85=M85,H85=N85,H85=O85,H85=P85,I85=J85,I85=K85,I85=L85,I85=M85,I85=N85,I85=O85,I85=P85,J85=K85,J85=L85,J85=M85,J85=N85,J85=O85,J85=P85,K85=L85,K85=M85,K85=N85,K85=O85,K85=P85,L85=M85,L85=N85,L85=O85,L85=P85,M85=N85,M85=O85,M85=P85,N85=O85,N85=P85,O85=P85),"FAIL","PASS")</f>
        <v/>
      </c>
      <c r="W85" s="87">
        <f>'CRAWL_LOG'!B85</f>
        <v/>
      </c>
      <c r="X85" s="95" t="inlineStr">
        <is>
          <t>10-slot panel: 7 near + 3 far; AN2/AN3 inactive from 03/09</t>
        </is>
      </c>
    </row>
    <row r="86">
      <c r="A86" s="155" t="n">
        <v>46349</v>
      </c>
      <c r="B86" s="83" t="inlineStr">
        <is>
          <t>Thứ Hai</t>
        </is>
      </c>
      <c r="C86" s="83" t="inlineStr">
        <is>
          <t>Official</t>
        </is>
      </c>
      <c r="D86" s="83" t="inlineStr">
        <is>
          <t>00:30</t>
        </is>
      </c>
      <c r="E86" s="156">
        <f>'SLOT_RULES'!$D$4+IF($A86&lt;='SLOT_RULES'!$D$4,0,INT(($A86-'SLOT_RULES'!$D$4-1)/'SLOT_RULES'!$E$4)+1)*'SLOT_RULES'!$E$4</f>
        <v/>
      </c>
      <c r="F86" s="157" t="n"/>
      <c r="G86" s="157" t="n"/>
      <c r="H86" s="156">
        <f>'SLOT_RULES'!$D$7+IF($A86&lt;='SLOT_RULES'!$D$7,0,INT(($A86-'SLOT_RULES'!$D$7-1)/'SLOT_RULES'!$E$7)+1)*'SLOT_RULES'!$E$7</f>
        <v/>
      </c>
      <c r="I86" s="156">
        <f>'SLOT_RULES'!$D$8+IF($A86&lt;='SLOT_RULES'!$D$8,0,INT(($A86-'SLOT_RULES'!$D$8-1)/'SLOT_RULES'!$E$8)+1)*'SLOT_RULES'!$E$8</f>
        <v/>
      </c>
      <c r="J86" s="156">
        <f>'SLOT_RULES'!$D$9+IF($A86&lt;='SLOT_RULES'!$D$9,0,INT(($A86-'SLOT_RULES'!$D$9-1)/'SLOT_RULES'!$E$9)+1)*'SLOT_RULES'!$E$9</f>
        <v/>
      </c>
      <c r="K86" s="156">
        <f>'SLOT_RULES'!$D$10+IF($A86&lt;='SLOT_RULES'!$D$10,0,INT(($A86-'SLOT_RULES'!$D$10-1)/'SLOT_RULES'!$E$10)+1)*'SLOT_RULES'!$E$10</f>
        <v/>
      </c>
      <c r="L86" s="156">
        <f>'SLOT_RULES'!$D$11+IF($A86&lt;='SLOT_RULES'!$D$11,0,INT(($A86-'SLOT_RULES'!$D$11-1)/'SLOT_RULES'!$E$11)+1)*'SLOT_RULES'!$E$11</f>
        <v/>
      </c>
      <c r="M86" s="156">
        <f>'SLOT_RULES'!$D$12+IF($A86&lt;='SLOT_RULES'!$D$12,0,INT(($A86-'SLOT_RULES'!$D$12-1)/'SLOT_RULES'!$E$12)+1)*'SLOT_RULES'!$E$12</f>
        <v/>
      </c>
      <c r="N86" s="156">
        <f>'SLOT_RULES'!$D$13+IF($A86&lt;='SLOT_RULES'!$D$13,0,INT(($A86-'SLOT_RULES'!$D$13-1)/'SLOT_RULES'!$E$13)+1)*'SLOT_RULES'!$E$13</f>
        <v/>
      </c>
      <c r="O86" s="156">
        <f>'SLOT_RULES'!$D$14+IF($A86&lt;='SLOT_RULES'!$D$14,0,INT(($A86-'SLOT_RULES'!$D$14-1)/'SLOT_RULES'!$E$14)+1)*'SLOT_RULES'!$E$14</f>
        <v/>
      </c>
      <c r="P86" s="156">
        <f>'SLOT_RULES'!$D$15+IF($A86&lt;='SLOT_RULES'!$D$15,0,INT(($A86-'SLOT_RULES'!$D$15-1)/'SLOT_RULES'!$E$15)+1)*'SLOT_RULES'!$E$15</f>
        <v/>
      </c>
      <c r="Q86" s="158">
        <f>MIN(E86:P86)-A86</f>
        <v/>
      </c>
      <c r="R86" s="158">
        <f>MAX(E86:P86)-A86</f>
        <v/>
      </c>
      <c r="S86" s="86">
        <f>IF(AND(COUNT(E86:P86)=10,MIN(E86:P86)&gt;=A86),"PASS","FAIL")</f>
        <v/>
      </c>
      <c r="T86" s="86">
        <f>IF((COUNTIF('LOCAL_REFERENCE'!$D86:$O86,E86)+COUNTIF('LOCAL_REFERENCE'!$D86:$O86,H86)+COUNTIF('LOCAL_REFERENCE'!$D86:$O86,I86)+COUNTIF('LOCAL_REFERENCE'!$D86:$O86,J86)+COUNTIF('LOCAL_REFERENCE'!$D86:$O86,K86)+COUNTIF('LOCAL_REFERENCE'!$D86:$O86,L86)+COUNTIF('LOCAL_REFERENCE'!$D86:$O86,M86)+COUNTIF('LOCAL_REFERENCE'!$D86:$O86,N86)+COUNTIF('LOCAL_REFERENCE'!$D86:$O86,O86)+COUNTIF('LOCAL_REFERENCE'!$D86:$O86,P86))=0,"PASS","FAIL")</f>
        <v/>
      </c>
      <c r="U86" s="86">
        <f>IF((COUNTIF('VPS_REFERENCE'!$D86:$H86,E86)+COUNTIF('VPS_REFERENCE'!$D86:$H86,H86)+COUNTIF('VPS_REFERENCE'!$D86:$H86,I86)+COUNTIF('VPS_REFERENCE'!$D86:$H86,J86)+COUNTIF('VPS_REFERENCE'!$D86:$H86,K86)+COUNTIF('VPS_REFERENCE'!$D86:$H86,L86)+COUNTIF('VPS_REFERENCE'!$D86:$H86,M86)+COUNTIF('VPS_REFERENCE'!$D86:$H86,N86)+COUNTIF('VPS_REFERENCE'!$D86:$H86,O86)+COUNTIF('VPS_REFERENCE'!$D86:$H86,P86))=0,"PASS","FAIL")</f>
        <v/>
      </c>
      <c r="V86" s="86">
        <f>IF(OR(E86=H86,E86=I86,E86=J86,E86=K86,E86=L86,E86=M86,E86=N86,E86=O86,E86=P86,H86=I86,H86=J86,H86=K86,H86=L86,H86=M86,H86=N86,H86=O86,H86=P86,I86=J86,I86=K86,I86=L86,I86=M86,I86=N86,I86=O86,I86=P86,J86=K86,J86=L86,J86=M86,J86=N86,J86=O86,J86=P86,K86=L86,K86=M86,K86=N86,K86=O86,K86=P86,L86=M86,L86=N86,L86=O86,L86=P86,M86=N86,M86=O86,M86=P86,N86=O86,N86=P86,O86=P86),"FAIL","PASS")</f>
        <v/>
      </c>
      <c r="W86" s="87">
        <f>'CRAWL_LOG'!B86</f>
        <v/>
      </c>
      <c r="X86" s="95" t="inlineStr">
        <is>
          <t>10-slot panel: 7 near + 3 far; AN2/AN3 inactive from 03/09</t>
        </is>
      </c>
    </row>
    <row r="87">
      <c r="A87" s="155" t="n">
        <v>46350</v>
      </c>
      <c r="B87" s="83" t="inlineStr">
        <is>
          <t>Thứ Ba</t>
        </is>
      </c>
      <c r="C87" s="83" t="inlineStr">
        <is>
          <t>Official</t>
        </is>
      </c>
      <c r="D87" s="83" t="inlineStr">
        <is>
          <t>00:30</t>
        </is>
      </c>
      <c r="E87" s="156">
        <f>'SLOT_RULES'!$D$4+IF($A87&lt;='SLOT_RULES'!$D$4,0,INT(($A87-'SLOT_RULES'!$D$4-1)/'SLOT_RULES'!$E$4)+1)*'SLOT_RULES'!$E$4</f>
        <v/>
      </c>
      <c r="F87" s="157" t="n"/>
      <c r="G87" s="157" t="n"/>
      <c r="H87" s="156">
        <f>'SLOT_RULES'!$D$7+IF($A87&lt;='SLOT_RULES'!$D$7,0,INT(($A87-'SLOT_RULES'!$D$7-1)/'SLOT_RULES'!$E$7)+1)*'SLOT_RULES'!$E$7</f>
        <v/>
      </c>
      <c r="I87" s="156">
        <f>'SLOT_RULES'!$D$8+IF($A87&lt;='SLOT_RULES'!$D$8,0,INT(($A87-'SLOT_RULES'!$D$8-1)/'SLOT_RULES'!$E$8)+1)*'SLOT_RULES'!$E$8</f>
        <v/>
      </c>
      <c r="J87" s="156">
        <f>'SLOT_RULES'!$D$9+IF($A87&lt;='SLOT_RULES'!$D$9,0,INT(($A87-'SLOT_RULES'!$D$9-1)/'SLOT_RULES'!$E$9)+1)*'SLOT_RULES'!$E$9</f>
        <v/>
      </c>
      <c r="K87" s="156">
        <f>'SLOT_RULES'!$D$10+IF($A87&lt;='SLOT_RULES'!$D$10,0,INT(($A87-'SLOT_RULES'!$D$10-1)/'SLOT_RULES'!$E$10)+1)*'SLOT_RULES'!$E$10</f>
        <v/>
      </c>
      <c r="L87" s="156">
        <f>'SLOT_RULES'!$D$11+IF($A87&lt;='SLOT_RULES'!$D$11,0,INT(($A87-'SLOT_RULES'!$D$11-1)/'SLOT_RULES'!$E$11)+1)*'SLOT_RULES'!$E$11</f>
        <v/>
      </c>
      <c r="M87" s="156">
        <f>'SLOT_RULES'!$D$12+IF($A87&lt;='SLOT_RULES'!$D$12,0,INT(($A87-'SLOT_RULES'!$D$12-1)/'SLOT_RULES'!$E$12)+1)*'SLOT_RULES'!$E$12</f>
        <v/>
      </c>
      <c r="N87" s="156">
        <f>'SLOT_RULES'!$D$13+IF($A87&lt;='SLOT_RULES'!$D$13,0,INT(($A87-'SLOT_RULES'!$D$13-1)/'SLOT_RULES'!$E$13)+1)*'SLOT_RULES'!$E$13</f>
        <v/>
      </c>
      <c r="O87" s="156">
        <f>'SLOT_RULES'!$D$14+IF($A87&lt;='SLOT_RULES'!$D$14,0,INT(($A87-'SLOT_RULES'!$D$14-1)/'SLOT_RULES'!$E$14)+1)*'SLOT_RULES'!$E$14</f>
        <v/>
      </c>
      <c r="P87" s="156">
        <f>'SLOT_RULES'!$D$15+IF($A87&lt;='SLOT_RULES'!$D$15,0,INT(($A87-'SLOT_RULES'!$D$15-1)/'SLOT_RULES'!$E$15)+1)*'SLOT_RULES'!$E$15</f>
        <v/>
      </c>
      <c r="Q87" s="158">
        <f>MIN(E87:P87)-A87</f>
        <v/>
      </c>
      <c r="R87" s="158">
        <f>MAX(E87:P87)-A87</f>
        <v/>
      </c>
      <c r="S87" s="86">
        <f>IF(AND(COUNT(E87:P87)=10,MIN(E87:P87)&gt;=A87),"PASS","FAIL")</f>
        <v/>
      </c>
      <c r="T87" s="86">
        <f>IF((COUNTIF('LOCAL_REFERENCE'!$D87:$O87,E87)+COUNTIF('LOCAL_REFERENCE'!$D87:$O87,H87)+COUNTIF('LOCAL_REFERENCE'!$D87:$O87,I87)+COUNTIF('LOCAL_REFERENCE'!$D87:$O87,J87)+COUNTIF('LOCAL_REFERENCE'!$D87:$O87,K87)+COUNTIF('LOCAL_REFERENCE'!$D87:$O87,L87)+COUNTIF('LOCAL_REFERENCE'!$D87:$O87,M87)+COUNTIF('LOCAL_REFERENCE'!$D87:$O87,N87)+COUNTIF('LOCAL_REFERENCE'!$D87:$O87,O87)+COUNTIF('LOCAL_REFERENCE'!$D87:$O87,P87))=0,"PASS","FAIL")</f>
        <v/>
      </c>
      <c r="U87" s="86">
        <f>IF((COUNTIF('VPS_REFERENCE'!$D87:$H87,E87)+COUNTIF('VPS_REFERENCE'!$D87:$H87,H87)+COUNTIF('VPS_REFERENCE'!$D87:$H87,I87)+COUNTIF('VPS_REFERENCE'!$D87:$H87,J87)+COUNTIF('VPS_REFERENCE'!$D87:$H87,K87)+COUNTIF('VPS_REFERENCE'!$D87:$H87,L87)+COUNTIF('VPS_REFERENCE'!$D87:$H87,M87)+COUNTIF('VPS_REFERENCE'!$D87:$H87,N87)+COUNTIF('VPS_REFERENCE'!$D87:$H87,O87)+COUNTIF('VPS_REFERENCE'!$D87:$H87,P87))=0,"PASS","FAIL")</f>
        <v/>
      </c>
      <c r="V87" s="86">
        <f>IF(OR(E87=H87,E87=I87,E87=J87,E87=K87,E87=L87,E87=M87,E87=N87,E87=O87,E87=P87,H87=I87,H87=J87,H87=K87,H87=L87,H87=M87,H87=N87,H87=O87,H87=P87,I87=J87,I87=K87,I87=L87,I87=M87,I87=N87,I87=O87,I87=P87,J87=K87,J87=L87,J87=M87,J87=N87,J87=O87,J87=P87,K87=L87,K87=M87,K87=N87,K87=O87,K87=P87,L87=M87,L87=N87,L87=O87,L87=P87,M87=N87,M87=O87,M87=P87,N87=O87,N87=P87,O87=P87),"FAIL","PASS")</f>
        <v/>
      </c>
      <c r="W87" s="87">
        <f>'CRAWL_LOG'!B87</f>
        <v/>
      </c>
      <c r="X87" s="95" t="inlineStr">
        <is>
          <t>10-slot panel: 7 near + 3 far; AN2/AN3 inactive from 03/09</t>
        </is>
      </c>
    </row>
    <row r="88">
      <c r="A88" s="155" t="n">
        <v>46351</v>
      </c>
      <c r="B88" s="83" t="inlineStr">
        <is>
          <t>Thứ Tư</t>
        </is>
      </c>
      <c r="C88" s="83" t="inlineStr">
        <is>
          <t>Official</t>
        </is>
      </c>
      <c r="D88" s="83" t="inlineStr">
        <is>
          <t>00:30</t>
        </is>
      </c>
      <c r="E88" s="156">
        <f>'SLOT_RULES'!$D$4+IF($A88&lt;='SLOT_RULES'!$D$4,0,INT(($A88-'SLOT_RULES'!$D$4-1)/'SLOT_RULES'!$E$4)+1)*'SLOT_RULES'!$E$4</f>
        <v/>
      </c>
      <c r="F88" s="157" t="n"/>
      <c r="G88" s="157" t="n"/>
      <c r="H88" s="156">
        <f>'SLOT_RULES'!$D$7+IF($A88&lt;='SLOT_RULES'!$D$7,0,INT(($A88-'SLOT_RULES'!$D$7-1)/'SLOT_RULES'!$E$7)+1)*'SLOT_RULES'!$E$7</f>
        <v/>
      </c>
      <c r="I88" s="156">
        <f>'SLOT_RULES'!$D$8+IF($A88&lt;='SLOT_RULES'!$D$8,0,INT(($A88-'SLOT_RULES'!$D$8-1)/'SLOT_RULES'!$E$8)+1)*'SLOT_RULES'!$E$8</f>
        <v/>
      </c>
      <c r="J88" s="156">
        <f>'SLOT_RULES'!$D$9+IF($A88&lt;='SLOT_RULES'!$D$9,0,INT(($A88-'SLOT_RULES'!$D$9-1)/'SLOT_RULES'!$E$9)+1)*'SLOT_RULES'!$E$9</f>
        <v/>
      </c>
      <c r="K88" s="156">
        <f>'SLOT_RULES'!$D$10+IF($A88&lt;='SLOT_RULES'!$D$10,0,INT(($A88-'SLOT_RULES'!$D$10-1)/'SLOT_RULES'!$E$10)+1)*'SLOT_RULES'!$E$10</f>
        <v/>
      </c>
      <c r="L88" s="156">
        <f>'SLOT_RULES'!$D$11+IF($A88&lt;='SLOT_RULES'!$D$11,0,INT(($A88-'SLOT_RULES'!$D$11-1)/'SLOT_RULES'!$E$11)+1)*'SLOT_RULES'!$E$11</f>
        <v/>
      </c>
      <c r="M88" s="156">
        <f>'SLOT_RULES'!$D$12+IF($A88&lt;='SLOT_RULES'!$D$12,0,INT(($A88-'SLOT_RULES'!$D$12-1)/'SLOT_RULES'!$E$12)+1)*'SLOT_RULES'!$E$12</f>
        <v/>
      </c>
      <c r="N88" s="156">
        <f>'SLOT_RULES'!$D$13+IF($A88&lt;='SLOT_RULES'!$D$13,0,INT(($A88-'SLOT_RULES'!$D$13-1)/'SLOT_RULES'!$E$13)+1)*'SLOT_RULES'!$E$13</f>
        <v/>
      </c>
      <c r="O88" s="156">
        <f>'SLOT_RULES'!$D$14+IF($A88&lt;='SLOT_RULES'!$D$14,0,INT(($A88-'SLOT_RULES'!$D$14-1)/'SLOT_RULES'!$E$14)+1)*'SLOT_RULES'!$E$14</f>
        <v/>
      </c>
      <c r="P88" s="156">
        <f>'SLOT_RULES'!$D$15+IF($A88&lt;='SLOT_RULES'!$D$15,0,INT(($A88-'SLOT_RULES'!$D$15-1)/'SLOT_RULES'!$E$15)+1)*'SLOT_RULES'!$E$15</f>
        <v/>
      </c>
      <c r="Q88" s="158">
        <f>MIN(E88:P88)-A88</f>
        <v/>
      </c>
      <c r="R88" s="158">
        <f>MAX(E88:P88)-A88</f>
        <v/>
      </c>
      <c r="S88" s="86">
        <f>IF(AND(COUNT(E88:P88)=10,MIN(E88:P88)&gt;=A88),"PASS","FAIL")</f>
        <v/>
      </c>
      <c r="T88" s="86">
        <f>IF((COUNTIF('LOCAL_REFERENCE'!$D88:$O88,E88)+COUNTIF('LOCAL_REFERENCE'!$D88:$O88,H88)+COUNTIF('LOCAL_REFERENCE'!$D88:$O88,I88)+COUNTIF('LOCAL_REFERENCE'!$D88:$O88,J88)+COUNTIF('LOCAL_REFERENCE'!$D88:$O88,K88)+COUNTIF('LOCAL_REFERENCE'!$D88:$O88,L88)+COUNTIF('LOCAL_REFERENCE'!$D88:$O88,M88)+COUNTIF('LOCAL_REFERENCE'!$D88:$O88,N88)+COUNTIF('LOCAL_REFERENCE'!$D88:$O88,O88)+COUNTIF('LOCAL_REFERENCE'!$D88:$O88,P88))=0,"PASS","FAIL")</f>
        <v/>
      </c>
      <c r="U88" s="86">
        <f>IF((COUNTIF('VPS_REFERENCE'!$D88:$H88,E88)+COUNTIF('VPS_REFERENCE'!$D88:$H88,H88)+COUNTIF('VPS_REFERENCE'!$D88:$H88,I88)+COUNTIF('VPS_REFERENCE'!$D88:$H88,J88)+COUNTIF('VPS_REFERENCE'!$D88:$H88,K88)+COUNTIF('VPS_REFERENCE'!$D88:$H88,L88)+COUNTIF('VPS_REFERENCE'!$D88:$H88,M88)+COUNTIF('VPS_REFERENCE'!$D88:$H88,N88)+COUNTIF('VPS_REFERENCE'!$D88:$H88,O88)+COUNTIF('VPS_REFERENCE'!$D88:$H88,P88))=0,"PASS","FAIL")</f>
        <v/>
      </c>
      <c r="V88" s="86">
        <f>IF(OR(E88=H88,E88=I88,E88=J88,E88=K88,E88=L88,E88=M88,E88=N88,E88=O88,E88=P88,H88=I88,H88=J88,H88=K88,H88=L88,H88=M88,H88=N88,H88=O88,H88=P88,I88=J88,I88=K88,I88=L88,I88=M88,I88=N88,I88=O88,I88=P88,J88=K88,J88=L88,J88=M88,J88=N88,J88=O88,J88=P88,K88=L88,K88=M88,K88=N88,K88=O88,K88=P88,L88=M88,L88=N88,L88=O88,L88=P88,M88=N88,M88=O88,M88=P88,N88=O88,N88=P88,O88=P88),"FAIL","PASS")</f>
        <v/>
      </c>
      <c r="W88" s="87">
        <f>'CRAWL_LOG'!B88</f>
        <v/>
      </c>
      <c r="X88" s="95" t="inlineStr">
        <is>
          <t>10-slot panel: 7 near + 3 far; AN2/AN3 inactive from 03/09</t>
        </is>
      </c>
    </row>
    <row r="89">
      <c r="A89" s="155" t="n">
        <v>46352</v>
      </c>
      <c r="B89" s="83" t="inlineStr">
        <is>
          <t>Thứ Năm</t>
        </is>
      </c>
      <c r="C89" s="83" t="inlineStr">
        <is>
          <t>Official</t>
        </is>
      </c>
      <c r="D89" s="83" t="inlineStr">
        <is>
          <t>00:30</t>
        </is>
      </c>
      <c r="E89" s="156">
        <f>'SLOT_RULES'!$D$4+IF($A89&lt;='SLOT_RULES'!$D$4,0,INT(($A89-'SLOT_RULES'!$D$4-1)/'SLOT_RULES'!$E$4)+1)*'SLOT_RULES'!$E$4</f>
        <v/>
      </c>
      <c r="F89" s="157" t="n"/>
      <c r="G89" s="157" t="n"/>
      <c r="H89" s="156">
        <f>'SLOT_RULES'!$D$7+IF($A89&lt;='SLOT_RULES'!$D$7,0,INT(($A89-'SLOT_RULES'!$D$7-1)/'SLOT_RULES'!$E$7)+1)*'SLOT_RULES'!$E$7</f>
        <v/>
      </c>
      <c r="I89" s="156">
        <f>'SLOT_RULES'!$D$8+IF($A89&lt;='SLOT_RULES'!$D$8,0,INT(($A89-'SLOT_RULES'!$D$8-1)/'SLOT_RULES'!$E$8)+1)*'SLOT_RULES'!$E$8</f>
        <v/>
      </c>
      <c r="J89" s="156">
        <f>'SLOT_RULES'!$D$9+IF($A89&lt;='SLOT_RULES'!$D$9,0,INT(($A89-'SLOT_RULES'!$D$9-1)/'SLOT_RULES'!$E$9)+1)*'SLOT_RULES'!$E$9</f>
        <v/>
      </c>
      <c r="K89" s="156">
        <f>'SLOT_RULES'!$D$10+IF($A89&lt;='SLOT_RULES'!$D$10,0,INT(($A89-'SLOT_RULES'!$D$10-1)/'SLOT_RULES'!$E$10)+1)*'SLOT_RULES'!$E$10</f>
        <v/>
      </c>
      <c r="L89" s="156">
        <f>'SLOT_RULES'!$D$11+IF($A89&lt;='SLOT_RULES'!$D$11,0,INT(($A89-'SLOT_RULES'!$D$11-1)/'SLOT_RULES'!$E$11)+1)*'SLOT_RULES'!$E$11</f>
        <v/>
      </c>
      <c r="M89" s="156">
        <f>'SLOT_RULES'!$D$12+IF($A89&lt;='SLOT_RULES'!$D$12,0,INT(($A89-'SLOT_RULES'!$D$12-1)/'SLOT_RULES'!$E$12)+1)*'SLOT_RULES'!$E$12</f>
        <v/>
      </c>
      <c r="N89" s="156">
        <f>'SLOT_RULES'!$D$13+IF($A89&lt;='SLOT_RULES'!$D$13,0,INT(($A89-'SLOT_RULES'!$D$13-1)/'SLOT_RULES'!$E$13)+1)*'SLOT_RULES'!$E$13</f>
        <v/>
      </c>
      <c r="O89" s="156">
        <f>'SLOT_RULES'!$D$14+IF($A89&lt;='SLOT_RULES'!$D$14,0,INT(($A89-'SLOT_RULES'!$D$14-1)/'SLOT_RULES'!$E$14)+1)*'SLOT_RULES'!$E$14</f>
        <v/>
      </c>
      <c r="P89" s="156">
        <f>'SLOT_RULES'!$D$15+IF($A89&lt;='SLOT_RULES'!$D$15,0,INT(($A89-'SLOT_RULES'!$D$15-1)/'SLOT_RULES'!$E$15)+1)*'SLOT_RULES'!$E$15</f>
        <v/>
      </c>
      <c r="Q89" s="158">
        <f>MIN(E89:P89)-A89</f>
        <v/>
      </c>
      <c r="R89" s="158">
        <f>MAX(E89:P89)-A89</f>
        <v/>
      </c>
      <c r="S89" s="86">
        <f>IF(AND(COUNT(E89:P89)=10,MIN(E89:P89)&gt;=A89),"PASS","FAIL")</f>
        <v/>
      </c>
      <c r="T89" s="86">
        <f>IF((COUNTIF('LOCAL_REFERENCE'!$D89:$O89,E89)+COUNTIF('LOCAL_REFERENCE'!$D89:$O89,H89)+COUNTIF('LOCAL_REFERENCE'!$D89:$O89,I89)+COUNTIF('LOCAL_REFERENCE'!$D89:$O89,J89)+COUNTIF('LOCAL_REFERENCE'!$D89:$O89,K89)+COUNTIF('LOCAL_REFERENCE'!$D89:$O89,L89)+COUNTIF('LOCAL_REFERENCE'!$D89:$O89,M89)+COUNTIF('LOCAL_REFERENCE'!$D89:$O89,N89)+COUNTIF('LOCAL_REFERENCE'!$D89:$O89,O89)+COUNTIF('LOCAL_REFERENCE'!$D89:$O89,P89))=0,"PASS","FAIL")</f>
        <v/>
      </c>
      <c r="U89" s="86">
        <f>IF((COUNTIF('VPS_REFERENCE'!$D89:$H89,E89)+COUNTIF('VPS_REFERENCE'!$D89:$H89,H89)+COUNTIF('VPS_REFERENCE'!$D89:$H89,I89)+COUNTIF('VPS_REFERENCE'!$D89:$H89,J89)+COUNTIF('VPS_REFERENCE'!$D89:$H89,K89)+COUNTIF('VPS_REFERENCE'!$D89:$H89,L89)+COUNTIF('VPS_REFERENCE'!$D89:$H89,M89)+COUNTIF('VPS_REFERENCE'!$D89:$H89,N89)+COUNTIF('VPS_REFERENCE'!$D89:$H89,O89)+COUNTIF('VPS_REFERENCE'!$D89:$H89,P89))=0,"PASS","FAIL")</f>
        <v/>
      </c>
      <c r="V89" s="86">
        <f>IF(OR(E89=H89,E89=I89,E89=J89,E89=K89,E89=L89,E89=M89,E89=N89,E89=O89,E89=P89,H89=I89,H89=J89,H89=K89,H89=L89,H89=M89,H89=N89,H89=O89,H89=P89,I89=J89,I89=K89,I89=L89,I89=M89,I89=N89,I89=O89,I89=P89,J89=K89,J89=L89,J89=M89,J89=N89,J89=O89,J89=P89,K89=L89,K89=M89,K89=N89,K89=O89,K89=P89,L89=M89,L89=N89,L89=O89,L89=P89,M89=N89,M89=O89,M89=P89,N89=O89,N89=P89,O89=P89),"FAIL","PASS")</f>
        <v/>
      </c>
      <c r="W89" s="87">
        <f>'CRAWL_LOG'!B89</f>
        <v/>
      </c>
      <c r="X89" s="95" t="inlineStr">
        <is>
          <t>10-slot panel: 7 near + 3 far; AN2/AN3 inactive from 03/09</t>
        </is>
      </c>
    </row>
    <row r="90">
      <c r="A90" s="155" t="n">
        <v>46353</v>
      </c>
      <c r="B90" s="83" t="inlineStr">
        <is>
          <t>Thứ Sáu</t>
        </is>
      </c>
      <c r="C90" s="83" t="inlineStr">
        <is>
          <t>Official</t>
        </is>
      </c>
      <c r="D90" s="83" t="inlineStr">
        <is>
          <t>00:30</t>
        </is>
      </c>
      <c r="E90" s="156">
        <f>'SLOT_RULES'!$D$4+IF($A90&lt;='SLOT_RULES'!$D$4,0,INT(($A90-'SLOT_RULES'!$D$4-1)/'SLOT_RULES'!$E$4)+1)*'SLOT_RULES'!$E$4</f>
        <v/>
      </c>
      <c r="F90" s="157" t="n"/>
      <c r="G90" s="157" t="n"/>
      <c r="H90" s="156">
        <f>'SLOT_RULES'!$D$7+IF($A90&lt;='SLOT_RULES'!$D$7,0,INT(($A90-'SLOT_RULES'!$D$7-1)/'SLOT_RULES'!$E$7)+1)*'SLOT_RULES'!$E$7</f>
        <v/>
      </c>
      <c r="I90" s="156">
        <f>'SLOT_RULES'!$D$8+IF($A90&lt;='SLOT_RULES'!$D$8,0,INT(($A90-'SLOT_RULES'!$D$8-1)/'SLOT_RULES'!$E$8)+1)*'SLOT_RULES'!$E$8</f>
        <v/>
      </c>
      <c r="J90" s="156">
        <f>'SLOT_RULES'!$D$9+IF($A90&lt;='SLOT_RULES'!$D$9,0,INT(($A90-'SLOT_RULES'!$D$9-1)/'SLOT_RULES'!$E$9)+1)*'SLOT_RULES'!$E$9</f>
        <v/>
      </c>
      <c r="K90" s="156">
        <f>'SLOT_RULES'!$D$10+IF($A90&lt;='SLOT_RULES'!$D$10,0,INT(($A90-'SLOT_RULES'!$D$10-1)/'SLOT_RULES'!$E$10)+1)*'SLOT_RULES'!$E$10</f>
        <v/>
      </c>
      <c r="L90" s="156">
        <f>'SLOT_RULES'!$D$11+IF($A90&lt;='SLOT_RULES'!$D$11,0,INT(($A90-'SLOT_RULES'!$D$11-1)/'SLOT_RULES'!$E$11)+1)*'SLOT_RULES'!$E$11</f>
        <v/>
      </c>
      <c r="M90" s="156">
        <f>'SLOT_RULES'!$D$12+IF($A90&lt;='SLOT_RULES'!$D$12,0,INT(($A90-'SLOT_RULES'!$D$12-1)/'SLOT_RULES'!$E$12)+1)*'SLOT_RULES'!$E$12</f>
        <v/>
      </c>
      <c r="N90" s="156">
        <f>'SLOT_RULES'!$D$13+IF($A90&lt;='SLOT_RULES'!$D$13,0,INT(($A90-'SLOT_RULES'!$D$13-1)/'SLOT_RULES'!$E$13)+1)*'SLOT_RULES'!$E$13</f>
        <v/>
      </c>
      <c r="O90" s="156">
        <f>'SLOT_RULES'!$D$14+IF($A90&lt;='SLOT_RULES'!$D$14,0,INT(($A90-'SLOT_RULES'!$D$14-1)/'SLOT_RULES'!$E$14)+1)*'SLOT_RULES'!$E$14</f>
        <v/>
      </c>
      <c r="P90" s="156">
        <f>'SLOT_RULES'!$D$15+IF($A90&lt;='SLOT_RULES'!$D$15,0,INT(($A90-'SLOT_RULES'!$D$15-1)/'SLOT_RULES'!$E$15)+1)*'SLOT_RULES'!$E$15</f>
        <v/>
      </c>
      <c r="Q90" s="158">
        <f>MIN(E90:P90)-A90</f>
        <v/>
      </c>
      <c r="R90" s="158">
        <f>MAX(E90:P90)-A90</f>
        <v/>
      </c>
      <c r="S90" s="86">
        <f>IF(AND(COUNT(E90:P90)=10,MIN(E90:P90)&gt;=A90),"PASS","FAIL")</f>
        <v/>
      </c>
      <c r="T90" s="86">
        <f>IF((COUNTIF('LOCAL_REFERENCE'!$D90:$O90,E90)+COUNTIF('LOCAL_REFERENCE'!$D90:$O90,H90)+COUNTIF('LOCAL_REFERENCE'!$D90:$O90,I90)+COUNTIF('LOCAL_REFERENCE'!$D90:$O90,J90)+COUNTIF('LOCAL_REFERENCE'!$D90:$O90,K90)+COUNTIF('LOCAL_REFERENCE'!$D90:$O90,L90)+COUNTIF('LOCAL_REFERENCE'!$D90:$O90,M90)+COUNTIF('LOCAL_REFERENCE'!$D90:$O90,N90)+COUNTIF('LOCAL_REFERENCE'!$D90:$O90,O90)+COUNTIF('LOCAL_REFERENCE'!$D90:$O90,P90))=0,"PASS","FAIL")</f>
        <v/>
      </c>
      <c r="U90" s="86">
        <f>IF((COUNTIF('VPS_REFERENCE'!$D90:$H90,E90)+COUNTIF('VPS_REFERENCE'!$D90:$H90,H90)+COUNTIF('VPS_REFERENCE'!$D90:$H90,I90)+COUNTIF('VPS_REFERENCE'!$D90:$H90,J90)+COUNTIF('VPS_REFERENCE'!$D90:$H90,K90)+COUNTIF('VPS_REFERENCE'!$D90:$H90,L90)+COUNTIF('VPS_REFERENCE'!$D90:$H90,M90)+COUNTIF('VPS_REFERENCE'!$D90:$H90,N90)+COUNTIF('VPS_REFERENCE'!$D90:$H90,O90)+COUNTIF('VPS_REFERENCE'!$D90:$H90,P90))=0,"PASS","FAIL")</f>
        <v/>
      </c>
      <c r="V90" s="86">
        <f>IF(OR(E90=H90,E90=I90,E90=J90,E90=K90,E90=L90,E90=M90,E90=N90,E90=O90,E90=P90,H90=I90,H90=J90,H90=K90,H90=L90,H90=M90,H90=N90,H90=O90,H90=P90,I90=J90,I90=K90,I90=L90,I90=M90,I90=N90,I90=O90,I90=P90,J90=K90,J90=L90,J90=M90,J90=N90,J90=O90,J90=P90,K90=L90,K90=M90,K90=N90,K90=O90,K90=P90,L90=M90,L90=N90,L90=O90,L90=P90,M90=N90,M90=O90,M90=P90,N90=O90,N90=P90,O90=P90),"FAIL","PASS")</f>
        <v/>
      </c>
      <c r="W90" s="87">
        <f>'CRAWL_LOG'!B90</f>
        <v/>
      </c>
      <c r="X90" s="95" t="inlineStr">
        <is>
          <t>10-slot panel: 7 near + 3 far; AN2/AN3 inactive from 03/09</t>
        </is>
      </c>
    </row>
    <row r="91">
      <c r="A91" s="155" t="n">
        <v>46354</v>
      </c>
      <c r="B91" s="83" t="inlineStr">
        <is>
          <t>Thứ Bảy</t>
        </is>
      </c>
      <c r="C91" s="83" t="inlineStr">
        <is>
          <t>Official</t>
        </is>
      </c>
      <c r="D91" s="83" t="inlineStr">
        <is>
          <t>00:30</t>
        </is>
      </c>
      <c r="E91" s="156">
        <f>'SLOT_RULES'!$D$4+IF($A91&lt;='SLOT_RULES'!$D$4,0,INT(($A91-'SLOT_RULES'!$D$4-1)/'SLOT_RULES'!$E$4)+1)*'SLOT_RULES'!$E$4</f>
        <v/>
      </c>
      <c r="F91" s="157" t="n"/>
      <c r="G91" s="157" t="n"/>
      <c r="H91" s="156">
        <f>'SLOT_RULES'!$D$7+IF($A91&lt;='SLOT_RULES'!$D$7,0,INT(($A91-'SLOT_RULES'!$D$7-1)/'SLOT_RULES'!$E$7)+1)*'SLOT_RULES'!$E$7</f>
        <v/>
      </c>
      <c r="I91" s="156">
        <f>'SLOT_RULES'!$D$8+IF($A91&lt;='SLOT_RULES'!$D$8,0,INT(($A91-'SLOT_RULES'!$D$8-1)/'SLOT_RULES'!$E$8)+1)*'SLOT_RULES'!$E$8</f>
        <v/>
      </c>
      <c r="J91" s="156">
        <f>'SLOT_RULES'!$D$9+IF($A91&lt;='SLOT_RULES'!$D$9,0,INT(($A91-'SLOT_RULES'!$D$9-1)/'SLOT_RULES'!$E$9)+1)*'SLOT_RULES'!$E$9</f>
        <v/>
      </c>
      <c r="K91" s="156">
        <f>'SLOT_RULES'!$D$10+IF($A91&lt;='SLOT_RULES'!$D$10,0,INT(($A91-'SLOT_RULES'!$D$10-1)/'SLOT_RULES'!$E$10)+1)*'SLOT_RULES'!$E$10</f>
        <v/>
      </c>
      <c r="L91" s="156">
        <f>'SLOT_RULES'!$D$11+IF($A91&lt;='SLOT_RULES'!$D$11,0,INT(($A91-'SLOT_RULES'!$D$11-1)/'SLOT_RULES'!$E$11)+1)*'SLOT_RULES'!$E$11</f>
        <v/>
      </c>
      <c r="M91" s="156">
        <f>'SLOT_RULES'!$D$12+IF($A91&lt;='SLOT_RULES'!$D$12,0,INT(($A91-'SLOT_RULES'!$D$12-1)/'SLOT_RULES'!$E$12)+1)*'SLOT_RULES'!$E$12</f>
        <v/>
      </c>
      <c r="N91" s="156">
        <f>'SLOT_RULES'!$D$13+IF($A91&lt;='SLOT_RULES'!$D$13,0,INT(($A91-'SLOT_RULES'!$D$13-1)/'SLOT_RULES'!$E$13)+1)*'SLOT_RULES'!$E$13</f>
        <v/>
      </c>
      <c r="O91" s="156">
        <f>'SLOT_RULES'!$D$14+IF($A91&lt;='SLOT_RULES'!$D$14,0,INT(($A91-'SLOT_RULES'!$D$14-1)/'SLOT_RULES'!$E$14)+1)*'SLOT_RULES'!$E$14</f>
        <v/>
      </c>
      <c r="P91" s="156">
        <f>'SLOT_RULES'!$D$15+IF($A91&lt;='SLOT_RULES'!$D$15,0,INT(($A91-'SLOT_RULES'!$D$15-1)/'SLOT_RULES'!$E$15)+1)*'SLOT_RULES'!$E$15</f>
        <v/>
      </c>
      <c r="Q91" s="158">
        <f>MIN(E91:P91)-A91</f>
        <v/>
      </c>
      <c r="R91" s="158">
        <f>MAX(E91:P91)-A91</f>
        <v/>
      </c>
      <c r="S91" s="86">
        <f>IF(AND(COUNT(E91:P91)=10,MIN(E91:P91)&gt;=A91),"PASS","FAIL")</f>
        <v/>
      </c>
      <c r="T91" s="86">
        <f>IF((COUNTIF('LOCAL_REFERENCE'!$D91:$O91,E91)+COUNTIF('LOCAL_REFERENCE'!$D91:$O91,H91)+COUNTIF('LOCAL_REFERENCE'!$D91:$O91,I91)+COUNTIF('LOCAL_REFERENCE'!$D91:$O91,J91)+COUNTIF('LOCAL_REFERENCE'!$D91:$O91,K91)+COUNTIF('LOCAL_REFERENCE'!$D91:$O91,L91)+COUNTIF('LOCAL_REFERENCE'!$D91:$O91,M91)+COUNTIF('LOCAL_REFERENCE'!$D91:$O91,N91)+COUNTIF('LOCAL_REFERENCE'!$D91:$O91,O91)+COUNTIF('LOCAL_REFERENCE'!$D91:$O91,P91))=0,"PASS","FAIL")</f>
        <v/>
      </c>
      <c r="U91" s="86">
        <f>IF((COUNTIF('VPS_REFERENCE'!$D91:$H91,E91)+COUNTIF('VPS_REFERENCE'!$D91:$H91,H91)+COUNTIF('VPS_REFERENCE'!$D91:$H91,I91)+COUNTIF('VPS_REFERENCE'!$D91:$H91,J91)+COUNTIF('VPS_REFERENCE'!$D91:$H91,K91)+COUNTIF('VPS_REFERENCE'!$D91:$H91,L91)+COUNTIF('VPS_REFERENCE'!$D91:$H91,M91)+COUNTIF('VPS_REFERENCE'!$D91:$H91,N91)+COUNTIF('VPS_REFERENCE'!$D91:$H91,O91)+COUNTIF('VPS_REFERENCE'!$D91:$H91,P91))=0,"PASS","FAIL")</f>
        <v/>
      </c>
      <c r="V91" s="86">
        <f>IF(OR(E91=H91,E91=I91,E91=J91,E91=K91,E91=L91,E91=M91,E91=N91,E91=O91,E91=P91,H91=I91,H91=J91,H91=K91,H91=L91,H91=M91,H91=N91,H91=O91,H91=P91,I91=J91,I91=K91,I91=L91,I91=M91,I91=N91,I91=O91,I91=P91,J91=K91,J91=L91,J91=M91,J91=N91,J91=O91,J91=P91,K91=L91,K91=M91,K91=N91,K91=O91,K91=P91,L91=M91,L91=N91,L91=O91,L91=P91,M91=N91,M91=O91,M91=P91,N91=O91,N91=P91,O91=P91),"FAIL","PASS")</f>
        <v/>
      </c>
      <c r="W91" s="87">
        <f>'CRAWL_LOG'!B91</f>
        <v/>
      </c>
      <c r="X91" s="95" t="inlineStr">
        <is>
          <t>10-slot panel: 7 near + 3 far; AN2/AN3 inactive from 03/09</t>
        </is>
      </c>
    </row>
    <row r="92">
      <c r="A92" s="155" t="n">
        <v>46355</v>
      </c>
      <c r="B92" s="83" t="inlineStr">
        <is>
          <t>Chủ Nhật</t>
        </is>
      </c>
      <c r="C92" s="83" t="inlineStr">
        <is>
          <t>Official</t>
        </is>
      </c>
      <c r="D92" s="83" t="inlineStr">
        <is>
          <t>00:30</t>
        </is>
      </c>
      <c r="E92" s="156">
        <f>'SLOT_RULES'!$D$4+IF($A92&lt;='SLOT_RULES'!$D$4,0,INT(($A92-'SLOT_RULES'!$D$4-1)/'SLOT_RULES'!$E$4)+1)*'SLOT_RULES'!$E$4</f>
        <v/>
      </c>
      <c r="F92" s="157" t="n"/>
      <c r="G92" s="157" t="n"/>
      <c r="H92" s="156">
        <f>'SLOT_RULES'!$D$7+IF($A92&lt;='SLOT_RULES'!$D$7,0,INT(($A92-'SLOT_RULES'!$D$7-1)/'SLOT_RULES'!$E$7)+1)*'SLOT_RULES'!$E$7</f>
        <v/>
      </c>
      <c r="I92" s="156">
        <f>'SLOT_RULES'!$D$8+IF($A92&lt;='SLOT_RULES'!$D$8,0,INT(($A92-'SLOT_RULES'!$D$8-1)/'SLOT_RULES'!$E$8)+1)*'SLOT_RULES'!$E$8</f>
        <v/>
      </c>
      <c r="J92" s="156">
        <f>'SLOT_RULES'!$D$9+IF($A92&lt;='SLOT_RULES'!$D$9,0,INT(($A92-'SLOT_RULES'!$D$9-1)/'SLOT_RULES'!$E$9)+1)*'SLOT_RULES'!$E$9</f>
        <v/>
      </c>
      <c r="K92" s="156">
        <f>'SLOT_RULES'!$D$10+IF($A92&lt;='SLOT_RULES'!$D$10,0,INT(($A92-'SLOT_RULES'!$D$10-1)/'SLOT_RULES'!$E$10)+1)*'SLOT_RULES'!$E$10</f>
        <v/>
      </c>
      <c r="L92" s="156">
        <f>'SLOT_RULES'!$D$11+IF($A92&lt;='SLOT_RULES'!$D$11,0,INT(($A92-'SLOT_RULES'!$D$11-1)/'SLOT_RULES'!$E$11)+1)*'SLOT_RULES'!$E$11</f>
        <v/>
      </c>
      <c r="M92" s="156">
        <f>'SLOT_RULES'!$D$12+IF($A92&lt;='SLOT_RULES'!$D$12,0,INT(($A92-'SLOT_RULES'!$D$12-1)/'SLOT_RULES'!$E$12)+1)*'SLOT_RULES'!$E$12</f>
        <v/>
      </c>
      <c r="N92" s="156">
        <f>'SLOT_RULES'!$D$13+IF($A92&lt;='SLOT_RULES'!$D$13,0,INT(($A92-'SLOT_RULES'!$D$13-1)/'SLOT_RULES'!$E$13)+1)*'SLOT_RULES'!$E$13</f>
        <v/>
      </c>
      <c r="O92" s="156">
        <f>'SLOT_RULES'!$D$14+IF($A92&lt;='SLOT_RULES'!$D$14,0,INT(($A92-'SLOT_RULES'!$D$14-1)/'SLOT_RULES'!$E$14)+1)*'SLOT_RULES'!$E$14</f>
        <v/>
      </c>
      <c r="P92" s="156">
        <f>'SLOT_RULES'!$D$15+IF($A92&lt;='SLOT_RULES'!$D$15,0,INT(($A92-'SLOT_RULES'!$D$15-1)/'SLOT_RULES'!$E$15)+1)*'SLOT_RULES'!$E$15</f>
        <v/>
      </c>
      <c r="Q92" s="158">
        <f>MIN(E92:P92)-A92</f>
        <v/>
      </c>
      <c r="R92" s="158">
        <f>MAX(E92:P92)-A92</f>
        <v/>
      </c>
      <c r="S92" s="86">
        <f>IF(AND(COUNT(E92:P92)=10,MIN(E92:P92)&gt;=A92),"PASS","FAIL")</f>
        <v/>
      </c>
      <c r="T92" s="86">
        <f>IF((COUNTIF('LOCAL_REFERENCE'!$D92:$O92,E92)+COUNTIF('LOCAL_REFERENCE'!$D92:$O92,H92)+COUNTIF('LOCAL_REFERENCE'!$D92:$O92,I92)+COUNTIF('LOCAL_REFERENCE'!$D92:$O92,J92)+COUNTIF('LOCAL_REFERENCE'!$D92:$O92,K92)+COUNTIF('LOCAL_REFERENCE'!$D92:$O92,L92)+COUNTIF('LOCAL_REFERENCE'!$D92:$O92,M92)+COUNTIF('LOCAL_REFERENCE'!$D92:$O92,N92)+COUNTIF('LOCAL_REFERENCE'!$D92:$O92,O92)+COUNTIF('LOCAL_REFERENCE'!$D92:$O92,P92))=0,"PASS","FAIL")</f>
        <v/>
      </c>
      <c r="U92" s="86">
        <f>IF((COUNTIF('VPS_REFERENCE'!$D92:$H92,E92)+COUNTIF('VPS_REFERENCE'!$D92:$H92,H92)+COUNTIF('VPS_REFERENCE'!$D92:$H92,I92)+COUNTIF('VPS_REFERENCE'!$D92:$H92,J92)+COUNTIF('VPS_REFERENCE'!$D92:$H92,K92)+COUNTIF('VPS_REFERENCE'!$D92:$H92,L92)+COUNTIF('VPS_REFERENCE'!$D92:$H92,M92)+COUNTIF('VPS_REFERENCE'!$D92:$H92,N92)+COUNTIF('VPS_REFERENCE'!$D92:$H92,O92)+COUNTIF('VPS_REFERENCE'!$D92:$H92,P92))=0,"PASS","FAIL")</f>
        <v/>
      </c>
      <c r="V92" s="86">
        <f>IF(OR(E92=H92,E92=I92,E92=J92,E92=K92,E92=L92,E92=M92,E92=N92,E92=O92,E92=P92,H92=I92,H92=J92,H92=K92,H92=L92,H92=M92,H92=N92,H92=O92,H92=P92,I92=J92,I92=K92,I92=L92,I92=M92,I92=N92,I92=O92,I92=P92,J92=K92,J92=L92,J92=M92,J92=N92,J92=O92,J92=P92,K92=L92,K92=M92,K92=N92,K92=O92,K92=P92,L92=M92,L92=N92,L92=O92,L92=P92,M92=N92,M92=O92,M92=P92,N92=O92,N92=P92,O92=P92),"FAIL","PASS")</f>
        <v/>
      </c>
      <c r="W92" s="87">
        <f>'CRAWL_LOG'!B92</f>
        <v/>
      </c>
      <c r="X92" s="95" t="inlineStr">
        <is>
          <t>10-slot panel: 7 near + 3 far; AN2/AN3 inactive from 03/09</t>
        </is>
      </c>
    </row>
    <row r="93">
      <c r="A93" s="159" t="n">
        <v>46356</v>
      </c>
      <c r="B93" s="89" t="inlineStr">
        <is>
          <t>Thứ Hai</t>
        </is>
      </c>
      <c r="C93" s="89" t="inlineStr">
        <is>
          <t>Official</t>
        </is>
      </c>
      <c r="D93" s="89" t="inlineStr">
        <is>
          <t>00:30</t>
        </is>
      </c>
      <c r="E93" s="160">
        <f>'SLOT_RULES'!$D$4+IF($A93&lt;='SLOT_RULES'!$D$4,0,INT(($A93-'SLOT_RULES'!$D$4-1)/'SLOT_RULES'!$E$4)+1)*'SLOT_RULES'!$E$4</f>
        <v/>
      </c>
      <c r="F93" s="161" t="n"/>
      <c r="G93" s="161" t="n"/>
      <c r="H93" s="160">
        <f>'SLOT_RULES'!$D$7+IF($A93&lt;='SLOT_RULES'!$D$7,0,INT(($A93-'SLOT_RULES'!$D$7-1)/'SLOT_RULES'!$E$7)+1)*'SLOT_RULES'!$E$7</f>
        <v/>
      </c>
      <c r="I93" s="160">
        <f>'SLOT_RULES'!$D$8+IF($A93&lt;='SLOT_RULES'!$D$8,0,INT(($A93-'SLOT_RULES'!$D$8-1)/'SLOT_RULES'!$E$8)+1)*'SLOT_RULES'!$E$8</f>
        <v/>
      </c>
      <c r="J93" s="160">
        <f>'SLOT_RULES'!$D$9+IF($A93&lt;='SLOT_RULES'!$D$9,0,INT(($A93-'SLOT_RULES'!$D$9-1)/'SLOT_RULES'!$E$9)+1)*'SLOT_RULES'!$E$9</f>
        <v/>
      </c>
      <c r="K93" s="160">
        <f>'SLOT_RULES'!$D$10+IF($A93&lt;='SLOT_RULES'!$D$10,0,INT(($A93-'SLOT_RULES'!$D$10-1)/'SLOT_RULES'!$E$10)+1)*'SLOT_RULES'!$E$10</f>
        <v/>
      </c>
      <c r="L93" s="160">
        <f>'SLOT_RULES'!$D$11+IF($A93&lt;='SLOT_RULES'!$D$11,0,INT(($A93-'SLOT_RULES'!$D$11-1)/'SLOT_RULES'!$E$11)+1)*'SLOT_RULES'!$E$11</f>
        <v/>
      </c>
      <c r="M93" s="160">
        <f>'SLOT_RULES'!$D$12+IF($A93&lt;='SLOT_RULES'!$D$12,0,INT(($A93-'SLOT_RULES'!$D$12-1)/'SLOT_RULES'!$E$12)+1)*'SLOT_RULES'!$E$12</f>
        <v/>
      </c>
      <c r="N93" s="160">
        <f>'SLOT_RULES'!$D$13+IF($A93&lt;='SLOT_RULES'!$D$13,0,INT(($A93-'SLOT_RULES'!$D$13-1)/'SLOT_RULES'!$E$13)+1)*'SLOT_RULES'!$E$13</f>
        <v/>
      </c>
      <c r="O93" s="160">
        <f>'SLOT_RULES'!$D$14+IF($A93&lt;='SLOT_RULES'!$D$14,0,INT(($A93-'SLOT_RULES'!$D$14-1)/'SLOT_RULES'!$E$14)+1)*'SLOT_RULES'!$E$14</f>
        <v/>
      </c>
      <c r="P93" s="160">
        <f>'SLOT_RULES'!$D$15+IF($A93&lt;='SLOT_RULES'!$D$15,0,INT(($A93-'SLOT_RULES'!$D$15-1)/'SLOT_RULES'!$E$15)+1)*'SLOT_RULES'!$E$15</f>
        <v/>
      </c>
      <c r="Q93" s="162">
        <f>MIN(E93:P93)-A93</f>
        <v/>
      </c>
      <c r="R93" s="162">
        <f>MAX(E93:P93)-A93</f>
        <v/>
      </c>
      <c r="S93" s="92">
        <f>IF(AND(COUNT(E93:P93)=10,MIN(E93:P93)&gt;=A93),"PASS","FAIL")</f>
        <v/>
      </c>
      <c r="T93" s="92">
        <f>IF((COUNTIF('LOCAL_REFERENCE'!$D93:$O93,E93)+COUNTIF('LOCAL_REFERENCE'!$D93:$O93,H93)+COUNTIF('LOCAL_REFERENCE'!$D93:$O93,I93)+COUNTIF('LOCAL_REFERENCE'!$D93:$O93,J93)+COUNTIF('LOCAL_REFERENCE'!$D93:$O93,K93)+COUNTIF('LOCAL_REFERENCE'!$D93:$O93,L93)+COUNTIF('LOCAL_REFERENCE'!$D93:$O93,M93)+COUNTIF('LOCAL_REFERENCE'!$D93:$O93,N93)+COUNTIF('LOCAL_REFERENCE'!$D93:$O93,O93)+COUNTIF('LOCAL_REFERENCE'!$D93:$O93,P93))=0,"PASS","FAIL")</f>
        <v/>
      </c>
      <c r="U93" s="92">
        <f>IF((COUNTIF('VPS_REFERENCE'!$D93:$H93,E93)+COUNTIF('VPS_REFERENCE'!$D93:$H93,H93)+COUNTIF('VPS_REFERENCE'!$D93:$H93,I93)+COUNTIF('VPS_REFERENCE'!$D93:$H93,J93)+COUNTIF('VPS_REFERENCE'!$D93:$H93,K93)+COUNTIF('VPS_REFERENCE'!$D93:$H93,L93)+COUNTIF('VPS_REFERENCE'!$D93:$H93,M93)+COUNTIF('VPS_REFERENCE'!$D93:$H93,N93)+COUNTIF('VPS_REFERENCE'!$D93:$H93,O93)+COUNTIF('VPS_REFERENCE'!$D93:$H93,P93))=0,"PASS","FAIL")</f>
        <v/>
      </c>
      <c r="V93" s="92">
        <f>IF(OR(E93=H93,E93=I93,E93=J93,E93=K93,E93=L93,E93=M93,E93=N93,E93=O93,E93=P93,H93=I93,H93=J93,H93=K93,H93=L93,H93=M93,H93=N93,H93=O93,H93=P93,I93=J93,I93=K93,I93=L93,I93=M93,I93=N93,I93=O93,I93=P93,J93=K93,J93=L93,J93=M93,J93=N93,J93=O93,J93=P93,K93=L93,K93=M93,K93=N93,K93=O93,K93=P93,L93=M93,L93=N93,L93=O93,L93=P93,M93=N93,M93=O93,M93=P93,N93=O93,N93=P93,O93=P93),"FAIL","PASS")</f>
        <v/>
      </c>
      <c r="W93" s="93">
        <f>'CRAWL_LOG'!B93</f>
        <v/>
      </c>
      <c r="X93" s="96" t="inlineStr">
        <is>
          <t>10-slot panel: 7 near + 3 far; AN2/AN3 inactive from 03/09</t>
        </is>
      </c>
    </row>
  </sheetData>
  <mergeCells count="2">
    <mergeCell ref="A2:X2"/>
    <mergeCell ref="A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20" customWidth="1" min="4" max="4"/>
    <col width="20" customWidth="1" min="5" max="5"/>
    <col width="16" customWidth="1" min="6" max="6"/>
    <col width="14" customWidth="1" min="7" max="7"/>
    <col width="14" customWidth="1" min="8" max="8"/>
    <col width="12" customWidth="1" min="9" max="9"/>
    <col width="10" customWidth="1" min="10" max="10"/>
    <col width="12" customWidth="1" min="11" max="11"/>
    <col width="15" customWidth="1" min="12" max="12"/>
    <col width="10" customWidth="1" min="13" max="13"/>
    <col width="15" customWidth="1" min="14" max="14"/>
    <col width="14" customWidth="1" min="15" max="15"/>
    <col width="18" customWidth="1" min="16" max="16"/>
    <col width="48" customWidth="1" min="17" max="17"/>
  </cols>
  <sheetData>
    <row r="1" ht="30" customHeight="1">
      <c r="A1" s="3" t="inlineStr">
        <is>
          <t>AUX-LOCAL CRAWL LOG — MỖI NGÀY MỘT DÒNG</t>
        </is>
      </c>
    </row>
    <row r="2">
      <c r="A2" s="36" t="inlineStr">
        <is>
          <t>Ghi một dòng cho mỗi crawl date. Cohort v2 có 354 khách sạn: 02/09 dùng 12 check-in = 4.248 item; từ 03/09 dùng 10 check-in = 3.540 item. Không lưu HTML/ảnh nếu không cần audit.</t>
        </is>
      </c>
    </row>
    <row r="3" ht="30" customHeight="1">
      <c r="A3" s="9" t="inlineStr">
        <is>
          <t>Crawl date</t>
        </is>
      </c>
      <c r="B3" s="9" t="inlineStr">
        <is>
          <t>Status</t>
        </is>
      </c>
      <c r="C3" s="9" t="inlineStr">
        <is>
          <t>Run IDs</t>
        </is>
      </c>
      <c r="D3" s="9" t="inlineStr">
        <is>
          <t>Started at</t>
        </is>
      </c>
      <c r="E3" s="9" t="inlineStr">
        <is>
          <t>Finished at</t>
        </is>
      </c>
      <c r="F3" s="9" t="inlineStr">
        <is>
          <t>Duration (hours)</t>
        </is>
      </c>
      <c r="G3" s="9" t="inlineStr">
        <is>
          <t>Total items</t>
        </is>
      </c>
      <c r="H3" s="9" t="inlineStr">
        <is>
          <t>Processed</t>
        </is>
      </c>
      <c r="I3" s="9" t="inlineStr">
        <is>
          <t>Success</t>
        </is>
      </c>
      <c r="J3" s="9" t="inlineStr">
        <is>
          <t>Partial</t>
        </is>
      </c>
      <c r="K3" s="9" t="inlineStr">
        <is>
          <t>Sold out</t>
        </is>
      </c>
      <c r="L3" s="9" t="inlineStr">
        <is>
          <t>Not bookable</t>
        </is>
      </c>
      <c r="M3" s="9" t="inlineStr">
        <is>
          <t>Error</t>
        </is>
      </c>
      <c r="N3" s="9" t="inlineStr">
        <is>
          <t>Valid records</t>
        </is>
      </c>
      <c r="O3" s="9" t="inlineStr">
        <is>
          <t>Check-in count</t>
        </is>
      </c>
      <c r="P3" s="9" t="inlineStr">
        <is>
          <t>Environment</t>
        </is>
      </c>
      <c r="Q3" s="9" t="inlineStr">
        <is>
          <t>Notes</t>
        </is>
      </c>
    </row>
    <row r="4">
      <c r="A4" s="163" t="n">
        <v>46267</v>
      </c>
      <c r="B4" s="55" t="inlineStr">
        <is>
          <t>Hoàn thành có lỗi</t>
        </is>
      </c>
      <c r="C4" s="55" t="inlineStr">
        <is>
          <t>2</t>
        </is>
      </c>
      <c r="D4" s="164" t="n">
        <v>46267.04740740741</v>
      </c>
      <c r="E4" s="164" t="n">
        <v>46268.00603009259</v>
      </c>
      <c r="F4" s="165">
        <f>IF(AND(D4&lt;&gt;"",E4&lt;&gt;""),(E4-D4)*24,"")</f>
        <v/>
      </c>
      <c r="G4" s="166" t="n">
        <v>4260</v>
      </c>
      <c r="H4" s="166" t="n">
        <v>4260</v>
      </c>
      <c r="I4" s="166" t="n">
        <v>3862</v>
      </c>
      <c r="J4" s="166" t="n">
        <v>0</v>
      </c>
      <c r="K4" s="166" t="n">
        <v>314</v>
      </c>
      <c r="L4" s="166" t="n">
        <v>72</v>
      </c>
      <c r="M4" s="166" t="n">
        <v>12</v>
      </c>
      <c r="N4" s="166" t="n">
        <v>35737</v>
      </c>
      <c r="O4" s="166" t="n">
        <v>12</v>
      </c>
      <c r="P4" s="55" t="inlineStr">
        <is>
          <t>local_aux</t>
        </is>
      </c>
      <c r="Q4" s="55" t="inlineStr">
        <is>
          <t>Scheduled run 2 completed; aggregate recovered from local_aux DB</t>
        </is>
      </c>
    </row>
    <row r="5">
      <c r="A5" s="167" t="n">
        <v>46268</v>
      </c>
      <c r="B5" s="59" t="inlineStr">
        <is>
          <t>Thất bại</t>
        </is>
      </c>
      <c r="C5" s="59" t="n"/>
      <c r="D5" s="168" t="n"/>
      <c r="E5" s="168" t="n"/>
      <c r="F5" s="169">
        <f>IF(AND(D5&lt;&gt;"",E5&lt;&gt;""),(E5-D5)*24,"")</f>
        <v/>
      </c>
      <c r="G5" s="170" t="n"/>
      <c r="H5" s="170" t="n"/>
      <c r="I5" s="170" t="n"/>
      <c r="J5" s="170" t="n"/>
      <c r="K5" s="170" t="n"/>
      <c r="L5" s="170" t="n"/>
      <c r="M5" s="170" t="n"/>
      <c r="N5" s="170" t="n"/>
      <c r="O5" s="170" t="n">
        <v>10</v>
      </c>
      <c r="P5" s="59" t="inlineStr">
        <is>
          <t>local_aux</t>
        </is>
      </c>
      <c r="Q5" s="59" t="inlineStr">
        <is>
          <t>ValueError: Chỉ tạo run khi Status='Chưa chạy', hiện là 'Thất bại'</t>
        </is>
      </c>
    </row>
    <row r="6">
      <c r="A6" s="167" t="n">
        <v>46269</v>
      </c>
      <c r="B6" s="59" t="inlineStr">
        <is>
          <t>Chưa chạy</t>
        </is>
      </c>
      <c r="C6" s="59" t="n"/>
      <c r="D6" s="168" t="n"/>
      <c r="E6" s="168" t="n"/>
      <c r="F6" s="169">
        <f>IF(AND(D6&lt;&gt;"",E6&lt;&gt;""),(E6-D6)*24,"")</f>
        <v/>
      </c>
      <c r="G6" s="170" t="n"/>
      <c r="H6" s="170" t="n"/>
      <c r="I6" s="170" t="n"/>
      <c r="J6" s="170" t="n"/>
      <c r="K6" s="170" t="n"/>
      <c r="L6" s="170" t="n"/>
      <c r="M6" s="170" t="n"/>
      <c r="N6" s="170" t="n"/>
      <c r="O6" s="170" t="n">
        <v>10</v>
      </c>
      <c r="P6" s="59" t="inlineStr">
        <is>
          <t>local_aux</t>
        </is>
      </c>
      <c r="Q6" s="59" t="n"/>
    </row>
    <row r="7">
      <c r="A7" s="167" t="n">
        <v>46270</v>
      </c>
      <c r="B7" s="59" t="inlineStr">
        <is>
          <t>Hoàn thành có lỗi</t>
        </is>
      </c>
      <c r="C7" s="59" t="inlineStr">
        <is>
          <t>4</t>
        </is>
      </c>
      <c r="D7" s="168" t="n">
        <v>46270.02244059028</v>
      </c>
      <c r="E7" s="168" t="n">
        <v>46270.55446297453</v>
      </c>
      <c r="F7" s="169">
        <f>IF(AND(D7&lt;&gt;"",E7&lt;&gt;""),(E7-D7)*24,"")</f>
        <v/>
      </c>
      <c r="G7" s="170" t="n">
        <v>2478</v>
      </c>
      <c r="H7" s="170" t="n">
        <v>2478</v>
      </c>
      <c r="I7" s="170" t="n">
        <v>2190</v>
      </c>
      <c r="J7" s="170" t="n">
        <v>0</v>
      </c>
      <c r="K7" s="170" t="n">
        <v>253</v>
      </c>
      <c r="L7" s="170" t="n">
        <v>21</v>
      </c>
      <c r="M7" s="170" t="n">
        <v>14</v>
      </c>
      <c r="N7" s="170" t="n">
        <v>20413</v>
      </c>
      <c r="O7" s="170" t="n">
        <v>7</v>
      </c>
      <c r="P7" s="59" t="inlineStr">
        <is>
          <t>local_aux</t>
        </is>
      </c>
      <c r="Q7" s="59" t="inlineStr">
        <is>
          <t>Scheduled run 4 terminal</t>
        </is>
      </c>
    </row>
    <row r="8">
      <c r="A8" s="167" t="n">
        <v>46271</v>
      </c>
      <c r="B8" s="59" t="inlineStr">
        <is>
          <t>Hoàn thành có lỗi</t>
        </is>
      </c>
      <c r="C8" s="59" t="inlineStr">
        <is>
          <t>5</t>
        </is>
      </c>
      <c r="D8" s="168" t="n">
        <v>46271.02421355324</v>
      </c>
      <c r="E8" s="168" t="n">
        <v>46271.84374591435</v>
      </c>
      <c r="F8" s="169">
        <f>IF(AND(D8&lt;&gt;"",E8&lt;&gt;""),(E8-D8)*24,"")</f>
        <v/>
      </c>
      <c r="G8" s="170" t="n">
        <v>3540</v>
      </c>
      <c r="H8" s="170" t="n">
        <v>3540</v>
      </c>
      <c r="I8" s="170" t="n">
        <v>3185</v>
      </c>
      <c r="J8" s="170" t="n">
        <v>0</v>
      </c>
      <c r="K8" s="170" t="n">
        <v>305</v>
      </c>
      <c r="L8" s="170" t="n">
        <v>30</v>
      </c>
      <c r="M8" s="170" t="n">
        <v>20</v>
      </c>
      <c r="N8" s="170" t="n">
        <v>29179</v>
      </c>
      <c r="O8" s="170" t="n">
        <v>10</v>
      </c>
      <c r="P8" s="59" t="inlineStr">
        <is>
          <t>local_aux</t>
        </is>
      </c>
      <c r="Q8" s="59" t="inlineStr">
        <is>
          <t>Scheduled run 5 terminal</t>
        </is>
      </c>
    </row>
    <row r="9">
      <c r="A9" s="167" t="n">
        <v>46272</v>
      </c>
      <c r="B9" s="59" t="inlineStr">
        <is>
          <t>Hoàn thành có lỗi</t>
        </is>
      </c>
      <c r="C9" s="59" t="inlineStr">
        <is>
          <t>6</t>
        </is>
      </c>
      <c r="D9" s="168" t="n">
        <v>46272.02454877315</v>
      </c>
      <c r="E9" s="168" t="n">
        <v>46272.81493315972</v>
      </c>
      <c r="F9" s="169">
        <f>IF(AND(D9&lt;&gt;"",E9&lt;&gt;""),(E9-D9)*24,"")</f>
        <v/>
      </c>
      <c r="G9" s="170" t="n">
        <v>3540</v>
      </c>
      <c r="H9" s="170" t="n">
        <v>3540</v>
      </c>
      <c r="I9" s="170" t="n">
        <v>3177</v>
      </c>
      <c r="J9" s="170" t="n">
        <v>0</v>
      </c>
      <c r="K9" s="170" t="n">
        <v>313</v>
      </c>
      <c r="L9" s="170" t="n">
        <v>30</v>
      </c>
      <c r="M9" s="170" t="n">
        <v>20</v>
      </c>
      <c r="N9" s="170" t="n">
        <v>28420</v>
      </c>
      <c r="O9" s="170" t="n">
        <v>10</v>
      </c>
      <c r="P9" s="59" t="inlineStr">
        <is>
          <t>local_aux</t>
        </is>
      </c>
      <c r="Q9" s="59" t="inlineStr">
        <is>
          <t>Scheduled run 6 terminal</t>
        </is>
      </c>
    </row>
    <row r="10">
      <c r="A10" s="167" t="n">
        <v>46273</v>
      </c>
      <c r="B10" s="59" t="inlineStr">
        <is>
          <t>Hoàn thành có lỗi</t>
        </is>
      </c>
      <c r="C10" s="59" t="inlineStr">
        <is>
          <t>7</t>
        </is>
      </c>
      <c r="D10" s="168" t="n">
        <v>46273.02355465278</v>
      </c>
      <c r="E10" s="168" t="n">
        <v>46273.82085170139</v>
      </c>
      <c r="F10" s="169">
        <f>IF(AND(D10&lt;&gt;"",E10&lt;&gt;""),(E10-D10)*24,"")</f>
        <v/>
      </c>
      <c r="G10" s="170" t="n">
        <v>3540</v>
      </c>
      <c r="H10" s="170" t="n">
        <v>3540</v>
      </c>
      <c r="I10" s="170" t="n">
        <v>3174</v>
      </c>
      <c r="J10" s="170" t="n">
        <v>0</v>
      </c>
      <c r="K10" s="170" t="n">
        <v>306</v>
      </c>
      <c r="L10" s="170" t="n">
        <v>40</v>
      </c>
      <c r="M10" s="170" t="n">
        <v>20</v>
      </c>
      <c r="N10" s="170" t="n">
        <v>29258</v>
      </c>
      <c r="O10" s="170" t="n">
        <v>10</v>
      </c>
      <c r="P10" s="59" t="inlineStr">
        <is>
          <t>local_aux</t>
        </is>
      </c>
      <c r="Q10" s="59" t="inlineStr">
        <is>
          <t>Scheduled run 7 terminal</t>
        </is>
      </c>
    </row>
    <row r="11">
      <c r="A11" s="167" t="n">
        <v>46274</v>
      </c>
      <c r="B11" s="59" t="inlineStr">
        <is>
          <t>Hoàn thành có lỗi</t>
        </is>
      </c>
      <c r="C11" s="59" t="inlineStr">
        <is>
          <t>8</t>
        </is>
      </c>
      <c r="D11" s="168" t="n">
        <v>46274.02572726852</v>
      </c>
      <c r="E11" s="168" t="n">
        <v>46275.02770430555</v>
      </c>
      <c r="F11" s="169">
        <f>IF(AND(D11&lt;&gt;"",E11&lt;&gt;""),(E11-D11)*24,"")</f>
        <v/>
      </c>
      <c r="G11" s="170" t="n">
        <v>3540</v>
      </c>
      <c r="H11" s="170" t="n">
        <v>3540</v>
      </c>
      <c r="I11" s="170" t="n">
        <v>3165</v>
      </c>
      <c r="J11" s="170" t="n">
        <v>0</v>
      </c>
      <c r="K11" s="170" t="n">
        <v>305</v>
      </c>
      <c r="L11" s="170" t="n">
        <v>50</v>
      </c>
      <c r="M11" s="170" t="n">
        <v>20</v>
      </c>
      <c r="N11" s="170" t="n">
        <v>29944</v>
      </c>
      <c r="O11" s="170" t="n">
        <v>10</v>
      </c>
      <c r="P11" s="59" t="inlineStr">
        <is>
          <t>local_aux</t>
        </is>
      </c>
      <c r="Q11" s="59" t="inlineStr">
        <is>
          <t>Scheduled run 8 terminal</t>
        </is>
      </c>
    </row>
    <row r="12">
      <c r="A12" s="167" t="n">
        <v>46275</v>
      </c>
      <c r="B12" s="59" t="inlineStr">
        <is>
          <t>Hoàn thành có lỗi</t>
        </is>
      </c>
      <c r="C12" s="59" t="inlineStr">
        <is>
          <t>9</t>
        </is>
      </c>
      <c r="D12" s="168" t="n">
        <v>46275.02272983796</v>
      </c>
      <c r="E12" s="168" t="n">
        <v>46275.83740755787</v>
      </c>
      <c r="F12" s="169">
        <f>IF(AND(D12&lt;&gt;"",E12&lt;&gt;""),(E12-D12)*24,"")</f>
        <v/>
      </c>
      <c r="G12" s="170" t="n">
        <v>3540</v>
      </c>
      <c r="H12" s="170" t="n">
        <v>3540</v>
      </c>
      <c r="I12" s="170" t="n">
        <v>3165</v>
      </c>
      <c r="J12" s="170" t="n">
        <v>0</v>
      </c>
      <c r="K12" s="170" t="n">
        <v>305</v>
      </c>
      <c r="L12" s="170" t="n">
        <v>50</v>
      </c>
      <c r="M12" s="170" t="n">
        <v>20</v>
      </c>
      <c r="N12" s="170" t="n">
        <v>29811</v>
      </c>
      <c r="O12" s="170" t="n">
        <v>10</v>
      </c>
      <c r="P12" s="59" t="inlineStr">
        <is>
          <t>local_aux</t>
        </is>
      </c>
      <c r="Q12" s="59" t="inlineStr">
        <is>
          <t>Scheduled run 9 terminal</t>
        </is>
      </c>
    </row>
    <row r="13">
      <c r="A13" s="167" t="n">
        <v>46276</v>
      </c>
      <c r="B13" s="59" t="inlineStr">
        <is>
          <t>Hoàn thành có lỗi</t>
        </is>
      </c>
      <c r="C13" s="59" t="inlineStr">
        <is>
          <t>10</t>
        </is>
      </c>
      <c r="D13" s="168" t="n">
        <v>46276.0238975</v>
      </c>
      <c r="E13" s="168" t="n">
        <v>46276.85525002315</v>
      </c>
      <c r="F13" s="169">
        <f>IF(AND(D13&lt;&gt;"",E13&lt;&gt;""),(E13-D13)*24,"")</f>
        <v/>
      </c>
      <c r="G13" s="170" t="n">
        <v>3540</v>
      </c>
      <c r="H13" s="170" t="n">
        <v>3540</v>
      </c>
      <c r="I13" s="170" t="n">
        <v>3174</v>
      </c>
      <c r="J13" s="170" t="n">
        <v>0</v>
      </c>
      <c r="K13" s="170" t="n">
        <v>316</v>
      </c>
      <c r="L13" s="170" t="n">
        <v>30</v>
      </c>
      <c r="M13" s="170" t="n">
        <v>20</v>
      </c>
      <c r="N13" s="170" t="n">
        <v>30010</v>
      </c>
      <c r="O13" s="170" t="n">
        <v>10</v>
      </c>
      <c r="P13" s="59" t="inlineStr">
        <is>
          <t>local_aux</t>
        </is>
      </c>
      <c r="Q13" s="59" t="inlineStr">
        <is>
          <t>Scheduled run 10 terminal</t>
        </is>
      </c>
    </row>
    <row r="14">
      <c r="A14" s="167" t="n">
        <v>46277</v>
      </c>
      <c r="B14" s="59" t="inlineStr">
        <is>
          <t>Hoàn thành có lỗi</t>
        </is>
      </c>
      <c r="C14" s="59" t="inlineStr">
        <is>
          <t>11</t>
        </is>
      </c>
      <c r="D14" s="168" t="n">
        <v>46277.02385240741</v>
      </c>
      <c r="E14" s="168" t="n">
        <v>46277.83505616898</v>
      </c>
      <c r="F14" s="169">
        <f>IF(AND(D14&lt;&gt;"",E14&lt;&gt;""),(E14-D14)*24,"")</f>
        <v/>
      </c>
      <c r="G14" s="170" t="n">
        <v>3540</v>
      </c>
      <c r="H14" s="170" t="n">
        <v>3540</v>
      </c>
      <c r="I14" s="170" t="n">
        <v>3175</v>
      </c>
      <c r="J14" s="170" t="n">
        <v>0</v>
      </c>
      <c r="K14" s="170" t="n">
        <v>315</v>
      </c>
      <c r="L14" s="170" t="n">
        <v>30</v>
      </c>
      <c r="M14" s="170" t="n">
        <v>20</v>
      </c>
      <c r="N14" s="170" t="n">
        <v>29730</v>
      </c>
      <c r="O14" s="170" t="n">
        <v>10</v>
      </c>
      <c r="P14" s="59" t="inlineStr">
        <is>
          <t>local_aux</t>
        </is>
      </c>
      <c r="Q14" s="59" t="inlineStr">
        <is>
          <t>Scheduled run 11 terminal</t>
        </is>
      </c>
    </row>
    <row r="15">
      <c r="A15" s="167" t="n">
        <v>46278</v>
      </c>
      <c r="B15" s="59" t="inlineStr">
        <is>
          <t>Hoàn thành có lỗi</t>
        </is>
      </c>
      <c r="C15" s="59" t="inlineStr">
        <is>
          <t>12</t>
        </is>
      </c>
      <c r="D15" s="168" t="n">
        <v>46277.73217592593</v>
      </c>
      <c r="E15" s="168" t="n">
        <v>46278.796890625</v>
      </c>
      <c r="F15" s="169">
        <f>IF(AND(D15&lt;&gt;"",E15&lt;&gt;""),(E15-D15)*24,"")</f>
        <v/>
      </c>
      <c r="G15" s="170" t="n">
        <v>3540</v>
      </c>
      <c r="H15" s="170" t="n">
        <v>3540</v>
      </c>
      <c r="I15" s="170" t="n">
        <v>3175</v>
      </c>
      <c r="J15" s="170" t="n">
        <v>0</v>
      </c>
      <c r="K15" s="170" t="n">
        <v>315</v>
      </c>
      <c r="L15" s="170" t="n">
        <v>30</v>
      </c>
      <c r="M15" s="170" t="n">
        <v>20</v>
      </c>
      <c r="N15" s="170" t="n">
        <v>29379</v>
      </c>
      <c r="O15" s="170" t="n">
        <v>10</v>
      </c>
      <c r="P15" s="59" t="inlineStr">
        <is>
          <t>local_aux</t>
        </is>
      </c>
      <c r="Q15" s="59" t="inlineStr">
        <is>
          <t>Scheduled run 12 terminal</t>
        </is>
      </c>
    </row>
    <row r="16">
      <c r="A16" s="167" t="n">
        <v>46279</v>
      </c>
      <c r="B16" s="59" t="inlineStr">
        <is>
          <t>Hoàn thành có lỗi</t>
        </is>
      </c>
      <c r="C16" s="59" t="inlineStr">
        <is>
          <t>13</t>
        </is>
      </c>
      <c r="D16" s="168" t="n">
        <v>46278.72856481482</v>
      </c>
      <c r="E16" s="168" t="n">
        <v>46279.90620111111</v>
      </c>
      <c r="F16" s="169">
        <f>IF(AND(D16&lt;&gt;"",E16&lt;&gt;""),(E16-D16)*24,"")</f>
        <v/>
      </c>
      <c r="G16" s="170" t="n">
        <v>3540</v>
      </c>
      <c r="H16" s="170" t="n">
        <v>2</v>
      </c>
      <c r="I16" s="170" t="n">
        <v>2</v>
      </c>
      <c r="J16" s="170" t="n"/>
      <c r="K16" s="170" t="n"/>
      <c r="L16" s="170" t="n"/>
      <c r="M16" s="170" t="n"/>
      <c r="N16" s="170" t="n"/>
      <c r="O16" s="170" t="n">
        <v>10</v>
      </c>
      <c r="P16" s="59" t="inlineStr">
        <is>
          <t>local_aux</t>
        </is>
      </c>
      <c r="Q16" s="59" t="inlineStr">
        <is>
          <t>Bỏ qua theo yêu cầu người dùng; dừng run 13 sau 2/3540 item. Ngày kế tiếp chạy độc lập.</t>
        </is>
      </c>
    </row>
    <row r="17">
      <c r="A17" s="167" t="n">
        <v>46280</v>
      </c>
      <c r="B17" s="59" t="inlineStr">
        <is>
          <t>Hoàn thành có lỗi</t>
        </is>
      </c>
      <c r="C17" s="59" t="inlineStr">
        <is>
          <t>14</t>
        </is>
      </c>
      <c r="D17" s="168" t="n">
        <v>46279.73701388889</v>
      </c>
      <c r="E17" s="168" t="n">
        <v>46280.81530137731</v>
      </c>
      <c r="F17" s="169">
        <f>IF(AND(D17&lt;&gt;"",E17&lt;&gt;""),(E17-D17)*24,"")</f>
        <v/>
      </c>
      <c r="G17" s="170" t="n">
        <v>3540</v>
      </c>
      <c r="H17" s="170" t="n">
        <v>3540</v>
      </c>
      <c r="I17" s="170" t="n">
        <v>3152</v>
      </c>
      <c r="J17" s="170" t="n">
        <v>0</v>
      </c>
      <c r="K17" s="170" t="n">
        <v>328</v>
      </c>
      <c r="L17" s="170" t="n">
        <v>40</v>
      </c>
      <c r="M17" s="170" t="n">
        <v>20</v>
      </c>
      <c r="N17" s="170" t="n">
        <v>28862</v>
      </c>
      <c r="O17" s="170" t="n">
        <v>10</v>
      </c>
      <c r="P17" s="59" t="inlineStr">
        <is>
          <t>local_aux</t>
        </is>
      </c>
      <c r="Q17" s="59" t="inlineStr">
        <is>
          <t>Scheduled run 14 terminal</t>
        </is>
      </c>
    </row>
    <row r="18">
      <c r="A18" s="167" t="n">
        <v>46281</v>
      </c>
      <c r="B18" s="59" t="inlineStr">
        <is>
          <t>Hoàn thành có lỗi</t>
        </is>
      </c>
      <c r="C18" s="59" t="inlineStr">
        <is>
          <t>15</t>
        </is>
      </c>
      <c r="D18" s="168" t="n">
        <v>46281.02672401621</v>
      </c>
      <c r="E18" s="168" t="n">
        <v>46281.81371444444</v>
      </c>
      <c r="F18" s="169">
        <f>IF(AND(D18&lt;&gt;"",E18&lt;&gt;""),(E18-D18)*24,"")</f>
        <v/>
      </c>
      <c r="G18" s="170" t="n">
        <v>3540</v>
      </c>
      <c r="H18" s="170" t="n">
        <v>3540</v>
      </c>
      <c r="I18" s="170" t="n">
        <v>3170</v>
      </c>
      <c r="J18" s="170" t="n">
        <v>0</v>
      </c>
      <c r="K18" s="170" t="n">
        <v>310</v>
      </c>
      <c r="L18" s="170" t="n">
        <v>40</v>
      </c>
      <c r="M18" s="170" t="n">
        <v>20</v>
      </c>
      <c r="N18" s="170" t="n">
        <v>29084</v>
      </c>
      <c r="O18" s="170" t="n">
        <v>10</v>
      </c>
      <c r="P18" s="59" t="inlineStr">
        <is>
          <t>local_aux</t>
        </is>
      </c>
      <c r="Q18" s="59" t="inlineStr">
        <is>
          <t>Scheduled run 15 terminal</t>
        </is>
      </c>
    </row>
    <row r="19">
      <c r="A19" s="167" t="n">
        <v>46282</v>
      </c>
      <c r="B19" s="59" t="inlineStr">
        <is>
          <t>Hoàn thành có lỗi</t>
        </is>
      </c>
      <c r="C19" s="59" t="inlineStr">
        <is>
          <t>16</t>
        </is>
      </c>
      <c r="D19" s="168" t="n">
        <v>46282.02266850694</v>
      </c>
      <c r="E19" s="168" t="n">
        <v>46282.78398810185</v>
      </c>
      <c r="F19" s="169">
        <f>IF(AND(D19&lt;&gt;"",E19&lt;&gt;""),(E19-D19)*24,"")</f>
        <v/>
      </c>
      <c r="G19" s="170" t="n">
        <v>3540</v>
      </c>
      <c r="H19" s="170" t="n">
        <v>3540</v>
      </c>
      <c r="I19" s="170" t="n">
        <v>3121</v>
      </c>
      <c r="J19" s="170" t="n">
        <v>0</v>
      </c>
      <c r="K19" s="170" t="n">
        <v>309</v>
      </c>
      <c r="L19" s="170" t="n">
        <v>90</v>
      </c>
      <c r="M19" s="170" t="n">
        <v>20</v>
      </c>
      <c r="N19" s="170" t="n">
        <v>28229</v>
      </c>
      <c r="O19" s="170" t="n">
        <v>10</v>
      </c>
      <c r="P19" s="59" t="inlineStr">
        <is>
          <t>local_aux</t>
        </is>
      </c>
      <c r="Q19" s="59" t="inlineStr">
        <is>
          <t>Scheduled run 16 terminal</t>
        </is>
      </c>
    </row>
    <row r="20">
      <c r="A20" s="167" t="n">
        <v>46283</v>
      </c>
      <c r="B20" s="59" t="inlineStr">
        <is>
          <t>Hoàn thành có lỗi</t>
        </is>
      </c>
      <c r="C20" s="59" t="inlineStr">
        <is>
          <t>17</t>
        </is>
      </c>
      <c r="D20" s="168" t="n">
        <v>46283.02424359954</v>
      </c>
      <c r="E20" s="168" t="n">
        <v>46283.78622950232</v>
      </c>
      <c r="F20" s="169">
        <f>IF(AND(D20&lt;&gt;"",E20&lt;&gt;""),(E20-D20)*24,"")</f>
        <v/>
      </c>
      <c r="G20" s="170" t="n">
        <v>3540</v>
      </c>
      <c r="H20" s="170" t="n">
        <v>3540</v>
      </c>
      <c r="I20" s="170" t="n">
        <v>3133</v>
      </c>
      <c r="J20" s="170" t="n">
        <v>0</v>
      </c>
      <c r="K20" s="170" t="n">
        <v>307</v>
      </c>
      <c r="L20" s="170" t="n">
        <v>80</v>
      </c>
      <c r="M20" s="170" t="n">
        <v>20</v>
      </c>
      <c r="N20" s="170" t="n">
        <v>28008</v>
      </c>
      <c r="O20" s="170" t="n">
        <v>10</v>
      </c>
      <c r="P20" s="59" t="inlineStr">
        <is>
          <t>local_aux</t>
        </is>
      </c>
      <c r="Q20" s="59" t="inlineStr">
        <is>
          <t>Scheduled run 17 terminal</t>
        </is>
      </c>
    </row>
    <row r="21">
      <c r="A21" s="167" t="n">
        <v>46284</v>
      </c>
      <c r="B21" s="59" t="inlineStr">
        <is>
          <t>Hoàn thành có lỗi</t>
        </is>
      </c>
      <c r="C21" s="59" t="inlineStr">
        <is>
          <t>18</t>
        </is>
      </c>
      <c r="D21" s="168" t="n">
        <v>46284.02293990741</v>
      </c>
      <c r="E21" s="168" t="n">
        <v>46284.78843565972</v>
      </c>
      <c r="F21" s="169">
        <f>IF(AND(D21&lt;&gt;"",E21&lt;&gt;""),(E21-D21)*24,"")</f>
        <v/>
      </c>
      <c r="G21" s="170" t="n">
        <v>3540</v>
      </c>
      <c r="H21" s="170" t="n">
        <v>3540</v>
      </c>
      <c r="I21" s="170" t="n">
        <v>3156</v>
      </c>
      <c r="J21" s="170" t="n">
        <v>0</v>
      </c>
      <c r="K21" s="170" t="n">
        <v>314</v>
      </c>
      <c r="L21" s="170" t="n">
        <v>50</v>
      </c>
      <c r="M21" s="170" t="n">
        <v>20</v>
      </c>
      <c r="N21" s="170" t="n">
        <v>28398</v>
      </c>
      <c r="O21" s="170" t="n">
        <v>10</v>
      </c>
      <c r="P21" s="59" t="inlineStr">
        <is>
          <t>local_aux</t>
        </is>
      </c>
      <c r="Q21" s="59" t="inlineStr">
        <is>
          <t>Scheduled run 18 terminal</t>
        </is>
      </c>
    </row>
    <row r="22">
      <c r="A22" s="167" t="n">
        <v>46285</v>
      </c>
      <c r="B22" s="59" t="inlineStr">
        <is>
          <t>Hoàn thành có lỗi</t>
        </is>
      </c>
      <c r="C22" s="59" t="inlineStr">
        <is>
          <t>19</t>
        </is>
      </c>
      <c r="D22" s="168" t="n">
        <v>46285.09364074074</v>
      </c>
      <c r="E22" s="168" t="n">
        <v>46285.87094282408</v>
      </c>
      <c r="F22" s="169">
        <f>IF(AND(D22&lt;&gt;"",E22&lt;&gt;""),(E22-D22)*24,"")</f>
        <v/>
      </c>
      <c r="G22" s="170" t="n">
        <v>3540</v>
      </c>
      <c r="H22" s="170" t="n">
        <v>3540</v>
      </c>
      <c r="I22" s="170" t="n">
        <v>3140</v>
      </c>
      <c r="J22" s="170" t="n">
        <v>0</v>
      </c>
      <c r="K22" s="170" t="n">
        <v>340</v>
      </c>
      <c r="L22" s="170" t="n">
        <v>40</v>
      </c>
      <c r="M22" s="170" t="n">
        <v>20</v>
      </c>
      <c r="N22" s="170" t="n">
        <v>28144</v>
      </c>
      <c r="O22" s="170" t="n">
        <v>10</v>
      </c>
      <c r="P22" s="59" t="inlineStr">
        <is>
          <t>local_aux</t>
        </is>
      </c>
      <c r="Q22" s="59" t="inlineStr">
        <is>
          <t>Scheduled run 19 terminal</t>
        </is>
      </c>
    </row>
    <row r="23">
      <c r="A23" s="167" t="n">
        <v>46286</v>
      </c>
      <c r="B23" s="59" t="inlineStr">
        <is>
          <t>Hoàn thành có lỗi</t>
        </is>
      </c>
      <c r="C23" s="59" t="inlineStr">
        <is>
          <t>20</t>
        </is>
      </c>
      <c r="D23" s="168" t="n">
        <v>46286.03120365741</v>
      </c>
      <c r="E23" s="168" t="n">
        <v>46286.80991675926</v>
      </c>
      <c r="F23" s="169">
        <f>IF(AND(D23&lt;&gt;"",E23&lt;&gt;""),(E23-D23)*24,"")</f>
        <v/>
      </c>
      <c r="G23" s="170" t="n">
        <v>3540</v>
      </c>
      <c r="H23" s="170" t="n">
        <v>3540</v>
      </c>
      <c r="I23" s="170" t="n">
        <v>3141</v>
      </c>
      <c r="J23" s="170" t="n">
        <v>0</v>
      </c>
      <c r="K23" s="170" t="n">
        <v>329</v>
      </c>
      <c r="L23" s="170" t="n">
        <v>50</v>
      </c>
      <c r="M23" s="170" t="n">
        <v>20</v>
      </c>
      <c r="N23" s="170" t="n">
        <v>27670</v>
      </c>
      <c r="O23" s="170" t="n">
        <v>10</v>
      </c>
      <c r="P23" s="59" t="inlineStr">
        <is>
          <t>local_aux</t>
        </is>
      </c>
      <c r="Q23" s="59" t="inlineStr">
        <is>
          <t>Scheduled run 20 terminal</t>
        </is>
      </c>
    </row>
    <row r="24">
      <c r="A24" s="167" t="n">
        <v>46287</v>
      </c>
      <c r="B24" s="59" t="inlineStr">
        <is>
          <t>Hoàn thành có lỗi</t>
        </is>
      </c>
      <c r="C24" s="59" t="inlineStr">
        <is>
          <t>21</t>
        </is>
      </c>
      <c r="D24" s="168" t="n">
        <v>46287.02310820602</v>
      </c>
      <c r="E24" s="168" t="n">
        <v>46287.81497712963</v>
      </c>
      <c r="F24" s="169">
        <f>IF(AND(D24&lt;&gt;"",E24&lt;&gt;""),(E24-D24)*24,"")</f>
        <v/>
      </c>
      <c r="G24" s="170" t="n">
        <v>3540</v>
      </c>
      <c r="H24" s="170" t="n">
        <v>3540</v>
      </c>
      <c r="I24" s="170" t="n">
        <v>3149</v>
      </c>
      <c r="J24" s="170" t="n">
        <v>0</v>
      </c>
      <c r="K24" s="170" t="n">
        <v>331</v>
      </c>
      <c r="L24" s="170" t="n">
        <v>40</v>
      </c>
      <c r="M24" s="170" t="n">
        <v>20</v>
      </c>
      <c r="N24" s="170" t="n">
        <v>28858</v>
      </c>
      <c r="O24" s="170" t="n">
        <v>10</v>
      </c>
      <c r="P24" s="59" t="inlineStr">
        <is>
          <t>local_aux</t>
        </is>
      </c>
      <c r="Q24" s="59" t="inlineStr">
        <is>
          <t>Scheduled run 21 terminal</t>
        </is>
      </c>
    </row>
    <row r="25">
      <c r="A25" s="167" t="n">
        <v>46288</v>
      </c>
      <c r="B25" s="59" t="inlineStr">
        <is>
          <t>Hoàn thành có lỗi</t>
        </is>
      </c>
      <c r="C25" s="59" t="inlineStr">
        <is>
          <t>22</t>
        </is>
      </c>
      <c r="D25" s="168" t="n">
        <v>46288.02336306713</v>
      </c>
      <c r="E25" s="168" t="n">
        <v>46288.80762245371</v>
      </c>
      <c r="F25" s="169">
        <f>IF(AND(D25&lt;&gt;"",E25&lt;&gt;""),(E25-D25)*24,"")</f>
        <v/>
      </c>
      <c r="G25" s="170" t="n">
        <v>3540</v>
      </c>
      <c r="H25" s="170" t="n">
        <v>3540</v>
      </c>
      <c r="I25" s="170" t="n">
        <v>3148</v>
      </c>
      <c r="J25" s="170" t="n">
        <v>0</v>
      </c>
      <c r="K25" s="170" t="n">
        <v>342</v>
      </c>
      <c r="L25" s="170" t="n">
        <v>30</v>
      </c>
      <c r="M25" s="170" t="n">
        <v>20</v>
      </c>
      <c r="N25" s="170" t="n">
        <v>28828</v>
      </c>
      <c r="O25" s="170" t="n">
        <v>10</v>
      </c>
      <c r="P25" s="59" t="inlineStr">
        <is>
          <t>local_aux</t>
        </is>
      </c>
      <c r="Q25" s="59" t="inlineStr">
        <is>
          <t>Scheduled run 22 terminal</t>
        </is>
      </c>
    </row>
    <row r="26">
      <c r="A26" s="167" t="n">
        <v>46289</v>
      </c>
      <c r="B26" s="59" t="inlineStr">
        <is>
          <t>Hoàn thành có lỗi</t>
        </is>
      </c>
      <c r="C26" s="59" t="inlineStr">
        <is>
          <t>23</t>
        </is>
      </c>
      <c r="D26" s="168" t="n">
        <v>46289.02872111111</v>
      </c>
      <c r="E26" s="168" t="n">
        <v>46289.82281957176</v>
      </c>
      <c r="F26" s="169">
        <f>IF(AND(D26&lt;&gt;"",E26&lt;&gt;""),(E26-D26)*24,"")</f>
        <v/>
      </c>
      <c r="G26" s="170" t="n">
        <v>3540</v>
      </c>
      <c r="H26" s="170" t="n">
        <v>3540</v>
      </c>
      <c r="I26" s="170" t="n">
        <v>3093</v>
      </c>
      <c r="J26" s="170" t="n">
        <v>0</v>
      </c>
      <c r="K26" s="170" t="n">
        <v>387</v>
      </c>
      <c r="L26" s="170" t="n">
        <v>40</v>
      </c>
      <c r="M26" s="170" t="n">
        <v>20</v>
      </c>
      <c r="N26" s="170" t="n">
        <v>28165</v>
      </c>
      <c r="O26" s="170" t="n">
        <v>10</v>
      </c>
      <c r="P26" s="59" t="inlineStr">
        <is>
          <t>local_aux</t>
        </is>
      </c>
      <c r="Q26" s="59" t="inlineStr">
        <is>
          <t>Scheduled run 23 terminal</t>
        </is>
      </c>
    </row>
    <row r="27">
      <c r="A27" s="167" t="n">
        <v>46290</v>
      </c>
      <c r="B27" s="59" t="inlineStr">
        <is>
          <t>Hoàn thành có lỗi</t>
        </is>
      </c>
      <c r="C27" s="59" t="inlineStr">
        <is>
          <t>24</t>
        </is>
      </c>
      <c r="D27" s="168" t="n">
        <v>46290.02340449074</v>
      </c>
      <c r="E27" s="168" t="n">
        <v>46290.91681376157</v>
      </c>
      <c r="F27" s="169">
        <f>IF(AND(D27&lt;&gt;"",E27&lt;&gt;""),(E27-D27)*24,"")</f>
        <v/>
      </c>
      <c r="G27" s="170" t="n">
        <v>3540</v>
      </c>
      <c r="H27" s="170" t="n">
        <v>3540</v>
      </c>
      <c r="I27" s="170" t="n">
        <v>3070</v>
      </c>
      <c r="J27" s="170" t="n">
        <v>0</v>
      </c>
      <c r="K27" s="170" t="n">
        <v>410</v>
      </c>
      <c r="L27" s="170" t="n">
        <v>40</v>
      </c>
      <c r="M27" s="170" t="n">
        <v>20</v>
      </c>
      <c r="N27" s="170" t="n">
        <v>27956</v>
      </c>
      <c r="O27" s="170" t="n">
        <v>10</v>
      </c>
      <c r="P27" s="59" t="inlineStr">
        <is>
          <t>local_aux</t>
        </is>
      </c>
      <c r="Q27" s="59" t="inlineStr">
        <is>
          <t>Scheduled run 24 terminal</t>
        </is>
      </c>
    </row>
    <row r="28">
      <c r="A28" s="167" t="n">
        <v>46291</v>
      </c>
      <c r="B28" s="59" t="inlineStr">
        <is>
          <t>Hoàn thành có lỗi</t>
        </is>
      </c>
      <c r="C28" s="59" t="inlineStr">
        <is>
          <t>25</t>
        </is>
      </c>
      <c r="D28" s="168" t="n">
        <v>46291.0291418287</v>
      </c>
      <c r="E28" s="168" t="n">
        <v>46292.03074357639</v>
      </c>
      <c r="F28" s="169">
        <f>IF(AND(D28&lt;&gt;"",E28&lt;&gt;""),(E28-D28)*24,"")</f>
        <v/>
      </c>
      <c r="G28" s="170" t="n">
        <v>3540</v>
      </c>
      <c r="H28" s="170" t="n">
        <v>3540</v>
      </c>
      <c r="I28" s="170" t="n">
        <v>3091</v>
      </c>
      <c r="J28" s="170" t="n">
        <v>0</v>
      </c>
      <c r="K28" s="170" t="n">
        <v>339</v>
      </c>
      <c r="L28" s="170" t="n">
        <v>90</v>
      </c>
      <c r="M28" s="170" t="n">
        <v>20</v>
      </c>
      <c r="N28" s="170" t="n">
        <v>29386</v>
      </c>
      <c r="O28" s="170" t="n">
        <v>10</v>
      </c>
      <c r="P28" s="59" t="inlineStr">
        <is>
          <t>local_aux</t>
        </is>
      </c>
      <c r="Q28" s="59" t="inlineStr">
        <is>
          <t>Scheduled run 25 terminal</t>
        </is>
      </c>
    </row>
    <row r="29">
      <c r="A29" s="167" t="n">
        <v>46292</v>
      </c>
      <c r="B29" s="59" t="inlineStr">
        <is>
          <t>Hoàn thành có lỗi</t>
        </is>
      </c>
      <c r="C29" s="59" t="inlineStr">
        <is>
          <t>26</t>
        </is>
      </c>
      <c r="D29" s="168" t="n">
        <v>46292.01198827547</v>
      </c>
      <c r="E29" s="168" t="n">
        <v>46293.2012952662</v>
      </c>
      <c r="F29" s="169">
        <f>IF(AND(D29&lt;&gt;"",E29&lt;&gt;""),(E29-D29)*24,"")</f>
        <v/>
      </c>
      <c r="G29" s="170" t="n">
        <v>3540</v>
      </c>
      <c r="H29" s="170" t="n">
        <v>3540</v>
      </c>
      <c r="I29" s="170" t="n">
        <v>3097</v>
      </c>
      <c r="J29" s="170" t="n">
        <v>0</v>
      </c>
      <c r="K29" s="170" t="n">
        <v>323</v>
      </c>
      <c r="L29" s="170" t="n">
        <v>100</v>
      </c>
      <c r="M29" s="170" t="n">
        <v>20</v>
      </c>
      <c r="N29" s="170" t="n">
        <v>29294</v>
      </c>
      <c r="O29" s="170" t="n">
        <v>10</v>
      </c>
      <c r="P29" s="59" t="inlineStr">
        <is>
          <t>local_aux</t>
        </is>
      </c>
      <c r="Q29" s="59" t="inlineStr">
        <is>
          <t>Scheduled run 26 terminal</t>
        </is>
      </c>
    </row>
    <row r="30">
      <c r="A30" s="167" t="n">
        <v>46293</v>
      </c>
      <c r="B30" s="59" t="inlineStr">
        <is>
          <t>Hoàn thành có lỗi</t>
        </is>
      </c>
      <c r="C30" s="59" t="inlineStr">
        <is>
          <t>27</t>
        </is>
      </c>
      <c r="D30" s="168" t="n"/>
      <c r="E30" s="168" t="n">
        <v>46294.5287865162</v>
      </c>
      <c r="F30" s="169">
        <f>IF(AND(D30&lt;&gt;"",E30&lt;&gt;""),(E30-D30)*24,"")</f>
        <v/>
      </c>
      <c r="G30" s="170" t="n">
        <v>3540</v>
      </c>
      <c r="H30" s="170" t="n">
        <v>3540</v>
      </c>
      <c r="I30" s="170" t="n">
        <v>3105</v>
      </c>
      <c r="J30" s="170" t="n">
        <v>0</v>
      </c>
      <c r="K30" s="170" t="n">
        <v>315</v>
      </c>
      <c r="L30" s="170" t="n">
        <v>100</v>
      </c>
      <c r="M30" s="170" t="n">
        <v>20</v>
      </c>
      <c r="N30" s="170" t="n">
        <v>29991</v>
      </c>
      <c r="O30" s="170" t="n">
        <v>10</v>
      </c>
      <c r="P30" s="59" t="inlineStr">
        <is>
          <t>local_aux</t>
        </is>
      </c>
      <c r="Q30" s="59" t="inlineStr">
        <is>
          <t>Scheduled run 27 terminal</t>
        </is>
      </c>
    </row>
    <row r="31">
      <c r="A31" s="167" t="n">
        <v>46294</v>
      </c>
      <c r="B31" s="59" t="inlineStr">
        <is>
          <t>Hoàn thành có lỗi</t>
        </is>
      </c>
      <c r="C31" s="59" t="n">
        <v>28</v>
      </c>
      <c r="D31" s="168" t="n">
        <v>46294.02076388889</v>
      </c>
      <c r="E31" s="168" t="n">
        <v>46294.74196759259</v>
      </c>
      <c r="F31" s="169">
        <f>IF(AND(D31&lt;&gt;"",E31&lt;&gt;""),(E31-D31)*24,"")</f>
        <v/>
      </c>
      <c r="G31" s="170" t="n">
        <v>3540</v>
      </c>
      <c r="H31" s="170" t="n">
        <v>3540</v>
      </c>
      <c r="I31" s="170" t="n">
        <v>3109</v>
      </c>
      <c r="J31" s="170" t="n">
        <v>0</v>
      </c>
      <c r="K31" s="170" t="n">
        <v>321</v>
      </c>
      <c r="L31" s="170" t="n">
        <v>80</v>
      </c>
      <c r="M31" s="170" t="n">
        <v>30</v>
      </c>
      <c r="N31" s="170" t="n">
        <v>29923</v>
      </c>
      <c r="O31" s="170" t="n">
        <v>10</v>
      </c>
      <c r="P31" s="59" t="inlineStr">
        <is>
          <t>local_aux_backup</t>
        </is>
      </c>
      <c r="Q31" s="59" t="inlineStr">
        <is>
          <t>Imported as run 28; SHA-256 + staging counts verified.</t>
        </is>
      </c>
    </row>
    <row r="32">
      <c r="A32" s="167" t="n">
        <v>46295</v>
      </c>
      <c r="B32" s="59" t="inlineStr">
        <is>
          <t>Hoàn thành có lỗi</t>
        </is>
      </c>
      <c r="C32" s="59" t="inlineStr">
        <is>
          <t>29</t>
        </is>
      </c>
      <c r="D32" s="168" t="n">
        <v>46295.02271898148</v>
      </c>
      <c r="E32" s="168" t="n">
        <v>46296.43926980324</v>
      </c>
      <c r="F32" s="169">
        <f>IF(AND(D32&lt;&gt;"",E32&lt;&gt;""),(E32-D32)*24,"")</f>
        <v/>
      </c>
      <c r="G32" s="170" t="n">
        <v>3540</v>
      </c>
      <c r="H32" s="170" t="n">
        <v>3540</v>
      </c>
      <c r="I32" s="170" t="n">
        <v>3111</v>
      </c>
      <c r="J32" s="170" t="n">
        <v>0</v>
      </c>
      <c r="K32" s="170" t="n">
        <v>319</v>
      </c>
      <c r="L32" s="170" t="n">
        <v>80</v>
      </c>
      <c r="M32" s="170" t="n">
        <v>30</v>
      </c>
      <c r="N32" s="170" t="n">
        <v>29571</v>
      </c>
      <c r="O32" s="170" t="n">
        <v>10</v>
      </c>
      <c r="P32" s="59" t="inlineStr">
        <is>
          <t>local_aux</t>
        </is>
      </c>
      <c r="Q32" s="59" t="inlineStr">
        <is>
          <t>Scheduled run 29 terminal</t>
        </is>
      </c>
    </row>
    <row r="33">
      <c r="A33" s="167" t="n">
        <v>46296</v>
      </c>
      <c r="B33" s="59" t="inlineStr">
        <is>
          <t>Hoàn thành có lỗi</t>
        </is>
      </c>
      <c r="C33" s="59" t="n">
        <v>30</v>
      </c>
      <c r="D33" s="168" t="n">
        <v>46296.06282407408</v>
      </c>
      <c r="E33" s="168" t="n">
        <v>46296.77693287037</v>
      </c>
      <c r="F33" s="169">
        <f>IF(AND(D33&lt;&gt;"",E33&lt;&gt;""),(E33-D33)*24,"")</f>
        <v/>
      </c>
      <c r="G33" s="170" t="n">
        <v>3540</v>
      </c>
      <c r="H33" s="170" t="n">
        <v>3540</v>
      </c>
      <c r="I33" s="170" t="n">
        <v>3093</v>
      </c>
      <c r="J33" s="170" t="n">
        <v>0</v>
      </c>
      <c r="K33" s="170" t="n">
        <v>317</v>
      </c>
      <c r="L33" s="170" t="n">
        <v>90</v>
      </c>
      <c r="M33" s="170" t="n">
        <v>40</v>
      </c>
      <c r="N33" s="170" t="n">
        <v>29357</v>
      </c>
      <c r="O33" s="170" t="n">
        <v>10</v>
      </c>
      <c r="P33" s="59" t="inlineStr">
        <is>
          <t>local_aux_backup</t>
        </is>
      </c>
      <c r="Q33" s="59" t="inlineStr">
        <is>
          <t>Imported as run 30; SHA-256 + staging counts verified.</t>
        </is>
      </c>
    </row>
    <row r="34">
      <c r="A34" s="167" t="n">
        <v>46297</v>
      </c>
      <c r="B34" s="59" t="inlineStr">
        <is>
          <t>Hoàn thành có lỗi</t>
        </is>
      </c>
      <c r="C34" s="59" t="inlineStr">
        <is>
          <t>31</t>
        </is>
      </c>
      <c r="D34" s="168" t="n">
        <v>46297.02612908565</v>
      </c>
      <c r="E34" s="168" t="n">
        <v>46297.79363894676</v>
      </c>
      <c r="F34" s="169">
        <f>IF(AND(D34&lt;&gt;"",E34&lt;&gt;""),(E34-D34)*24,"")</f>
        <v/>
      </c>
      <c r="G34" s="170" t="n">
        <v>3540</v>
      </c>
      <c r="H34" s="170" t="n">
        <v>3540</v>
      </c>
      <c r="I34" s="170" t="n">
        <v>3085</v>
      </c>
      <c r="J34" s="170" t="n">
        <v>0</v>
      </c>
      <c r="K34" s="170" t="n">
        <v>325</v>
      </c>
      <c r="L34" s="170" t="n">
        <v>90</v>
      </c>
      <c r="M34" s="170" t="n">
        <v>40</v>
      </c>
      <c r="N34" s="170" t="n">
        <v>28852</v>
      </c>
      <c r="O34" s="170" t="n">
        <v>10</v>
      </c>
      <c r="P34" s="59" t="inlineStr">
        <is>
          <t>local_aux</t>
        </is>
      </c>
      <c r="Q34" s="59" t="inlineStr">
        <is>
          <t>Scheduled run 31 terminal</t>
        </is>
      </c>
    </row>
    <row r="35">
      <c r="A35" s="167" t="n">
        <v>46298</v>
      </c>
      <c r="B35" s="59" t="inlineStr">
        <is>
          <t>Hoàn thành có lỗi</t>
        </is>
      </c>
      <c r="C35" s="59" t="inlineStr">
        <is>
          <t>32</t>
        </is>
      </c>
      <c r="D35" s="168" t="n">
        <v>46298.0224469213</v>
      </c>
      <c r="E35" s="168" t="n">
        <v>46298.77284248843</v>
      </c>
      <c r="F35" s="169">
        <f>IF(AND(D35&lt;&gt;"",E35&lt;&gt;""),(E35-D35)*24,"")</f>
        <v/>
      </c>
      <c r="G35" s="170" t="n">
        <v>3540</v>
      </c>
      <c r="H35" s="170" t="n">
        <v>3540</v>
      </c>
      <c r="I35" s="170" t="n">
        <v>3120</v>
      </c>
      <c r="J35" s="170" t="n">
        <v>0</v>
      </c>
      <c r="K35" s="170" t="n">
        <v>280</v>
      </c>
      <c r="L35" s="170" t="n">
        <v>100</v>
      </c>
      <c r="M35" s="170" t="n">
        <v>40</v>
      </c>
      <c r="N35" s="170" t="n">
        <v>29700</v>
      </c>
      <c r="O35" s="170" t="n">
        <v>10</v>
      </c>
      <c r="P35" s="59" t="inlineStr">
        <is>
          <t>local_aux</t>
        </is>
      </c>
      <c r="Q35" s="59" t="inlineStr">
        <is>
          <t>Scheduled run 32 terminal</t>
        </is>
      </c>
    </row>
    <row r="36">
      <c r="A36" s="167" t="n">
        <v>46299</v>
      </c>
      <c r="B36" s="59" t="inlineStr">
        <is>
          <t>Hoàn thành có lỗi</t>
        </is>
      </c>
      <c r="C36" s="59" t="inlineStr">
        <is>
          <t>33</t>
        </is>
      </c>
      <c r="D36" s="168" t="n">
        <v>46299.02359936343</v>
      </c>
      <c r="E36" s="168" t="n">
        <v>46299.78785559028</v>
      </c>
      <c r="F36" s="169">
        <f>IF(AND(D36&lt;&gt;"",E36&lt;&gt;""),(E36-D36)*24,"")</f>
        <v/>
      </c>
      <c r="G36" s="170" t="n">
        <v>3540</v>
      </c>
      <c r="H36" s="170" t="n">
        <v>3540</v>
      </c>
      <c r="I36" s="170" t="n">
        <v>3114</v>
      </c>
      <c r="J36" s="170" t="n">
        <v>0</v>
      </c>
      <c r="K36" s="170" t="n">
        <v>286</v>
      </c>
      <c r="L36" s="170" t="n">
        <v>100</v>
      </c>
      <c r="M36" s="170" t="n">
        <v>40</v>
      </c>
      <c r="N36" s="170" t="n">
        <v>29355</v>
      </c>
      <c r="O36" s="170" t="n">
        <v>10</v>
      </c>
      <c r="P36" s="59" t="inlineStr">
        <is>
          <t>local_aux</t>
        </is>
      </c>
      <c r="Q36" s="59" t="inlineStr">
        <is>
          <t>Scheduled run 33 terminal</t>
        </is>
      </c>
    </row>
    <row r="37">
      <c r="A37" s="167" t="n">
        <v>46300</v>
      </c>
      <c r="B37" s="59" t="inlineStr">
        <is>
          <t>Hoàn thành có lỗi</t>
        </is>
      </c>
      <c r="C37" s="59" t="inlineStr">
        <is>
          <t>34</t>
        </is>
      </c>
      <c r="D37" s="168" t="n">
        <v>46300.02339822917</v>
      </c>
      <c r="E37" s="168" t="n">
        <v>46300.87187777778</v>
      </c>
      <c r="F37" s="169">
        <f>IF(AND(D37&lt;&gt;"",E37&lt;&gt;""),(E37-D37)*24,"")</f>
        <v/>
      </c>
      <c r="G37" s="170" t="n">
        <v>3540</v>
      </c>
      <c r="H37" s="170" t="n">
        <v>3540</v>
      </c>
      <c r="I37" s="170" t="n">
        <v>3101</v>
      </c>
      <c r="J37" s="170" t="n">
        <v>0</v>
      </c>
      <c r="K37" s="170" t="n">
        <v>289</v>
      </c>
      <c r="L37" s="170" t="n">
        <v>110</v>
      </c>
      <c r="M37" s="170" t="n">
        <v>40</v>
      </c>
      <c r="N37" s="170" t="n">
        <v>28761</v>
      </c>
      <c r="O37" s="170" t="n">
        <v>10</v>
      </c>
      <c r="P37" s="59" t="inlineStr">
        <is>
          <t>local_aux</t>
        </is>
      </c>
      <c r="Q37" s="59" t="inlineStr">
        <is>
          <t>Scheduled run 34 terminal</t>
        </is>
      </c>
    </row>
    <row r="38">
      <c r="A38" s="167" t="n">
        <v>46301</v>
      </c>
      <c r="B38" s="59" t="inlineStr">
        <is>
          <t>Hoàn thành có lỗi</t>
        </is>
      </c>
      <c r="C38" s="59" t="inlineStr">
        <is>
          <t>35</t>
        </is>
      </c>
      <c r="D38" s="168" t="n">
        <v>46301.02307268519</v>
      </c>
      <c r="E38" s="168" t="n">
        <v>46301.79836261574</v>
      </c>
      <c r="F38" s="169">
        <f>IF(AND(D38&lt;&gt;"",E38&lt;&gt;""),(E38-D38)*24,"")</f>
        <v/>
      </c>
      <c r="G38" s="170" t="n">
        <v>3540</v>
      </c>
      <c r="H38" s="170" t="n">
        <v>3540</v>
      </c>
      <c r="I38" s="170" t="n">
        <v>3075</v>
      </c>
      <c r="J38" s="170" t="n">
        <v>0</v>
      </c>
      <c r="K38" s="170" t="n">
        <v>315</v>
      </c>
      <c r="L38" s="170" t="n">
        <v>100</v>
      </c>
      <c r="M38" s="170" t="n">
        <v>50</v>
      </c>
      <c r="N38" s="170" t="n">
        <v>29087</v>
      </c>
      <c r="O38" s="170" t="n">
        <v>10</v>
      </c>
      <c r="P38" s="59" t="inlineStr">
        <is>
          <t>local_aux</t>
        </is>
      </c>
      <c r="Q38" s="59" t="inlineStr">
        <is>
          <t>Scheduled run 35 terminal</t>
        </is>
      </c>
    </row>
    <row r="39">
      <c r="A39" s="167" t="n">
        <v>46302</v>
      </c>
      <c r="B39" s="59" t="inlineStr">
        <is>
          <t>Hoàn thành có lỗi</t>
        </is>
      </c>
      <c r="C39" s="59" t="inlineStr">
        <is>
          <t>36</t>
        </is>
      </c>
      <c r="D39" s="168" t="n">
        <v>46302.02296614584</v>
      </c>
      <c r="E39" s="168" t="n">
        <v>46302.77321714121</v>
      </c>
      <c r="F39" s="169">
        <f>IF(AND(D39&lt;&gt;"",E39&lt;&gt;""),(E39-D39)*24,"")</f>
        <v/>
      </c>
      <c r="G39" s="170" t="n">
        <v>3540</v>
      </c>
      <c r="H39" s="170" t="n">
        <v>3540</v>
      </c>
      <c r="I39" s="170" t="n">
        <v>3078</v>
      </c>
      <c r="J39" s="170" t="n">
        <v>0</v>
      </c>
      <c r="K39" s="170" t="n">
        <v>312</v>
      </c>
      <c r="L39" s="170" t="n">
        <v>100</v>
      </c>
      <c r="M39" s="170" t="n">
        <v>50</v>
      </c>
      <c r="N39" s="170" t="n">
        <v>29671</v>
      </c>
      <c r="O39" s="170" t="n">
        <v>10</v>
      </c>
      <c r="P39" s="59" t="inlineStr">
        <is>
          <t>local_aux</t>
        </is>
      </c>
      <c r="Q39" s="59" t="inlineStr">
        <is>
          <t>Scheduled run 36 terminal</t>
        </is>
      </c>
    </row>
    <row r="40">
      <c r="A40" s="167" t="n">
        <v>46303</v>
      </c>
      <c r="B40" s="59" t="inlineStr">
        <is>
          <t>Hoàn thành có lỗi</t>
        </is>
      </c>
      <c r="C40" s="59" t="inlineStr">
        <is>
          <t>37</t>
        </is>
      </c>
      <c r="D40" s="168" t="n">
        <v>46303.02139259259</v>
      </c>
      <c r="E40" s="168" t="n">
        <v>46303.76335880787</v>
      </c>
      <c r="F40" s="169">
        <f>IF(AND(D40&lt;&gt;"",E40&lt;&gt;""),(E40-D40)*24,"")</f>
        <v/>
      </c>
      <c r="G40" s="170" t="n">
        <v>3540</v>
      </c>
      <c r="H40" s="170" t="n">
        <v>3540</v>
      </c>
      <c r="I40" s="170" t="n">
        <v>3056</v>
      </c>
      <c r="J40" s="170" t="n">
        <v>0</v>
      </c>
      <c r="K40" s="170" t="n">
        <v>314</v>
      </c>
      <c r="L40" s="170" t="n">
        <v>120</v>
      </c>
      <c r="M40" s="170" t="n">
        <v>50</v>
      </c>
      <c r="N40" s="170" t="n">
        <v>29442</v>
      </c>
      <c r="O40" s="170" t="n">
        <v>10</v>
      </c>
      <c r="P40" s="59" t="inlineStr">
        <is>
          <t>local_aux</t>
        </is>
      </c>
      <c r="Q40" s="59" t="inlineStr">
        <is>
          <t>Scheduled run 37 terminal</t>
        </is>
      </c>
    </row>
    <row r="41">
      <c r="A41" s="167" t="n">
        <v>46304</v>
      </c>
      <c r="B41" s="59" t="inlineStr">
        <is>
          <t>Hoàn thành có lỗi</t>
        </is>
      </c>
      <c r="C41" s="59" t="inlineStr">
        <is>
          <t>38</t>
        </is>
      </c>
      <c r="D41" s="168" t="n">
        <v>46304.02179732639</v>
      </c>
      <c r="E41" s="168" t="n">
        <v>46304.77693672453</v>
      </c>
      <c r="F41" s="169">
        <f>IF(AND(D41&lt;&gt;"",E41&lt;&gt;""),(E41-D41)*24,"")</f>
        <v/>
      </c>
      <c r="G41" s="170" t="n">
        <v>3540</v>
      </c>
      <c r="H41" s="170" t="n">
        <v>3540</v>
      </c>
      <c r="I41" s="170" t="n">
        <v>3014</v>
      </c>
      <c r="J41" s="170" t="n">
        <v>0</v>
      </c>
      <c r="K41" s="170" t="n">
        <v>326</v>
      </c>
      <c r="L41" s="170" t="n">
        <v>90</v>
      </c>
      <c r="M41" s="170" t="n">
        <v>110</v>
      </c>
      <c r="N41" s="170" t="n">
        <v>28678</v>
      </c>
      <c r="O41" s="170" t="n">
        <v>10</v>
      </c>
      <c r="P41" s="59" t="inlineStr">
        <is>
          <t>local_aux</t>
        </is>
      </c>
      <c r="Q41" s="59" t="inlineStr">
        <is>
          <t>Scheduled run 38 terminal</t>
        </is>
      </c>
    </row>
    <row r="42">
      <c r="A42" s="167" t="n">
        <v>46305</v>
      </c>
      <c r="B42" s="59" t="inlineStr">
        <is>
          <t>Hoàn thành có lỗi</t>
        </is>
      </c>
      <c r="C42" s="59" t="inlineStr">
        <is>
          <t>39</t>
        </is>
      </c>
      <c r="D42" s="168" t="n">
        <v>46305.01922288194</v>
      </c>
      <c r="E42" s="168" t="n">
        <v>46305.75559658564</v>
      </c>
      <c r="F42" s="169">
        <f>IF(AND(D42&lt;&gt;"",E42&lt;&gt;""),(E42-D42)*24,"")</f>
        <v/>
      </c>
      <c r="G42" s="170" t="n">
        <v>3540</v>
      </c>
      <c r="H42" s="170" t="n">
        <v>3540</v>
      </c>
      <c r="I42" s="170" t="n">
        <v>3011</v>
      </c>
      <c r="J42" s="170" t="n">
        <v>0</v>
      </c>
      <c r="K42" s="170" t="n">
        <v>339</v>
      </c>
      <c r="L42" s="170" t="n">
        <v>80</v>
      </c>
      <c r="M42" s="170" t="n">
        <v>110</v>
      </c>
      <c r="N42" s="170" t="n">
        <v>28657</v>
      </c>
      <c r="O42" s="170" t="n">
        <v>10</v>
      </c>
      <c r="P42" s="59" t="inlineStr">
        <is>
          <t>local_aux</t>
        </is>
      </c>
      <c r="Q42" s="59" t="inlineStr">
        <is>
          <t>Scheduled run 39 terminal</t>
        </is>
      </c>
    </row>
    <row r="43">
      <c r="A43" s="167" t="n">
        <v>46306</v>
      </c>
      <c r="B43" s="59" t="inlineStr">
        <is>
          <t>Hoàn thành có lỗi</t>
        </is>
      </c>
      <c r="C43" s="59" t="inlineStr">
        <is>
          <t>40</t>
        </is>
      </c>
      <c r="D43" s="168" t="n">
        <v>46306.02048282407</v>
      </c>
      <c r="E43" s="168" t="n">
        <v>46306.76039171296</v>
      </c>
      <c r="F43" s="169">
        <f>IF(AND(D43&lt;&gt;"",E43&lt;&gt;""),(E43-D43)*24,"")</f>
        <v/>
      </c>
      <c r="G43" s="170" t="n">
        <v>3540</v>
      </c>
      <c r="H43" s="170" t="n">
        <v>3540</v>
      </c>
      <c r="I43" s="170" t="n">
        <v>3010</v>
      </c>
      <c r="J43" s="170" t="n">
        <v>0</v>
      </c>
      <c r="K43" s="170" t="n">
        <v>350</v>
      </c>
      <c r="L43" s="170" t="n">
        <v>70</v>
      </c>
      <c r="M43" s="170" t="n">
        <v>110</v>
      </c>
      <c r="N43" s="170" t="n">
        <v>28471</v>
      </c>
      <c r="O43" s="170" t="n">
        <v>10</v>
      </c>
      <c r="P43" s="59" t="inlineStr">
        <is>
          <t>local_aux</t>
        </is>
      </c>
      <c r="Q43" s="59" t="inlineStr">
        <is>
          <t>Scheduled run 40 terminal</t>
        </is>
      </c>
    </row>
    <row r="44">
      <c r="A44" s="167" t="n">
        <v>46307</v>
      </c>
      <c r="B44" s="59" t="inlineStr">
        <is>
          <t>Hoàn thành có lỗi</t>
        </is>
      </c>
      <c r="C44" s="59" t="inlineStr">
        <is>
          <t>41</t>
        </is>
      </c>
      <c r="D44" s="168" t="n">
        <v>46307.03053043981</v>
      </c>
      <c r="E44" s="168" t="n">
        <v>46307.78793077546</v>
      </c>
      <c r="F44" s="169">
        <f>IF(AND(D44&lt;&gt;"",E44&lt;&gt;""),(E44-D44)*24,"")</f>
        <v/>
      </c>
      <c r="G44" s="170" t="n">
        <v>3540</v>
      </c>
      <c r="H44" s="170" t="n">
        <v>3540</v>
      </c>
      <c r="I44" s="170" t="n">
        <v>3017</v>
      </c>
      <c r="J44" s="170" t="n">
        <v>0</v>
      </c>
      <c r="K44" s="170" t="n">
        <v>343</v>
      </c>
      <c r="L44" s="170" t="n">
        <v>70</v>
      </c>
      <c r="M44" s="170" t="n">
        <v>110</v>
      </c>
      <c r="N44" s="170" t="n">
        <v>28320</v>
      </c>
      <c r="O44" s="170" t="n">
        <v>10</v>
      </c>
      <c r="P44" s="59" t="inlineStr">
        <is>
          <t>local_aux</t>
        </is>
      </c>
      <c r="Q44" s="59" t="inlineStr">
        <is>
          <t>Scheduled run 41 terminal</t>
        </is>
      </c>
    </row>
    <row r="45">
      <c r="A45" s="167" t="n">
        <v>46308</v>
      </c>
      <c r="B45" s="59" t="inlineStr">
        <is>
          <t>Hoàn thành có lỗi</t>
        </is>
      </c>
      <c r="C45" s="59" t="inlineStr">
        <is>
          <t>42</t>
        </is>
      </c>
      <c r="D45" s="168" t="n">
        <v>46308.02002466435</v>
      </c>
      <c r="E45" s="168" t="n">
        <v>46308.75924520919</v>
      </c>
      <c r="F45" s="169">
        <f>IF(AND(D45&lt;&gt;"",E45&lt;&gt;""),(E45-D45)*24,"")</f>
        <v/>
      </c>
      <c r="G45" s="170" t="n">
        <v>3540</v>
      </c>
      <c r="H45" s="170" t="n">
        <v>3540</v>
      </c>
      <c r="I45" s="170" t="n">
        <v>3006</v>
      </c>
      <c r="J45" s="170" t="n">
        <v>0</v>
      </c>
      <c r="K45" s="170" t="n">
        <v>354</v>
      </c>
      <c r="L45" s="170" t="n">
        <v>70</v>
      </c>
      <c r="M45" s="170" t="n">
        <v>110</v>
      </c>
      <c r="N45" s="170" t="n">
        <v>28376</v>
      </c>
      <c r="O45" s="170" t="n">
        <v>10</v>
      </c>
      <c r="P45" s="59" t="inlineStr">
        <is>
          <t>local_aux</t>
        </is>
      </c>
      <c r="Q45" s="59" t="inlineStr">
        <is>
          <t>Scheduled run 42 terminal</t>
        </is>
      </c>
    </row>
    <row r="46">
      <c r="A46" s="167" t="n">
        <v>46309</v>
      </c>
      <c r="B46" s="59" t="inlineStr">
        <is>
          <t>Chưa chạy</t>
        </is>
      </c>
      <c r="C46" s="59" t="n"/>
      <c r="D46" s="168" t="n"/>
      <c r="E46" s="168" t="n"/>
      <c r="F46" s="169">
        <f>IF(AND(D46&lt;&gt;"",E46&lt;&gt;""),(E46-D46)*24,"")</f>
        <v/>
      </c>
      <c r="G46" s="170" t="n"/>
      <c r="H46" s="170" t="n"/>
      <c r="I46" s="170" t="n"/>
      <c r="J46" s="170" t="n"/>
      <c r="K46" s="170" t="n"/>
      <c r="L46" s="170" t="n"/>
      <c r="M46" s="170" t="n"/>
      <c r="N46" s="170" t="n"/>
      <c r="O46" s="170" t="n">
        <v>10</v>
      </c>
      <c r="P46" s="59" t="inlineStr">
        <is>
          <t>local_aux</t>
        </is>
      </c>
      <c r="Q46" s="59" t="n"/>
    </row>
    <row r="47">
      <c r="A47" s="167" t="n">
        <v>46310</v>
      </c>
      <c r="B47" s="59" t="inlineStr">
        <is>
          <t>Chưa chạy</t>
        </is>
      </c>
      <c r="C47" s="59" t="n"/>
      <c r="D47" s="168" t="n"/>
      <c r="E47" s="168" t="n"/>
      <c r="F47" s="169">
        <f>IF(AND(D47&lt;&gt;"",E47&lt;&gt;""),(E47-D47)*24,"")</f>
        <v/>
      </c>
      <c r="G47" s="170" t="n"/>
      <c r="H47" s="170" t="n"/>
      <c r="I47" s="170" t="n"/>
      <c r="J47" s="170" t="n"/>
      <c r="K47" s="170" t="n"/>
      <c r="L47" s="170" t="n"/>
      <c r="M47" s="170" t="n"/>
      <c r="N47" s="170" t="n"/>
      <c r="O47" s="170" t="n">
        <v>10</v>
      </c>
      <c r="P47" s="59" t="inlineStr">
        <is>
          <t>local_aux</t>
        </is>
      </c>
      <c r="Q47" s="59" t="n"/>
    </row>
    <row r="48">
      <c r="A48" s="167" t="n">
        <v>46311</v>
      </c>
      <c r="B48" s="59" t="inlineStr">
        <is>
          <t>Chưa chạy</t>
        </is>
      </c>
      <c r="C48" s="59" t="n"/>
      <c r="D48" s="168" t="n"/>
      <c r="E48" s="168" t="n"/>
      <c r="F48" s="169">
        <f>IF(AND(D48&lt;&gt;"",E48&lt;&gt;""),(E48-D48)*24,"")</f>
        <v/>
      </c>
      <c r="G48" s="170" t="n"/>
      <c r="H48" s="170" t="n"/>
      <c r="I48" s="170" t="n"/>
      <c r="J48" s="170" t="n"/>
      <c r="K48" s="170" t="n"/>
      <c r="L48" s="170" t="n"/>
      <c r="M48" s="170" t="n"/>
      <c r="N48" s="170" t="n"/>
      <c r="O48" s="170" t="n">
        <v>10</v>
      </c>
      <c r="P48" s="59" t="inlineStr">
        <is>
          <t>local_aux</t>
        </is>
      </c>
      <c r="Q48" s="59" t="n"/>
    </row>
    <row r="49">
      <c r="A49" s="167" t="n">
        <v>46312</v>
      </c>
      <c r="B49" s="59" t="inlineStr">
        <is>
          <t>Chưa chạy</t>
        </is>
      </c>
      <c r="C49" s="59" t="n"/>
      <c r="D49" s="168" t="n"/>
      <c r="E49" s="168" t="n"/>
      <c r="F49" s="169">
        <f>IF(AND(D49&lt;&gt;"",E49&lt;&gt;""),(E49-D49)*24,"")</f>
        <v/>
      </c>
      <c r="G49" s="170" t="n"/>
      <c r="H49" s="170" t="n"/>
      <c r="I49" s="170" t="n"/>
      <c r="J49" s="170" t="n"/>
      <c r="K49" s="170" t="n"/>
      <c r="L49" s="170" t="n"/>
      <c r="M49" s="170" t="n"/>
      <c r="N49" s="170" t="n"/>
      <c r="O49" s="170" t="n">
        <v>10</v>
      </c>
      <c r="P49" s="59" t="inlineStr">
        <is>
          <t>local_aux</t>
        </is>
      </c>
      <c r="Q49" s="59" t="n"/>
    </row>
    <row r="50">
      <c r="A50" s="167" t="n">
        <v>46313</v>
      </c>
      <c r="B50" s="59" t="inlineStr">
        <is>
          <t>Chưa chạy</t>
        </is>
      </c>
      <c r="C50" s="59" t="n"/>
      <c r="D50" s="168" t="n"/>
      <c r="E50" s="168" t="n"/>
      <c r="F50" s="169">
        <f>IF(AND(D50&lt;&gt;"",E50&lt;&gt;""),(E50-D50)*24,"")</f>
        <v/>
      </c>
      <c r="G50" s="170" t="n"/>
      <c r="H50" s="170" t="n"/>
      <c r="I50" s="170" t="n"/>
      <c r="J50" s="170" t="n"/>
      <c r="K50" s="170" t="n"/>
      <c r="L50" s="170" t="n"/>
      <c r="M50" s="170" t="n"/>
      <c r="N50" s="170" t="n"/>
      <c r="O50" s="170" t="n">
        <v>10</v>
      </c>
      <c r="P50" s="59" t="inlineStr">
        <is>
          <t>local_aux</t>
        </is>
      </c>
      <c r="Q50" s="59" t="n"/>
    </row>
    <row r="51">
      <c r="A51" s="167" t="n">
        <v>46314</v>
      </c>
      <c r="B51" s="59" t="inlineStr">
        <is>
          <t>Chưa chạy</t>
        </is>
      </c>
      <c r="C51" s="59" t="n"/>
      <c r="D51" s="168" t="n"/>
      <c r="E51" s="168" t="n"/>
      <c r="F51" s="169">
        <f>IF(AND(D51&lt;&gt;"",E51&lt;&gt;""),(E51-D51)*24,"")</f>
        <v/>
      </c>
      <c r="G51" s="170" t="n"/>
      <c r="H51" s="170" t="n"/>
      <c r="I51" s="170" t="n"/>
      <c r="J51" s="170" t="n"/>
      <c r="K51" s="170" t="n"/>
      <c r="L51" s="170" t="n"/>
      <c r="M51" s="170" t="n"/>
      <c r="N51" s="170" t="n"/>
      <c r="O51" s="170" t="n">
        <v>10</v>
      </c>
      <c r="P51" s="59" t="inlineStr">
        <is>
          <t>local_aux</t>
        </is>
      </c>
      <c r="Q51" s="59" t="n"/>
    </row>
    <row r="52">
      <c r="A52" s="167" t="n">
        <v>46315</v>
      </c>
      <c r="B52" s="59" t="inlineStr">
        <is>
          <t>Chưa chạy</t>
        </is>
      </c>
      <c r="C52" s="59" t="n"/>
      <c r="D52" s="168" t="n"/>
      <c r="E52" s="168" t="n"/>
      <c r="F52" s="169">
        <f>IF(AND(D52&lt;&gt;"",E52&lt;&gt;""),(E52-D52)*24,"")</f>
        <v/>
      </c>
      <c r="G52" s="170" t="n"/>
      <c r="H52" s="170" t="n"/>
      <c r="I52" s="170" t="n"/>
      <c r="J52" s="170" t="n"/>
      <c r="K52" s="170" t="n"/>
      <c r="L52" s="170" t="n"/>
      <c r="M52" s="170" t="n"/>
      <c r="N52" s="170" t="n"/>
      <c r="O52" s="170" t="n">
        <v>10</v>
      </c>
      <c r="P52" s="59" t="inlineStr">
        <is>
          <t>local_aux</t>
        </is>
      </c>
      <c r="Q52" s="59" t="n"/>
    </row>
    <row r="53">
      <c r="A53" s="167" t="n">
        <v>46316</v>
      </c>
      <c r="B53" s="59" t="inlineStr">
        <is>
          <t>Chưa chạy</t>
        </is>
      </c>
      <c r="C53" s="59" t="n"/>
      <c r="D53" s="168" t="n"/>
      <c r="E53" s="168" t="n"/>
      <c r="F53" s="169">
        <f>IF(AND(D53&lt;&gt;"",E53&lt;&gt;""),(E53-D53)*24,"")</f>
        <v/>
      </c>
      <c r="G53" s="170" t="n"/>
      <c r="H53" s="170" t="n"/>
      <c r="I53" s="170" t="n"/>
      <c r="J53" s="170" t="n"/>
      <c r="K53" s="170" t="n"/>
      <c r="L53" s="170" t="n"/>
      <c r="M53" s="170" t="n"/>
      <c r="N53" s="170" t="n"/>
      <c r="O53" s="170" t="n">
        <v>10</v>
      </c>
      <c r="P53" s="59" t="inlineStr">
        <is>
          <t>local_aux</t>
        </is>
      </c>
      <c r="Q53" s="59" t="n"/>
    </row>
    <row r="54">
      <c r="A54" s="167" t="n">
        <v>46317</v>
      </c>
      <c r="B54" s="59" t="inlineStr">
        <is>
          <t>Chưa chạy</t>
        </is>
      </c>
      <c r="C54" s="59" t="n"/>
      <c r="D54" s="168" t="n"/>
      <c r="E54" s="168" t="n"/>
      <c r="F54" s="169">
        <f>IF(AND(D54&lt;&gt;"",E54&lt;&gt;""),(E54-D54)*24,"")</f>
        <v/>
      </c>
      <c r="G54" s="170" t="n"/>
      <c r="H54" s="170" t="n"/>
      <c r="I54" s="170" t="n"/>
      <c r="J54" s="170" t="n"/>
      <c r="K54" s="170" t="n"/>
      <c r="L54" s="170" t="n"/>
      <c r="M54" s="170" t="n"/>
      <c r="N54" s="170" t="n"/>
      <c r="O54" s="170" t="n">
        <v>10</v>
      </c>
      <c r="P54" s="59" t="inlineStr">
        <is>
          <t>local_aux</t>
        </is>
      </c>
      <c r="Q54" s="59" t="n"/>
    </row>
    <row r="55">
      <c r="A55" s="167" t="n">
        <v>46318</v>
      </c>
      <c r="B55" s="59" t="inlineStr">
        <is>
          <t>Chưa chạy</t>
        </is>
      </c>
      <c r="C55" s="59" t="n"/>
      <c r="D55" s="168" t="n"/>
      <c r="E55" s="168" t="n"/>
      <c r="F55" s="169">
        <f>IF(AND(D55&lt;&gt;"",E55&lt;&gt;""),(E55-D55)*24,"")</f>
        <v/>
      </c>
      <c r="G55" s="170" t="n"/>
      <c r="H55" s="170" t="n"/>
      <c r="I55" s="170" t="n"/>
      <c r="J55" s="170" t="n"/>
      <c r="K55" s="170" t="n"/>
      <c r="L55" s="170" t="n"/>
      <c r="M55" s="170" t="n"/>
      <c r="N55" s="170" t="n"/>
      <c r="O55" s="170" t="n">
        <v>10</v>
      </c>
      <c r="P55" s="59" t="inlineStr">
        <is>
          <t>local_aux</t>
        </is>
      </c>
      <c r="Q55" s="59" t="n"/>
    </row>
    <row r="56">
      <c r="A56" s="167" t="n">
        <v>46319</v>
      </c>
      <c r="B56" s="59" t="inlineStr">
        <is>
          <t>Chưa chạy</t>
        </is>
      </c>
      <c r="C56" s="59" t="n"/>
      <c r="D56" s="168" t="n"/>
      <c r="E56" s="168" t="n"/>
      <c r="F56" s="169">
        <f>IF(AND(D56&lt;&gt;"",E56&lt;&gt;""),(E56-D56)*24,"")</f>
        <v/>
      </c>
      <c r="G56" s="170" t="n"/>
      <c r="H56" s="170" t="n"/>
      <c r="I56" s="170" t="n"/>
      <c r="J56" s="170" t="n"/>
      <c r="K56" s="170" t="n"/>
      <c r="L56" s="170" t="n"/>
      <c r="M56" s="170" t="n"/>
      <c r="N56" s="170" t="n"/>
      <c r="O56" s="170" t="n">
        <v>10</v>
      </c>
      <c r="P56" s="59" t="inlineStr">
        <is>
          <t>local_aux</t>
        </is>
      </c>
      <c r="Q56" s="59" t="n"/>
    </row>
    <row r="57">
      <c r="A57" s="167" t="n">
        <v>46320</v>
      </c>
      <c r="B57" s="59" t="inlineStr">
        <is>
          <t>Chưa chạy</t>
        </is>
      </c>
      <c r="C57" s="59" t="n"/>
      <c r="D57" s="168" t="n"/>
      <c r="E57" s="168" t="n"/>
      <c r="F57" s="169">
        <f>IF(AND(D57&lt;&gt;"",E57&lt;&gt;""),(E57-D57)*24,"")</f>
        <v/>
      </c>
      <c r="G57" s="170" t="n"/>
      <c r="H57" s="170" t="n"/>
      <c r="I57" s="170" t="n"/>
      <c r="J57" s="170" t="n"/>
      <c r="K57" s="170" t="n"/>
      <c r="L57" s="170" t="n"/>
      <c r="M57" s="170" t="n"/>
      <c r="N57" s="170" t="n"/>
      <c r="O57" s="170" t="n">
        <v>10</v>
      </c>
      <c r="P57" s="59" t="inlineStr">
        <is>
          <t>local_aux</t>
        </is>
      </c>
      <c r="Q57" s="59" t="n"/>
    </row>
    <row r="58">
      <c r="A58" s="167" t="n">
        <v>46321</v>
      </c>
      <c r="B58" s="59" t="inlineStr">
        <is>
          <t>Chưa chạy</t>
        </is>
      </c>
      <c r="C58" s="59" t="n"/>
      <c r="D58" s="168" t="n"/>
      <c r="E58" s="168" t="n"/>
      <c r="F58" s="169">
        <f>IF(AND(D58&lt;&gt;"",E58&lt;&gt;""),(E58-D58)*24,"")</f>
        <v/>
      </c>
      <c r="G58" s="170" t="n"/>
      <c r="H58" s="170" t="n"/>
      <c r="I58" s="170" t="n"/>
      <c r="J58" s="170" t="n"/>
      <c r="K58" s="170" t="n"/>
      <c r="L58" s="170" t="n"/>
      <c r="M58" s="170" t="n"/>
      <c r="N58" s="170" t="n"/>
      <c r="O58" s="170" t="n">
        <v>10</v>
      </c>
      <c r="P58" s="59" t="inlineStr">
        <is>
          <t>local_aux</t>
        </is>
      </c>
      <c r="Q58" s="59" t="n"/>
    </row>
    <row r="59">
      <c r="A59" s="167" t="n">
        <v>46322</v>
      </c>
      <c r="B59" s="59" t="inlineStr">
        <is>
          <t>Chưa chạy</t>
        </is>
      </c>
      <c r="C59" s="59" t="n"/>
      <c r="D59" s="168" t="n"/>
      <c r="E59" s="168" t="n"/>
      <c r="F59" s="169">
        <f>IF(AND(D59&lt;&gt;"",E59&lt;&gt;""),(E59-D59)*24,"")</f>
        <v/>
      </c>
      <c r="G59" s="170" t="n"/>
      <c r="H59" s="170" t="n"/>
      <c r="I59" s="170" t="n"/>
      <c r="J59" s="170" t="n"/>
      <c r="K59" s="170" t="n"/>
      <c r="L59" s="170" t="n"/>
      <c r="M59" s="170" t="n"/>
      <c r="N59" s="170" t="n"/>
      <c r="O59" s="170" t="n">
        <v>10</v>
      </c>
      <c r="P59" s="59" t="inlineStr">
        <is>
          <t>local_aux</t>
        </is>
      </c>
      <c r="Q59" s="59" t="n"/>
    </row>
    <row r="60">
      <c r="A60" s="167" t="n">
        <v>46323</v>
      </c>
      <c r="B60" s="59" t="inlineStr">
        <is>
          <t>Chưa chạy</t>
        </is>
      </c>
      <c r="C60" s="59" t="n"/>
      <c r="D60" s="168" t="n"/>
      <c r="E60" s="168" t="n"/>
      <c r="F60" s="169">
        <f>IF(AND(D60&lt;&gt;"",E60&lt;&gt;""),(E60-D60)*24,"")</f>
        <v/>
      </c>
      <c r="G60" s="170" t="n"/>
      <c r="H60" s="170" t="n"/>
      <c r="I60" s="170" t="n"/>
      <c r="J60" s="170" t="n"/>
      <c r="K60" s="170" t="n"/>
      <c r="L60" s="170" t="n"/>
      <c r="M60" s="170" t="n"/>
      <c r="N60" s="170" t="n"/>
      <c r="O60" s="170" t="n">
        <v>10</v>
      </c>
      <c r="P60" s="59" t="inlineStr">
        <is>
          <t>local_aux</t>
        </is>
      </c>
      <c r="Q60" s="59" t="n"/>
    </row>
    <row r="61">
      <c r="A61" s="167" t="n">
        <v>46324</v>
      </c>
      <c r="B61" s="59" t="inlineStr">
        <is>
          <t>Chưa chạy</t>
        </is>
      </c>
      <c r="C61" s="59" t="n"/>
      <c r="D61" s="168" t="n"/>
      <c r="E61" s="168" t="n"/>
      <c r="F61" s="169">
        <f>IF(AND(D61&lt;&gt;"",E61&lt;&gt;""),(E61-D61)*24,"")</f>
        <v/>
      </c>
      <c r="G61" s="170" t="n"/>
      <c r="H61" s="170" t="n"/>
      <c r="I61" s="170" t="n"/>
      <c r="J61" s="170" t="n"/>
      <c r="K61" s="170" t="n"/>
      <c r="L61" s="170" t="n"/>
      <c r="M61" s="170" t="n"/>
      <c r="N61" s="170" t="n"/>
      <c r="O61" s="170" t="n">
        <v>10</v>
      </c>
      <c r="P61" s="59" t="inlineStr">
        <is>
          <t>local_aux</t>
        </is>
      </c>
      <c r="Q61" s="59" t="n"/>
    </row>
    <row r="62">
      <c r="A62" s="167" t="n">
        <v>46325</v>
      </c>
      <c r="B62" s="59" t="inlineStr">
        <is>
          <t>Chưa chạy</t>
        </is>
      </c>
      <c r="C62" s="59" t="n"/>
      <c r="D62" s="168" t="n"/>
      <c r="E62" s="168" t="n"/>
      <c r="F62" s="169">
        <f>IF(AND(D62&lt;&gt;"",E62&lt;&gt;""),(E62-D62)*24,"")</f>
        <v/>
      </c>
      <c r="G62" s="170" t="n"/>
      <c r="H62" s="170" t="n"/>
      <c r="I62" s="170" t="n"/>
      <c r="J62" s="170" t="n"/>
      <c r="K62" s="170" t="n"/>
      <c r="L62" s="170" t="n"/>
      <c r="M62" s="170" t="n"/>
      <c r="N62" s="170" t="n"/>
      <c r="O62" s="170" t="n">
        <v>10</v>
      </c>
      <c r="P62" s="59" t="inlineStr">
        <is>
          <t>local_aux</t>
        </is>
      </c>
      <c r="Q62" s="59" t="n"/>
    </row>
    <row r="63">
      <c r="A63" s="167" t="n">
        <v>46326</v>
      </c>
      <c r="B63" s="59" t="inlineStr">
        <is>
          <t>Chưa chạy</t>
        </is>
      </c>
      <c r="C63" s="59" t="n"/>
      <c r="D63" s="168" t="n"/>
      <c r="E63" s="168" t="n"/>
      <c r="F63" s="169">
        <f>IF(AND(D63&lt;&gt;"",E63&lt;&gt;""),(E63-D63)*24,"")</f>
        <v/>
      </c>
      <c r="G63" s="170" t="n"/>
      <c r="H63" s="170" t="n"/>
      <c r="I63" s="170" t="n"/>
      <c r="J63" s="170" t="n"/>
      <c r="K63" s="170" t="n"/>
      <c r="L63" s="170" t="n"/>
      <c r="M63" s="170" t="n"/>
      <c r="N63" s="170" t="n"/>
      <c r="O63" s="170" t="n">
        <v>10</v>
      </c>
      <c r="P63" s="59" t="inlineStr">
        <is>
          <t>local_aux</t>
        </is>
      </c>
      <c r="Q63" s="59" t="n"/>
    </row>
    <row r="64">
      <c r="A64" s="167" t="n">
        <v>46327</v>
      </c>
      <c r="B64" s="59" t="inlineStr">
        <is>
          <t>Chưa chạy</t>
        </is>
      </c>
      <c r="C64" s="59" t="n"/>
      <c r="D64" s="168" t="n"/>
      <c r="E64" s="168" t="n"/>
      <c r="F64" s="169">
        <f>IF(AND(D64&lt;&gt;"",E64&lt;&gt;""),(E64-D64)*24,"")</f>
        <v/>
      </c>
      <c r="G64" s="170" t="n"/>
      <c r="H64" s="170" t="n"/>
      <c r="I64" s="170" t="n"/>
      <c r="J64" s="170" t="n"/>
      <c r="K64" s="170" t="n"/>
      <c r="L64" s="170" t="n"/>
      <c r="M64" s="170" t="n"/>
      <c r="N64" s="170" t="n"/>
      <c r="O64" s="170" t="n">
        <v>10</v>
      </c>
      <c r="P64" s="59" t="inlineStr">
        <is>
          <t>local_aux</t>
        </is>
      </c>
      <c r="Q64" s="59" t="n"/>
    </row>
    <row r="65">
      <c r="A65" s="167" t="n">
        <v>46328</v>
      </c>
      <c r="B65" s="59" t="inlineStr">
        <is>
          <t>Chưa chạy</t>
        </is>
      </c>
      <c r="C65" s="59" t="n"/>
      <c r="D65" s="168" t="n"/>
      <c r="E65" s="168" t="n"/>
      <c r="F65" s="169">
        <f>IF(AND(D65&lt;&gt;"",E65&lt;&gt;""),(E65-D65)*24,"")</f>
        <v/>
      </c>
      <c r="G65" s="170" t="n"/>
      <c r="H65" s="170" t="n"/>
      <c r="I65" s="170" t="n"/>
      <c r="J65" s="170" t="n"/>
      <c r="K65" s="170" t="n"/>
      <c r="L65" s="170" t="n"/>
      <c r="M65" s="170" t="n"/>
      <c r="N65" s="170" t="n"/>
      <c r="O65" s="170" t="n">
        <v>10</v>
      </c>
      <c r="P65" s="59" t="inlineStr">
        <is>
          <t>local_aux</t>
        </is>
      </c>
      <c r="Q65" s="59" t="n"/>
    </row>
    <row r="66">
      <c r="A66" s="167" t="n">
        <v>46329</v>
      </c>
      <c r="B66" s="59" t="inlineStr">
        <is>
          <t>Chưa chạy</t>
        </is>
      </c>
      <c r="C66" s="59" t="n"/>
      <c r="D66" s="168" t="n"/>
      <c r="E66" s="168" t="n"/>
      <c r="F66" s="169">
        <f>IF(AND(D66&lt;&gt;"",E66&lt;&gt;""),(E66-D66)*24,"")</f>
        <v/>
      </c>
      <c r="G66" s="170" t="n"/>
      <c r="H66" s="170" t="n"/>
      <c r="I66" s="170" t="n"/>
      <c r="J66" s="170" t="n"/>
      <c r="K66" s="170" t="n"/>
      <c r="L66" s="170" t="n"/>
      <c r="M66" s="170" t="n"/>
      <c r="N66" s="170" t="n"/>
      <c r="O66" s="170" t="n">
        <v>10</v>
      </c>
      <c r="P66" s="59" t="inlineStr">
        <is>
          <t>local_aux</t>
        </is>
      </c>
      <c r="Q66" s="59" t="n"/>
    </row>
    <row r="67">
      <c r="A67" s="167" t="n">
        <v>46330</v>
      </c>
      <c r="B67" s="59" t="inlineStr">
        <is>
          <t>Chưa chạy</t>
        </is>
      </c>
      <c r="C67" s="59" t="n"/>
      <c r="D67" s="168" t="n"/>
      <c r="E67" s="168" t="n"/>
      <c r="F67" s="169">
        <f>IF(AND(D67&lt;&gt;"",E67&lt;&gt;""),(E67-D67)*24,"")</f>
        <v/>
      </c>
      <c r="G67" s="170" t="n"/>
      <c r="H67" s="170" t="n"/>
      <c r="I67" s="170" t="n"/>
      <c r="J67" s="170" t="n"/>
      <c r="K67" s="170" t="n"/>
      <c r="L67" s="170" t="n"/>
      <c r="M67" s="170" t="n"/>
      <c r="N67" s="170" t="n"/>
      <c r="O67" s="170" t="n">
        <v>10</v>
      </c>
      <c r="P67" s="59" t="inlineStr">
        <is>
          <t>local_aux</t>
        </is>
      </c>
      <c r="Q67" s="59" t="n"/>
    </row>
    <row r="68">
      <c r="A68" s="167" t="n">
        <v>46331</v>
      </c>
      <c r="B68" s="59" t="inlineStr">
        <is>
          <t>Chưa chạy</t>
        </is>
      </c>
      <c r="C68" s="59" t="n"/>
      <c r="D68" s="168" t="n"/>
      <c r="E68" s="168" t="n"/>
      <c r="F68" s="169">
        <f>IF(AND(D68&lt;&gt;"",E68&lt;&gt;""),(E68-D68)*24,"")</f>
        <v/>
      </c>
      <c r="G68" s="170" t="n"/>
      <c r="H68" s="170" t="n"/>
      <c r="I68" s="170" t="n"/>
      <c r="J68" s="170" t="n"/>
      <c r="K68" s="170" t="n"/>
      <c r="L68" s="170" t="n"/>
      <c r="M68" s="170" t="n"/>
      <c r="N68" s="170" t="n"/>
      <c r="O68" s="170" t="n">
        <v>10</v>
      </c>
      <c r="P68" s="59" t="inlineStr">
        <is>
          <t>local_aux</t>
        </is>
      </c>
      <c r="Q68" s="59" t="n"/>
    </row>
    <row r="69">
      <c r="A69" s="167" t="n">
        <v>46332</v>
      </c>
      <c r="B69" s="59" t="inlineStr">
        <is>
          <t>Chưa chạy</t>
        </is>
      </c>
      <c r="C69" s="59" t="n"/>
      <c r="D69" s="168" t="n"/>
      <c r="E69" s="168" t="n"/>
      <c r="F69" s="169">
        <f>IF(AND(D69&lt;&gt;"",E69&lt;&gt;""),(E69-D69)*24,"")</f>
        <v/>
      </c>
      <c r="G69" s="170" t="n"/>
      <c r="H69" s="170" t="n"/>
      <c r="I69" s="170" t="n"/>
      <c r="J69" s="170" t="n"/>
      <c r="K69" s="170" t="n"/>
      <c r="L69" s="170" t="n"/>
      <c r="M69" s="170" t="n"/>
      <c r="N69" s="170" t="n"/>
      <c r="O69" s="170" t="n">
        <v>10</v>
      </c>
      <c r="P69" s="59" t="inlineStr">
        <is>
          <t>local_aux</t>
        </is>
      </c>
      <c r="Q69" s="59" t="n"/>
    </row>
    <row r="70">
      <c r="A70" s="167" t="n">
        <v>46333</v>
      </c>
      <c r="B70" s="59" t="inlineStr">
        <is>
          <t>Chưa chạy</t>
        </is>
      </c>
      <c r="C70" s="59" t="n"/>
      <c r="D70" s="168" t="n"/>
      <c r="E70" s="168" t="n"/>
      <c r="F70" s="169">
        <f>IF(AND(D70&lt;&gt;"",E70&lt;&gt;""),(E70-D70)*24,"")</f>
        <v/>
      </c>
      <c r="G70" s="170" t="n"/>
      <c r="H70" s="170" t="n"/>
      <c r="I70" s="170" t="n"/>
      <c r="J70" s="170" t="n"/>
      <c r="K70" s="170" t="n"/>
      <c r="L70" s="170" t="n"/>
      <c r="M70" s="170" t="n"/>
      <c r="N70" s="170" t="n"/>
      <c r="O70" s="170" t="n">
        <v>10</v>
      </c>
      <c r="P70" s="59" t="inlineStr">
        <is>
          <t>local_aux</t>
        </is>
      </c>
      <c r="Q70" s="59" t="n"/>
    </row>
    <row r="71">
      <c r="A71" s="167" t="n">
        <v>46334</v>
      </c>
      <c r="B71" s="59" t="inlineStr">
        <is>
          <t>Chưa chạy</t>
        </is>
      </c>
      <c r="C71" s="59" t="n"/>
      <c r="D71" s="168" t="n"/>
      <c r="E71" s="168" t="n"/>
      <c r="F71" s="169">
        <f>IF(AND(D71&lt;&gt;"",E71&lt;&gt;""),(E71-D71)*24,"")</f>
        <v/>
      </c>
      <c r="G71" s="170" t="n"/>
      <c r="H71" s="170" t="n"/>
      <c r="I71" s="170" t="n"/>
      <c r="J71" s="170" t="n"/>
      <c r="K71" s="170" t="n"/>
      <c r="L71" s="170" t="n"/>
      <c r="M71" s="170" t="n"/>
      <c r="N71" s="170" t="n"/>
      <c r="O71" s="170" t="n">
        <v>10</v>
      </c>
      <c r="P71" s="59" t="inlineStr">
        <is>
          <t>local_aux</t>
        </is>
      </c>
      <c r="Q71" s="59" t="n"/>
    </row>
    <row r="72">
      <c r="A72" s="167" t="n">
        <v>46335</v>
      </c>
      <c r="B72" s="59" t="inlineStr">
        <is>
          <t>Chưa chạy</t>
        </is>
      </c>
      <c r="C72" s="59" t="n"/>
      <c r="D72" s="168" t="n"/>
      <c r="E72" s="168" t="n"/>
      <c r="F72" s="169">
        <f>IF(AND(D72&lt;&gt;"",E72&lt;&gt;""),(E72-D72)*24,"")</f>
        <v/>
      </c>
      <c r="G72" s="170" t="n"/>
      <c r="H72" s="170" t="n"/>
      <c r="I72" s="170" t="n"/>
      <c r="J72" s="170" t="n"/>
      <c r="K72" s="170" t="n"/>
      <c r="L72" s="170" t="n"/>
      <c r="M72" s="170" t="n"/>
      <c r="N72" s="170" t="n"/>
      <c r="O72" s="170" t="n">
        <v>10</v>
      </c>
      <c r="P72" s="59" t="inlineStr">
        <is>
          <t>local_aux</t>
        </is>
      </c>
      <c r="Q72" s="59" t="n"/>
    </row>
    <row r="73">
      <c r="A73" s="167" t="n">
        <v>46336</v>
      </c>
      <c r="B73" s="59" t="inlineStr">
        <is>
          <t>Chưa chạy</t>
        </is>
      </c>
      <c r="C73" s="59" t="n"/>
      <c r="D73" s="168" t="n"/>
      <c r="E73" s="168" t="n"/>
      <c r="F73" s="169">
        <f>IF(AND(D73&lt;&gt;"",E73&lt;&gt;""),(E73-D73)*24,"")</f>
        <v/>
      </c>
      <c r="G73" s="170" t="n"/>
      <c r="H73" s="170" t="n"/>
      <c r="I73" s="170" t="n"/>
      <c r="J73" s="170" t="n"/>
      <c r="K73" s="170" t="n"/>
      <c r="L73" s="170" t="n"/>
      <c r="M73" s="170" t="n"/>
      <c r="N73" s="170" t="n"/>
      <c r="O73" s="170" t="n">
        <v>10</v>
      </c>
      <c r="P73" s="59" t="inlineStr">
        <is>
          <t>local_aux</t>
        </is>
      </c>
      <c r="Q73" s="59" t="n"/>
    </row>
    <row r="74">
      <c r="A74" s="167" t="n">
        <v>46337</v>
      </c>
      <c r="B74" s="59" t="inlineStr">
        <is>
          <t>Chưa chạy</t>
        </is>
      </c>
      <c r="C74" s="59" t="n"/>
      <c r="D74" s="168" t="n"/>
      <c r="E74" s="168" t="n"/>
      <c r="F74" s="169">
        <f>IF(AND(D74&lt;&gt;"",E74&lt;&gt;""),(E74-D74)*24,"")</f>
        <v/>
      </c>
      <c r="G74" s="170" t="n"/>
      <c r="H74" s="170" t="n"/>
      <c r="I74" s="170" t="n"/>
      <c r="J74" s="170" t="n"/>
      <c r="K74" s="170" t="n"/>
      <c r="L74" s="170" t="n"/>
      <c r="M74" s="170" t="n"/>
      <c r="N74" s="170" t="n"/>
      <c r="O74" s="170" t="n">
        <v>10</v>
      </c>
      <c r="P74" s="59" t="inlineStr">
        <is>
          <t>local_aux</t>
        </is>
      </c>
      <c r="Q74" s="59" t="n"/>
    </row>
    <row r="75">
      <c r="A75" s="167" t="n">
        <v>46338</v>
      </c>
      <c r="B75" s="59" t="inlineStr">
        <is>
          <t>Chưa chạy</t>
        </is>
      </c>
      <c r="C75" s="59" t="n"/>
      <c r="D75" s="168" t="n"/>
      <c r="E75" s="168" t="n"/>
      <c r="F75" s="169">
        <f>IF(AND(D75&lt;&gt;"",E75&lt;&gt;""),(E75-D75)*24,"")</f>
        <v/>
      </c>
      <c r="G75" s="170" t="n"/>
      <c r="H75" s="170" t="n"/>
      <c r="I75" s="170" t="n"/>
      <c r="J75" s="170" t="n"/>
      <c r="K75" s="170" t="n"/>
      <c r="L75" s="170" t="n"/>
      <c r="M75" s="170" t="n"/>
      <c r="N75" s="170" t="n"/>
      <c r="O75" s="170" t="n">
        <v>10</v>
      </c>
      <c r="P75" s="59" t="inlineStr">
        <is>
          <t>local_aux</t>
        </is>
      </c>
      <c r="Q75" s="59" t="n"/>
    </row>
    <row r="76">
      <c r="A76" s="167" t="n">
        <v>46339</v>
      </c>
      <c r="B76" s="59" t="inlineStr">
        <is>
          <t>Chưa chạy</t>
        </is>
      </c>
      <c r="C76" s="59" t="n"/>
      <c r="D76" s="168" t="n"/>
      <c r="E76" s="168" t="n"/>
      <c r="F76" s="169">
        <f>IF(AND(D76&lt;&gt;"",E76&lt;&gt;""),(E76-D76)*24,"")</f>
        <v/>
      </c>
      <c r="G76" s="170" t="n"/>
      <c r="H76" s="170" t="n"/>
      <c r="I76" s="170" t="n"/>
      <c r="J76" s="170" t="n"/>
      <c r="K76" s="170" t="n"/>
      <c r="L76" s="170" t="n"/>
      <c r="M76" s="170" t="n"/>
      <c r="N76" s="170" t="n"/>
      <c r="O76" s="170" t="n">
        <v>10</v>
      </c>
      <c r="P76" s="59" t="inlineStr">
        <is>
          <t>local_aux</t>
        </is>
      </c>
      <c r="Q76" s="59" t="n"/>
    </row>
    <row r="77">
      <c r="A77" s="167" t="n">
        <v>46340</v>
      </c>
      <c r="B77" s="59" t="inlineStr">
        <is>
          <t>Chưa chạy</t>
        </is>
      </c>
      <c r="C77" s="59" t="n"/>
      <c r="D77" s="168" t="n"/>
      <c r="E77" s="168" t="n"/>
      <c r="F77" s="169">
        <f>IF(AND(D77&lt;&gt;"",E77&lt;&gt;""),(E77-D77)*24,"")</f>
        <v/>
      </c>
      <c r="G77" s="170" t="n"/>
      <c r="H77" s="170" t="n"/>
      <c r="I77" s="170" t="n"/>
      <c r="J77" s="170" t="n"/>
      <c r="K77" s="170" t="n"/>
      <c r="L77" s="170" t="n"/>
      <c r="M77" s="170" t="n"/>
      <c r="N77" s="170" t="n"/>
      <c r="O77" s="170" t="n">
        <v>10</v>
      </c>
      <c r="P77" s="59" t="inlineStr">
        <is>
          <t>local_aux</t>
        </is>
      </c>
      <c r="Q77" s="59" t="n"/>
    </row>
    <row r="78">
      <c r="A78" s="167" t="n">
        <v>46341</v>
      </c>
      <c r="B78" s="59" t="inlineStr">
        <is>
          <t>Chưa chạy</t>
        </is>
      </c>
      <c r="C78" s="59" t="n"/>
      <c r="D78" s="168" t="n"/>
      <c r="E78" s="168" t="n"/>
      <c r="F78" s="169">
        <f>IF(AND(D78&lt;&gt;"",E78&lt;&gt;""),(E78-D78)*24,"")</f>
        <v/>
      </c>
      <c r="G78" s="170" t="n"/>
      <c r="H78" s="170" t="n"/>
      <c r="I78" s="170" t="n"/>
      <c r="J78" s="170" t="n"/>
      <c r="K78" s="170" t="n"/>
      <c r="L78" s="170" t="n"/>
      <c r="M78" s="170" t="n"/>
      <c r="N78" s="170" t="n"/>
      <c r="O78" s="170" t="n">
        <v>10</v>
      </c>
      <c r="P78" s="59" t="inlineStr">
        <is>
          <t>local_aux</t>
        </is>
      </c>
      <c r="Q78" s="59" t="n"/>
    </row>
    <row r="79">
      <c r="A79" s="167" t="n">
        <v>46342</v>
      </c>
      <c r="B79" s="59" t="inlineStr">
        <is>
          <t>Chưa chạy</t>
        </is>
      </c>
      <c r="C79" s="59" t="n"/>
      <c r="D79" s="168" t="n"/>
      <c r="E79" s="168" t="n"/>
      <c r="F79" s="169">
        <f>IF(AND(D79&lt;&gt;"",E79&lt;&gt;""),(E79-D79)*24,"")</f>
        <v/>
      </c>
      <c r="G79" s="170" t="n"/>
      <c r="H79" s="170" t="n"/>
      <c r="I79" s="170" t="n"/>
      <c r="J79" s="170" t="n"/>
      <c r="K79" s="170" t="n"/>
      <c r="L79" s="170" t="n"/>
      <c r="M79" s="170" t="n"/>
      <c r="N79" s="170" t="n"/>
      <c r="O79" s="170" t="n">
        <v>10</v>
      </c>
      <c r="P79" s="59" t="inlineStr">
        <is>
          <t>local_aux</t>
        </is>
      </c>
      <c r="Q79" s="59" t="n"/>
    </row>
    <row r="80">
      <c r="A80" s="167" t="n">
        <v>46343</v>
      </c>
      <c r="B80" s="59" t="inlineStr">
        <is>
          <t>Chưa chạy</t>
        </is>
      </c>
      <c r="C80" s="59" t="n"/>
      <c r="D80" s="168" t="n"/>
      <c r="E80" s="168" t="n"/>
      <c r="F80" s="169">
        <f>IF(AND(D80&lt;&gt;"",E80&lt;&gt;""),(E80-D80)*24,"")</f>
        <v/>
      </c>
      <c r="G80" s="170" t="n"/>
      <c r="H80" s="170" t="n"/>
      <c r="I80" s="170" t="n"/>
      <c r="J80" s="170" t="n"/>
      <c r="K80" s="170" t="n"/>
      <c r="L80" s="170" t="n"/>
      <c r="M80" s="170" t="n"/>
      <c r="N80" s="170" t="n"/>
      <c r="O80" s="170" t="n">
        <v>10</v>
      </c>
      <c r="P80" s="59" t="inlineStr">
        <is>
          <t>local_aux</t>
        </is>
      </c>
      <c r="Q80" s="59" t="n"/>
    </row>
    <row r="81">
      <c r="A81" s="167" t="n">
        <v>46344</v>
      </c>
      <c r="B81" s="59" t="inlineStr">
        <is>
          <t>Chưa chạy</t>
        </is>
      </c>
      <c r="C81" s="59" t="n"/>
      <c r="D81" s="168" t="n"/>
      <c r="E81" s="168" t="n"/>
      <c r="F81" s="169">
        <f>IF(AND(D81&lt;&gt;"",E81&lt;&gt;""),(E81-D81)*24,"")</f>
        <v/>
      </c>
      <c r="G81" s="170" t="n"/>
      <c r="H81" s="170" t="n"/>
      <c r="I81" s="170" t="n"/>
      <c r="J81" s="170" t="n"/>
      <c r="K81" s="170" t="n"/>
      <c r="L81" s="170" t="n"/>
      <c r="M81" s="170" t="n"/>
      <c r="N81" s="170" t="n"/>
      <c r="O81" s="170" t="n">
        <v>10</v>
      </c>
      <c r="P81" s="59" t="inlineStr">
        <is>
          <t>local_aux</t>
        </is>
      </c>
      <c r="Q81" s="59" t="n"/>
    </row>
    <row r="82">
      <c r="A82" s="167" t="n">
        <v>46345</v>
      </c>
      <c r="B82" s="59" t="inlineStr">
        <is>
          <t>Chưa chạy</t>
        </is>
      </c>
      <c r="C82" s="59" t="n"/>
      <c r="D82" s="168" t="n"/>
      <c r="E82" s="168" t="n"/>
      <c r="F82" s="169">
        <f>IF(AND(D82&lt;&gt;"",E82&lt;&gt;""),(E82-D82)*24,"")</f>
        <v/>
      </c>
      <c r="G82" s="170" t="n"/>
      <c r="H82" s="170" t="n"/>
      <c r="I82" s="170" t="n"/>
      <c r="J82" s="170" t="n"/>
      <c r="K82" s="170" t="n"/>
      <c r="L82" s="170" t="n"/>
      <c r="M82" s="170" t="n"/>
      <c r="N82" s="170" t="n"/>
      <c r="O82" s="170" t="n">
        <v>10</v>
      </c>
      <c r="P82" s="59" t="inlineStr">
        <is>
          <t>local_aux</t>
        </is>
      </c>
      <c r="Q82" s="59" t="n"/>
    </row>
    <row r="83">
      <c r="A83" s="167" t="n">
        <v>46346</v>
      </c>
      <c r="B83" s="59" t="inlineStr">
        <is>
          <t>Chưa chạy</t>
        </is>
      </c>
      <c r="C83" s="59" t="n"/>
      <c r="D83" s="168" t="n"/>
      <c r="E83" s="168" t="n"/>
      <c r="F83" s="169">
        <f>IF(AND(D83&lt;&gt;"",E83&lt;&gt;""),(E83-D83)*24,"")</f>
        <v/>
      </c>
      <c r="G83" s="170" t="n"/>
      <c r="H83" s="170" t="n"/>
      <c r="I83" s="170" t="n"/>
      <c r="J83" s="170" t="n"/>
      <c r="K83" s="170" t="n"/>
      <c r="L83" s="170" t="n"/>
      <c r="M83" s="170" t="n"/>
      <c r="N83" s="170" t="n"/>
      <c r="O83" s="170" t="n">
        <v>10</v>
      </c>
      <c r="P83" s="59" t="inlineStr">
        <is>
          <t>local_aux</t>
        </is>
      </c>
      <c r="Q83" s="59" t="n"/>
    </row>
    <row r="84">
      <c r="A84" s="167" t="n">
        <v>46347</v>
      </c>
      <c r="B84" s="59" t="inlineStr">
        <is>
          <t>Chưa chạy</t>
        </is>
      </c>
      <c r="C84" s="59" t="n"/>
      <c r="D84" s="168" t="n"/>
      <c r="E84" s="168" t="n"/>
      <c r="F84" s="169">
        <f>IF(AND(D84&lt;&gt;"",E84&lt;&gt;""),(E84-D84)*24,"")</f>
        <v/>
      </c>
      <c r="G84" s="170" t="n"/>
      <c r="H84" s="170" t="n"/>
      <c r="I84" s="170" t="n"/>
      <c r="J84" s="170" t="n"/>
      <c r="K84" s="170" t="n"/>
      <c r="L84" s="170" t="n"/>
      <c r="M84" s="170" t="n"/>
      <c r="N84" s="170" t="n"/>
      <c r="O84" s="170" t="n">
        <v>10</v>
      </c>
      <c r="P84" s="59" t="inlineStr">
        <is>
          <t>local_aux</t>
        </is>
      </c>
      <c r="Q84" s="59" t="n"/>
    </row>
    <row r="85">
      <c r="A85" s="167" t="n">
        <v>46348</v>
      </c>
      <c r="B85" s="59" t="inlineStr">
        <is>
          <t>Chưa chạy</t>
        </is>
      </c>
      <c r="C85" s="59" t="n"/>
      <c r="D85" s="168" t="n"/>
      <c r="E85" s="168" t="n"/>
      <c r="F85" s="169">
        <f>IF(AND(D85&lt;&gt;"",E85&lt;&gt;""),(E85-D85)*24,"")</f>
        <v/>
      </c>
      <c r="G85" s="170" t="n"/>
      <c r="H85" s="170" t="n"/>
      <c r="I85" s="170" t="n"/>
      <c r="J85" s="170" t="n"/>
      <c r="K85" s="170" t="n"/>
      <c r="L85" s="170" t="n"/>
      <c r="M85" s="170" t="n"/>
      <c r="N85" s="170" t="n"/>
      <c r="O85" s="170" t="n">
        <v>10</v>
      </c>
      <c r="P85" s="59" t="inlineStr">
        <is>
          <t>local_aux</t>
        </is>
      </c>
      <c r="Q85" s="59" t="n"/>
    </row>
    <row r="86">
      <c r="A86" s="167" t="n">
        <v>46349</v>
      </c>
      <c r="B86" s="59" t="inlineStr">
        <is>
          <t>Chưa chạy</t>
        </is>
      </c>
      <c r="C86" s="59" t="n"/>
      <c r="D86" s="168" t="n"/>
      <c r="E86" s="168" t="n"/>
      <c r="F86" s="169">
        <f>IF(AND(D86&lt;&gt;"",E86&lt;&gt;""),(E86-D86)*24,"")</f>
        <v/>
      </c>
      <c r="G86" s="170" t="n"/>
      <c r="H86" s="170" t="n"/>
      <c r="I86" s="170" t="n"/>
      <c r="J86" s="170" t="n"/>
      <c r="K86" s="170" t="n"/>
      <c r="L86" s="170" t="n"/>
      <c r="M86" s="170" t="n"/>
      <c r="N86" s="170" t="n"/>
      <c r="O86" s="170" t="n">
        <v>10</v>
      </c>
      <c r="P86" s="59" t="inlineStr">
        <is>
          <t>local_aux</t>
        </is>
      </c>
      <c r="Q86" s="59" t="n"/>
    </row>
    <row r="87">
      <c r="A87" s="167" t="n">
        <v>46350</v>
      </c>
      <c r="B87" s="59" t="inlineStr">
        <is>
          <t>Chưa chạy</t>
        </is>
      </c>
      <c r="C87" s="59" t="n"/>
      <c r="D87" s="168" t="n"/>
      <c r="E87" s="168" t="n"/>
      <c r="F87" s="169">
        <f>IF(AND(D87&lt;&gt;"",E87&lt;&gt;""),(E87-D87)*24,"")</f>
        <v/>
      </c>
      <c r="G87" s="170" t="n"/>
      <c r="H87" s="170" t="n"/>
      <c r="I87" s="170" t="n"/>
      <c r="J87" s="170" t="n"/>
      <c r="K87" s="170" t="n"/>
      <c r="L87" s="170" t="n"/>
      <c r="M87" s="170" t="n"/>
      <c r="N87" s="170" t="n"/>
      <c r="O87" s="170" t="n">
        <v>10</v>
      </c>
      <c r="P87" s="59" t="inlineStr">
        <is>
          <t>local_aux</t>
        </is>
      </c>
      <c r="Q87" s="59" t="n"/>
    </row>
    <row r="88">
      <c r="A88" s="167" t="n">
        <v>46351</v>
      </c>
      <c r="B88" s="59" t="inlineStr">
        <is>
          <t>Chưa chạy</t>
        </is>
      </c>
      <c r="C88" s="59" t="n"/>
      <c r="D88" s="168" t="n"/>
      <c r="E88" s="168" t="n"/>
      <c r="F88" s="169">
        <f>IF(AND(D88&lt;&gt;"",E88&lt;&gt;""),(E88-D88)*24,"")</f>
        <v/>
      </c>
      <c r="G88" s="170" t="n"/>
      <c r="H88" s="170" t="n"/>
      <c r="I88" s="170" t="n"/>
      <c r="J88" s="170" t="n"/>
      <c r="K88" s="170" t="n"/>
      <c r="L88" s="170" t="n"/>
      <c r="M88" s="170" t="n"/>
      <c r="N88" s="170" t="n"/>
      <c r="O88" s="170" t="n">
        <v>10</v>
      </c>
      <c r="P88" s="59" t="inlineStr">
        <is>
          <t>local_aux</t>
        </is>
      </c>
      <c r="Q88" s="59" t="n"/>
    </row>
    <row r="89">
      <c r="A89" s="167" t="n">
        <v>46352</v>
      </c>
      <c r="B89" s="59" t="inlineStr">
        <is>
          <t>Chưa chạy</t>
        </is>
      </c>
      <c r="C89" s="59" t="n"/>
      <c r="D89" s="168" t="n"/>
      <c r="E89" s="168" t="n"/>
      <c r="F89" s="169">
        <f>IF(AND(D89&lt;&gt;"",E89&lt;&gt;""),(E89-D89)*24,"")</f>
        <v/>
      </c>
      <c r="G89" s="170" t="n"/>
      <c r="H89" s="170" t="n"/>
      <c r="I89" s="170" t="n"/>
      <c r="J89" s="170" t="n"/>
      <c r="K89" s="170" t="n"/>
      <c r="L89" s="170" t="n"/>
      <c r="M89" s="170" t="n"/>
      <c r="N89" s="170" t="n"/>
      <c r="O89" s="170" t="n">
        <v>10</v>
      </c>
      <c r="P89" s="59" t="inlineStr">
        <is>
          <t>local_aux</t>
        </is>
      </c>
      <c r="Q89" s="59" t="n"/>
    </row>
    <row r="90">
      <c r="A90" s="167" t="n">
        <v>46353</v>
      </c>
      <c r="B90" s="59" t="inlineStr">
        <is>
          <t>Chưa chạy</t>
        </is>
      </c>
      <c r="C90" s="59" t="n"/>
      <c r="D90" s="168" t="n"/>
      <c r="E90" s="168" t="n"/>
      <c r="F90" s="169">
        <f>IF(AND(D90&lt;&gt;"",E90&lt;&gt;""),(E90-D90)*24,"")</f>
        <v/>
      </c>
      <c r="G90" s="170" t="n"/>
      <c r="H90" s="170" t="n"/>
      <c r="I90" s="170" t="n"/>
      <c r="J90" s="170" t="n"/>
      <c r="K90" s="170" t="n"/>
      <c r="L90" s="170" t="n"/>
      <c r="M90" s="170" t="n"/>
      <c r="N90" s="170" t="n"/>
      <c r="O90" s="170" t="n">
        <v>10</v>
      </c>
      <c r="P90" s="59" t="inlineStr">
        <is>
          <t>local_aux</t>
        </is>
      </c>
      <c r="Q90" s="59" t="n"/>
    </row>
    <row r="91">
      <c r="A91" s="167" t="n">
        <v>46354</v>
      </c>
      <c r="B91" s="59" t="inlineStr">
        <is>
          <t>Chưa chạy</t>
        </is>
      </c>
      <c r="C91" s="59" t="n"/>
      <c r="D91" s="168" t="n"/>
      <c r="E91" s="168" t="n"/>
      <c r="F91" s="169">
        <f>IF(AND(D91&lt;&gt;"",E91&lt;&gt;""),(E91-D91)*24,"")</f>
        <v/>
      </c>
      <c r="G91" s="170" t="n"/>
      <c r="H91" s="170" t="n"/>
      <c r="I91" s="170" t="n"/>
      <c r="J91" s="170" t="n"/>
      <c r="K91" s="170" t="n"/>
      <c r="L91" s="170" t="n"/>
      <c r="M91" s="170" t="n"/>
      <c r="N91" s="170" t="n"/>
      <c r="O91" s="170" t="n">
        <v>10</v>
      </c>
      <c r="P91" s="59" t="inlineStr">
        <is>
          <t>local_aux</t>
        </is>
      </c>
      <c r="Q91" s="59" t="n"/>
    </row>
    <row r="92">
      <c r="A92" s="167" t="n">
        <v>46355</v>
      </c>
      <c r="B92" s="59" t="inlineStr">
        <is>
          <t>Chưa chạy</t>
        </is>
      </c>
      <c r="C92" s="59" t="n"/>
      <c r="D92" s="168" t="n"/>
      <c r="E92" s="168" t="n"/>
      <c r="F92" s="169">
        <f>IF(AND(D92&lt;&gt;"",E92&lt;&gt;""),(E92-D92)*24,"")</f>
        <v/>
      </c>
      <c r="G92" s="170" t="n"/>
      <c r="H92" s="170" t="n"/>
      <c r="I92" s="170" t="n"/>
      <c r="J92" s="170" t="n"/>
      <c r="K92" s="170" t="n"/>
      <c r="L92" s="170" t="n"/>
      <c r="M92" s="170" t="n"/>
      <c r="N92" s="170" t="n"/>
      <c r="O92" s="170" t="n">
        <v>10</v>
      </c>
      <c r="P92" s="59" t="inlineStr">
        <is>
          <t>local_aux</t>
        </is>
      </c>
      <c r="Q92" s="59" t="n"/>
    </row>
    <row r="93">
      <c r="A93" s="171" t="n">
        <v>46356</v>
      </c>
      <c r="B93" s="63" t="inlineStr">
        <is>
          <t>Chưa chạy</t>
        </is>
      </c>
      <c r="C93" s="63" t="n"/>
      <c r="D93" s="172" t="n"/>
      <c r="E93" s="172" t="n"/>
      <c r="F93" s="173">
        <f>IF(AND(D93&lt;&gt;"",E93&lt;&gt;""),(E93-D93)*24,"")</f>
        <v/>
      </c>
      <c r="G93" s="174" t="n"/>
      <c r="H93" s="174" t="n"/>
      <c r="I93" s="174" t="n"/>
      <c r="J93" s="174" t="n"/>
      <c r="K93" s="174" t="n"/>
      <c r="L93" s="174" t="n"/>
      <c r="M93" s="174" t="n"/>
      <c r="N93" s="174" t="n"/>
      <c r="O93" s="174" t="n">
        <v>10</v>
      </c>
      <c r="P93" s="63" t="inlineStr">
        <is>
          <t>local_aux</t>
        </is>
      </c>
      <c r="Q93" s="63" t="n"/>
    </row>
  </sheetData>
  <mergeCells count="2">
    <mergeCell ref="A2:Q2"/>
    <mergeCell ref="A1:Q1"/>
  </mergeCells>
  <conditionalFormatting sqref="B4:B93">
    <cfRule type="containsText" priority="1" operator="containsText" dxfId="0" text="Hoàn thành"/>
    <cfRule type="containsText" priority="2" operator="containsText" dxfId="1" text="Thất bại"/>
  </conditionalFormatting>
  <dataValidations count="1">
    <dataValidation sqref="B4:B93" showDropDown="0" showInputMessage="0" showErrorMessage="0" allowBlank="0" type="list">
      <formula1>"Chưa chạy,Đang chạy,Hoàn thành,Hoàn thành có lỗi,Thất bại,Bỏ qua"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30" customHeight="1">
      <c r="A1" s="3" t="inlineStr">
        <is>
          <t>LOCAL PRIMARY REFERENCE — 12 CHECK-IN DÙNG ĐỂ LOẠI TRÙNG</t>
        </is>
      </c>
    </row>
    <row r="2">
      <c r="A2" s="35" t="inlineStr">
        <is>
          <t>Nguồn: D:/MSE/CAPSTONE/outputs/crawl-data-planner-20260816/crawl_sampling_master.xlsx. Snapshot 02/09–30/11/2026; không sửa bằng tay.</t>
        </is>
      </c>
    </row>
    <row r="3" ht="30" customHeight="1">
      <c r="A3" s="9" t="inlineStr">
        <is>
          <t>Crawl date</t>
        </is>
      </c>
      <c r="B3" s="9" t="inlineStr">
        <is>
          <t>Thứ</t>
        </is>
      </c>
      <c r="C3" s="9" t="inlineStr">
        <is>
          <t>Start time</t>
        </is>
      </c>
      <c r="D3" s="9" t="inlineStr">
        <is>
          <t>N1</t>
        </is>
      </c>
      <c r="E3" s="9" t="inlineStr">
        <is>
          <t>N2</t>
        </is>
      </c>
      <c r="F3" s="9" t="inlineStr">
        <is>
          <t>N3</t>
        </is>
      </c>
      <c r="G3" s="9" t="inlineStr">
        <is>
          <t>N4</t>
        </is>
      </c>
      <c r="H3" s="9" t="inlineStr">
        <is>
          <t>N5</t>
        </is>
      </c>
      <c r="I3" s="9" t="inlineStr">
        <is>
          <t>N6</t>
        </is>
      </c>
      <c r="J3" s="9" t="inlineStr">
        <is>
          <t>N7</t>
        </is>
      </c>
      <c r="K3" s="9" t="inlineStr">
        <is>
          <t>N8</t>
        </is>
      </c>
      <c r="L3" s="9" t="inlineStr">
        <is>
          <t>N9</t>
        </is>
      </c>
      <c r="M3" s="9" t="inlineStr">
        <is>
          <t>F1</t>
        </is>
      </c>
      <c r="N3" s="9" t="inlineStr">
        <is>
          <t>F2</t>
        </is>
      </c>
      <c r="O3" s="9" t="inlineStr">
        <is>
          <t>F3</t>
        </is>
      </c>
      <c r="P3" s="9" t="inlineStr">
        <is>
          <t>Source file</t>
        </is>
      </c>
    </row>
    <row r="4">
      <c r="A4" s="163" t="n">
        <v>46267</v>
      </c>
      <c r="B4" s="55" t="inlineStr">
        <is>
          <t>Thứ Tư</t>
        </is>
      </c>
      <c r="C4" s="55" t="inlineStr">
        <is>
          <t>00:30</t>
        </is>
      </c>
      <c r="D4" s="163" t="n">
        <v>46282</v>
      </c>
      <c r="E4" s="163" t="n">
        <v>46284</v>
      </c>
      <c r="F4" s="163" t="n">
        <v>46287</v>
      </c>
      <c r="G4" s="163" t="n">
        <v>46291</v>
      </c>
      <c r="H4" s="163" t="n">
        <v>46267</v>
      </c>
      <c r="I4" s="163" t="n">
        <v>46271</v>
      </c>
      <c r="J4" s="163" t="n">
        <v>46274</v>
      </c>
      <c r="K4" s="163" t="n">
        <v>46277</v>
      </c>
      <c r="L4" s="163" t="n">
        <v>46279</v>
      </c>
      <c r="M4" s="163" t="n">
        <v>46306</v>
      </c>
      <c r="N4" s="163" t="n">
        <v>46344</v>
      </c>
      <c r="O4" s="163" t="n">
        <v>46388</v>
      </c>
      <c r="P4" s="55" t="inlineStr">
        <is>
          <t>crawl_sampling_master.xlsx</t>
        </is>
      </c>
    </row>
    <row r="5">
      <c r="A5" s="167" t="n">
        <v>46268</v>
      </c>
      <c r="B5" s="59" t="inlineStr">
        <is>
          <t>Thứ Năm</t>
        </is>
      </c>
      <c r="C5" s="59" t="inlineStr">
        <is>
          <t>00:30</t>
        </is>
      </c>
      <c r="D5" s="167" t="n">
        <v>46282</v>
      </c>
      <c r="E5" s="167" t="n">
        <v>46284</v>
      </c>
      <c r="F5" s="167" t="n">
        <v>46287</v>
      </c>
      <c r="G5" s="167" t="n">
        <v>46291</v>
      </c>
      <c r="H5" s="167" t="n">
        <v>46295</v>
      </c>
      <c r="I5" s="167" t="n">
        <v>46271</v>
      </c>
      <c r="J5" s="167" t="n">
        <v>46274</v>
      </c>
      <c r="K5" s="167" t="n">
        <v>46277</v>
      </c>
      <c r="L5" s="167" t="n">
        <v>46279</v>
      </c>
      <c r="M5" s="167" t="n">
        <v>46306</v>
      </c>
      <c r="N5" s="167" t="n">
        <v>46344</v>
      </c>
      <c r="O5" s="167" t="n">
        <v>46388</v>
      </c>
      <c r="P5" s="59" t="inlineStr">
        <is>
          <t>crawl_sampling_master.xlsx</t>
        </is>
      </c>
    </row>
    <row r="6">
      <c r="A6" s="167" t="n">
        <v>46269</v>
      </c>
      <c r="B6" s="59" t="inlineStr">
        <is>
          <t>Thứ Sáu</t>
        </is>
      </c>
      <c r="C6" s="59" t="inlineStr">
        <is>
          <t>00:30</t>
        </is>
      </c>
      <c r="D6" s="167" t="n">
        <v>46282</v>
      </c>
      <c r="E6" s="167" t="n">
        <v>46284</v>
      </c>
      <c r="F6" s="167" t="n">
        <v>46287</v>
      </c>
      <c r="G6" s="167" t="n">
        <v>46291</v>
      </c>
      <c r="H6" s="167" t="n">
        <v>46295</v>
      </c>
      <c r="I6" s="167" t="n">
        <v>46271</v>
      </c>
      <c r="J6" s="167" t="n">
        <v>46274</v>
      </c>
      <c r="K6" s="167" t="n">
        <v>46277</v>
      </c>
      <c r="L6" s="167" t="n">
        <v>46279</v>
      </c>
      <c r="M6" s="167" t="n">
        <v>46306</v>
      </c>
      <c r="N6" s="167" t="n">
        <v>46344</v>
      </c>
      <c r="O6" s="167" t="n">
        <v>46388</v>
      </c>
      <c r="P6" s="59" t="inlineStr">
        <is>
          <t>crawl_sampling_master.xlsx</t>
        </is>
      </c>
    </row>
    <row r="7">
      <c r="A7" s="167" t="n">
        <v>46270</v>
      </c>
      <c r="B7" s="59" t="inlineStr">
        <is>
          <t>Thứ Bảy</t>
        </is>
      </c>
      <c r="C7" s="59" t="inlineStr">
        <is>
          <t>00:30</t>
        </is>
      </c>
      <c r="D7" s="167" t="n">
        <v>46282</v>
      </c>
      <c r="E7" s="167" t="n">
        <v>46284</v>
      </c>
      <c r="F7" s="167" t="n">
        <v>46287</v>
      </c>
      <c r="G7" s="167" t="n">
        <v>46291</v>
      </c>
      <c r="H7" s="167" t="n">
        <v>46295</v>
      </c>
      <c r="I7" s="167" t="n">
        <v>46271</v>
      </c>
      <c r="J7" s="167" t="n">
        <v>46274</v>
      </c>
      <c r="K7" s="167" t="n">
        <v>46277</v>
      </c>
      <c r="L7" s="167" t="n">
        <v>46279</v>
      </c>
      <c r="M7" s="167" t="n">
        <v>46306</v>
      </c>
      <c r="N7" s="167" t="n">
        <v>46344</v>
      </c>
      <c r="O7" s="167" t="n">
        <v>46388</v>
      </c>
      <c r="P7" s="59" t="inlineStr">
        <is>
          <t>crawl_sampling_master.xlsx</t>
        </is>
      </c>
    </row>
    <row r="8">
      <c r="A8" s="167" t="n">
        <v>46271</v>
      </c>
      <c r="B8" s="59" t="inlineStr">
        <is>
          <t>Chủ Nhật</t>
        </is>
      </c>
      <c r="C8" s="59" t="inlineStr">
        <is>
          <t>00:30</t>
        </is>
      </c>
      <c r="D8" s="167" t="n">
        <v>46282</v>
      </c>
      <c r="E8" s="167" t="n">
        <v>46284</v>
      </c>
      <c r="F8" s="167" t="n">
        <v>46287</v>
      </c>
      <c r="G8" s="167" t="n">
        <v>46291</v>
      </c>
      <c r="H8" s="167" t="n">
        <v>46295</v>
      </c>
      <c r="I8" s="167" t="n">
        <v>46271</v>
      </c>
      <c r="J8" s="167" t="n">
        <v>46274</v>
      </c>
      <c r="K8" s="167" t="n">
        <v>46277</v>
      </c>
      <c r="L8" s="167" t="n">
        <v>46279</v>
      </c>
      <c r="M8" s="167" t="n">
        <v>46306</v>
      </c>
      <c r="N8" s="167" t="n">
        <v>46344</v>
      </c>
      <c r="O8" s="167" t="n">
        <v>46388</v>
      </c>
      <c r="P8" s="59" t="inlineStr">
        <is>
          <t>crawl_sampling_master.xlsx</t>
        </is>
      </c>
    </row>
    <row r="9">
      <c r="A9" s="167" t="n">
        <v>46272</v>
      </c>
      <c r="B9" s="59" t="inlineStr">
        <is>
          <t>Thứ Hai</t>
        </is>
      </c>
      <c r="C9" s="59" t="inlineStr">
        <is>
          <t>00:30</t>
        </is>
      </c>
      <c r="D9" s="167" t="n">
        <v>46282</v>
      </c>
      <c r="E9" s="167" t="n">
        <v>46284</v>
      </c>
      <c r="F9" s="167" t="n">
        <v>46287</v>
      </c>
      <c r="G9" s="167" t="n">
        <v>46291</v>
      </c>
      <c r="H9" s="167" t="n">
        <v>46295</v>
      </c>
      <c r="I9" s="167" t="n">
        <v>46299</v>
      </c>
      <c r="J9" s="167" t="n">
        <v>46274</v>
      </c>
      <c r="K9" s="167" t="n">
        <v>46277</v>
      </c>
      <c r="L9" s="167" t="n">
        <v>46279</v>
      </c>
      <c r="M9" s="167" t="n">
        <v>46306</v>
      </c>
      <c r="N9" s="167" t="n">
        <v>46344</v>
      </c>
      <c r="O9" s="167" t="n">
        <v>46388</v>
      </c>
      <c r="P9" s="59" t="inlineStr">
        <is>
          <t>crawl_sampling_master.xlsx</t>
        </is>
      </c>
    </row>
    <row r="10">
      <c r="A10" s="167" t="n">
        <v>46273</v>
      </c>
      <c r="B10" s="59" t="inlineStr">
        <is>
          <t>Thứ Ba</t>
        </is>
      </c>
      <c r="C10" s="59" t="inlineStr">
        <is>
          <t>00:30</t>
        </is>
      </c>
      <c r="D10" s="167" t="n">
        <v>46282</v>
      </c>
      <c r="E10" s="167" t="n">
        <v>46284</v>
      </c>
      <c r="F10" s="167" t="n">
        <v>46287</v>
      </c>
      <c r="G10" s="167" t="n">
        <v>46291</v>
      </c>
      <c r="H10" s="167" t="n">
        <v>46295</v>
      </c>
      <c r="I10" s="167" t="n">
        <v>46299</v>
      </c>
      <c r="J10" s="167" t="n">
        <v>46274</v>
      </c>
      <c r="K10" s="167" t="n">
        <v>46277</v>
      </c>
      <c r="L10" s="167" t="n">
        <v>46279</v>
      </c>
      <c r="M10" s="167" t="n">
        <v>46306</v>
      </c>
      <c r="N10" s="167" t="n">
        <v>46344</v>
      </c>
      <c r="O10" s="167" t="n">
        <v>46388</v>
      </c>
      <c r="P10" s="59" t="inlineStr">
        <is>
          <t>crawl_sampling_master.xlsx</t>
        </is>
      </c>
    </row>
    <row r="11">
      <c r="A11" s="167" t="n">
        <v>46274</v>
      </c>
      <c r="B11" s="59" t="inlineStr">
        <is>
          <t>Thứ Tư</t>
        </is>
      </c>
      <c r="C11" s="59" t="inlineStr">
        <is>
          <t>00:30</t>
        </is>
      </c>
      <c r="D11" s="167" t="n">
        <v>46282</v>
      </c>
      <c r="E11" s="167" t="n">
        <v>46284</v>
      </c>
      <c r="F11" s="167" t="n">
        <v>46287</v>
      </c>
      <c r="G11" s="167" t="n">
        <v>46291</v>
      </c>
      <c r="H11" s="167" t="n">
        <v>46295</v>
      </c>
      <c r="I11" s="167" t="n">
        <v>46299</v>
      </c>
      <c r="J11" s="167" t="n">
        <v>46274</v>
      </c>
      <c r="K11" s="167" t="n">
        <v>46277</v>
      </c>
      <c r="L11" s="167" t="n">
        <v>46279</v>
      </c>
      <c r="M11" s="167" t="n">
        <v>46306</v>
      </c>
      <c r="N11" s="167" t="n">
        <v>46344</v>
      </c>
      <c r="O11" s="167" t="n">
        <v>46388</v>
      </c>
      <c r="P11" s="59" t="inlineStr">
        <is>
          <t>crawl_sampling_master.xlsx</t>
        </is>
      </c>
    </row>
    <row r="12">
      <c r="A12" s="167" t="n">
        <v>46275</v>
      </c>
      <c r="B12" s="59" t="inlineStr">
        <is>
          <t>Thứ Năm</t>
        </is>
      </c>
      <c r="C12" s="59" t="inlineStr">
        <is>
          <t>00:30</t>
        </is>
      </c>
      <c r="D12" s="167" t="n">
        <v>46282</v>
      </c>
      <c r="E12" s="167" t="n">
        <v>46284</v>
      </c>
      <c r="F12" s="167" t="n">
        <v>46287</v>
      </c>
      <c r="G12" s="167" t="n">
        <v>46291</v>
      </c>
      <c r="H12" s="167" t="n">
        <v>46295</v>
      </c>
      <c r="I12" s="167" t="n">
        <v>46299</v>
      </c>
      <c r="J12" s="167" t="n">
        <v>46302</v>
      </c>
      <c r="K12" s="167" t="n">
        <v>46277</v>
      </c>
      <c r="L12" s="167" t="n">
        <v>46279</v>
      </c>
      <c r="M12" s="167" t="n">
        <v>46306</v>
      </c>
      <c r="N12" s="167" t="n">
        <v>46344</v>
      </c>
      <c r="O12" s="167" t="n">
        <v>46388</v>
      </c>
      <c r="P12" s="59" t="inlineStr">
        <is>
          <t>crawl_sampling_master.xlsx</t>
        </is>
      </c>
    </row>
    <row r="13">
      <c r="A13" s="167" t="n">
        <v>46276</v>
      </c>
      <c r="B13" s="59" t="inlineStr">
        <is>
          <t>Thứ Sáu</t>
        </is>
      </c>
      <c r="C13" s="59" t="inlineStr">
        <is>
          <t>00:30</t>
        </is>
      </c>
      <c r="D13" s="167" t="n">
        <v>46282</v>
      </c>
      <c r="E13" s="167" t="n">
        <v>46284</v>
      </c>
      <c r="F13" s="167" t="n">
        <v>46287</v>
      </c>
      <c r="G13" s="167" t="n">
        <v>46291</v>
      </c>
      <c r="H13" s="167" t="n">
        <v>46295</v>
      </c>
      <c r="I13" s="167" t="n">
        <v>46299</v>
      </c>
      <c r="J13" s="167" t="n">
        <v>46302</v>
      </c>
      <c r="K13" s="167" t="n">
        <v>46277</v>
      </c>
      <c r="L13" s="167" t="n">
        <v>46279</v>
      </c>
      <c r="M13" s="167" t="n">
        <v>46306</v>
      </c>
      <c r="N13" s="167" t="n">
        <v>46344</v>
      </c>
      <c r="O13" s="167" t="n">
        <v>46388</v>
      </c>
      <c r="P13" s="59" t="inlineStr">
        <is>
          <t>crawl_sampling_master.xlsx</t>
        </is>
      </c>
    </row>
    <row r="14">
      <c r="A14" s="167" t="n">
        <v>46277</v>
      </c>
      <c r="B14" s="59" t="inlineStr">
        <is>
          <t>Thứ Bảy</t>
        </is>
      </c>
      <c r="C14" s="59" t="inlineStr">
        <is>
          <t>00:30</t>
        </is>
      </c>
      <c r="D14" s="167" t="n">
        <v>46282</v>
      </c>
      <c r="E14" s="167" t="n">
        <v>46284</v>
      </c>
      <c r="F14" s="167" t="n">
        <v>46287</v>
      </c>
      <c r="G14" s="167" t="n">
        <v>46291</v>
      </c>
      <c r="H14" s="167" t="n">
        <v>46295</v>
      </c>
      <c r="I14" s="167" t="n">
        <v>46299</v>
      </c>
      <c r="J14" s="167" t="n">
        <v>46302</v>
      </c>
      <c r="K14" s="167" t="n">
        <v>46277</v>
      </c>
      <c r="L14" s="167" t="n">
        <v>46279</v>
      </c>
      <c r="M14" s="167" t="n">
        <v>46306</v>
      </c>
      <c r="N14" s="167" t="n">
        <v>46344</v>
      </c>
      <c r="O14" s="167" t="n">
        <v>46388</v>
      </c>
      <c r="P14" s="59" t="inlineStr">
        <is>
          <t>crawl_sampling_master.xlsx</t>
        </is>
      </c>
    </row>
    <row r="15">
      <c r="A15" s="167" t="n">
        <v>46278</v>
      </c>
      <c r="B15" s="59" t="inlineStr">
        <is>
          <t>Chủ Nhật</t>
        </is>
      </c>
      <c r="C15" s="59" t="inlineStr">
        <is>
          <t>00:30</t>
        </is>
      </c>
      <c r="D15" s="167" t="n">
        <v>46282</v>
      </c>
      <c r="E15" s="167" t="n">
        <v>46284</v>
      </c>
      <c r="F15" s="167" t="n">
        <v>46287</v>
      </c>
      <c r="G15" s="167" t="n">
        <v>46291</v>
      </c>
      <c r="H15" s="167" t="n">
        <v>46295</v>
      </c>
      <c r="I15" s="167" t="n">
        <v>46299</v>
      </c>
      <c r="J15" s="167" t="n">
        <v>46302</v>
      </c>
      <c r="K15" s="167" t="n">
        <v>46305</v>
      </c>
      <c r="L15" s="167" t="n">
        <v>46279</v>
      </c>
      <c r="M15" s="167" t="n">
        <v>46306</v>
      </c>
      <c r="N15" s="167" t="n">
        <v>46344</v>
      </c>
      <c r="O15" s="167" t="n">
        <v>46388</v>
      </c>
      <c r="P15" s="59" t="inlineStr">
        <is>
          <t>crawl_sampling_master.xlsx</t>
        </is>
      </c>
    </row>
    <row r="16">
      <c r="A16" s="167" t="n">
        <v>46279</v>
      </c>
      <c r="B16" s="59" t="inlineStr">
        <is>
          <t>Thứ Hai</t>
        </is>
      </c>
      <c r="C16" s="59" t="inlineStr">
        <is>
          <t>00:30</t>
        </is>
      </c>
      <c r="D16" s="167" t="n">
        <v>46282</v>
      </c>
      <c r="E16" s="167" t="n">
        <v>46284</v>
      </c>
      <c r="F16" s="167" t="n">
        <v>46287</v>
      </c>
      <c r="G16" s="167" t="n">
        <v>46291</v>
      </c>
      <c r="H16" s="167" t="n">
        <v>46295</v>
      </c>
      <c r="I16" s="167" t="n">
        <v>46299</v>
      </c>
      <c r="J16" s="167" t="n">
        <v>46302</v>
      </c>
      <c r="K16" s="167" t="n">
        <v>46305</v>
      </c>
      <c r="L16" s="167" t="n">
        <v>46279</v>
      </c>
      <c r="M16" s="167" t="n">
        <v>46306</v>
      </c>
      <c r="N16" s="167" t="n">
        <v>46344</v>
      </c>
      <c r="O16" s="167" t="n">
        <v>46388</v>
      </c>
      <c r="P16" s="59" t="inlineStr">
        <is>
          <t>crawl_sampling_master.xlsx</t>
        </is>
      </c>
    </row>
    <row r="17">
      <c r="A17" s="167" t="n">
        <v>46280</v>
      </c>
      <c r="B17" s="59" t="inlineStr">
        <is>
          <t>Thứ Ba</t>
        </is>
      </c>
      <c r="C17" s="59" t="inlineStr">
        <is>
          <t>00:30</t>
        </is>
      </c>
      <c r="D17" s="167" t="n">
        <v>46282</v>
      </c>
      <c r="E17" s="167" t="n">
        <v>46284</v>
      </c>
      <c r="F17" s="167" t="n">
        <v>46287</v>
      </c>
      <c r="G17" s="167" t="n">
        <v>46291</v>
      </c>
      <c r="H17" s="167" t="n">
        <v>46295</v>
      </c>
      <c r="I17" s="167" t="n">
        <v>46299</v>
      </c>
      <c r="J17" s="167" t="n">
        <v>46302</v>
      </c>
      <c r="K17" s="167" t="n">
        <v>46305</v>
      </c>
      <c r="L17" s="167" t="n">
        <v>46307</v>
      </c>
      <c r="M17" s="167" t="n">
        <v>46306</v>
      </c>
      <c r="N17" s="167" t="n">
        <v>46344</v>
      </c>
      <c r="O17" s="167" t="n">
        <v>46388</v>
      </c>
      <c r="P17" s="59" t="inlineStr">
        <is>
          <t>crawl_sampling_master.xlsx</t>
        </is>
      </c>
    </row>
    <row r="18">
      <c r="A18" s="167" t="n">
        <v>46281</v>
      </c>
      <c r="B18" s="59" t="inlineStr">
        <is>
          <t>Thứ Tư</t>
        </is>
      </c>
      <c r="C18" s="59" t="inlineStr">
        <is>
          <t>00:30</t>
        </is>
      </c>
      <c r="D18" s="167" t="n">
        <v>46282</v>
      </c>
      <c r="E18" s="167" t="n">
        <v>46284</v>
      </c>
      <c r="F18" s="167" t="n">
        <v>46287</v>
      </c>
      <c r="G18" s="167" t="n">
        <v>46291</v>
      </c>
      <c r="H18" s="167" t="n">
        <v>46295</v>
      </c>
      <c r="I18" s="167" t="n">
        <v>46299</v>
      </c>
      <c r="J18" s="167" t="n">
        <v>46302</v>
      </c>
      <c r="K18" s="167" t="n">
        <v>46305</v>
      </c>
      <c r="L18" s="167" t="n">
        <v>46307</v>
      </c>
      <c r="M18" s="167" t="n">
        <v>46306</v>
      </c>
      <c r="N18" s="167" t="n">
        <v>46344</v>
      </c>
      <c r="O18" s="167" t="n">
        <v>46388</v>
      </c>
      <c r="P18" s="59" t="inlineStr">
        <is>
          <t>crawl_sampling_master.xlsx</t>
        </is>
      </c>
    </row>
    <row r="19">
      <c r="A19" s="167" t="n">
        <v>46282</v>
      </c>
      <c r="B19" s="59" t="inlineStr">
        <is>
          <t>Thứ Năm</t>
        </is>
      </c>
      <c r="C19" s="59" t="inlineStr">
        <is>
          <t>00:30</t>
        </is>
      </c>
      <c r="D19" s="167" t="n">
        <v>46282</v>
      </c>
      <c r="E19" s="167" t="n">
        <v>46284</v>
      </c>
      <c r="F19" s="167" t="n">
        <v>46287</v>
      </c>
      <c r="G19" s="167" t="n">
        <v>46291</v>
      </c>
      <c r="H19" s="167" t="n">
        <v>46295</v>
      </c>
      <c r="I19" s="167" t="n">
        <v>46299</v>
      </c>
      <c r="J19" s="167" t="n">
        <v>46302</v>
      </c>
      <c r="K19" s="167" t="n">
        <v>46305</v>
      </c>
      <c r="L19" s="167" t="n">
        <v>46307</v>
      </c>
      <c r="M19" s="167" t="n">
        <v>46306</v>
      </c>
      <c r="N19" s="167" t="n">
        <v>46344</v>
      </c>
      <c r="O19" s="167" t="n">
        <v>46388</v>
      </c>
      <c r="P19" s="59" t="inlineStr">
        <is>
          <t>crawl_sampling_master.xlsx</t>
        </is>
      </c>
    </row>
    <row r="20">
      <c r="A20" s="167" t="n">
        <v>46283</v>
      </c>
      <c r="B20" s="59" t="inlineStr">
        <is>
          <t>Thứ Sáu</t>
        </is>
      </c>
      <c r="C20" s="59" t="inlineStr">
        <is>
          <t>00:30</t>
        </is>
      </c>
      <c r="D20" s="167" t="n">
        <v>46310</v>
      </c>
      <c r="E20" s="167" t="n">
        <v>46284</v>
      </c>
      <c r="F20" s="167" t="n">
        <v>46287</v>
      </c>
      <c r="G20" s="167" t="n">
        <v>46291</v>
      </c>
      <c r="H20" s="167" t="n">
        <v>46295</v>
      </c>
      <c r="I20" s="167" t="n">
        <v>46299</v>
      </c>
      <c r="J20" s="167" t="n">
        <v>46302</v>
      </c>
      <c r="K20" s="167" t="n">
        <v>46305</v>
      </c>
      <c r="L20" s="167" t="n">
        <v>46307</v>
      </c>
      <c r="M20" s="167" t="n">
        <v>46306</v>
      </c>
      <c r="N20" s="167" t="n">
        <v>46344</v>
      </c>
      <c r="O20" s="167" t="n">
        <v>46388</v>
      </c>
      <c r="P20" s="59" t="inlineStr">
        <is>
          <t>crawl_sampling_master.xlsx</t>
        </is>
      </c>
    </row>
    <row r="21">
      <c r="A21" s="167" t="n">
        <v>46284</v>
      </c>
      <c r="B21" s="59" t="inlineStr">
        <is>
          <t>Thứ Bảy</t>
        </is>
      </c>
      <c r="C21" s="59" t="inlineStr">
        <is>
          <t>00:30</t>
        </is>
      </c>
      <c r="D21" s="167" t="n">
        <v>46310</v>
      </c>
      <c r="E21" s="167" t="n">
        <v>46284</v>
      </c>
      <c r="F21" s="167" t="n">
        <v>46287</v>
      </c>
      <c r="G21" s="167" t="n">
        <v>46291</v>
      </c>
      <c r="H21" s="167" t="n">
        <v>46295</v>
      </c>
      <c r="I21" s="167" t="n">
        <v>46299</v>
      </c>
      <c r="J21" s="167" t="n">
        <v>46302</v>
      </c>
      <c r="K21" s="167" t="n">
        <v>46305</v>
      </c>
      <c r="L21" s="167" t="n">
        <v>46307</v>
      </c>
      <c r="M21" s="167" t="n">
        <v>46306</v>
      </c>
      <c r="N21" s="167" t="n">
        <v>46344</v>
      </c>
      <c r="O21" s="167" t="n">
        <v>46388</v>
      </c>
      <c r="P21" s="59" t="inlineStr">
        <is>
          <t>crawl_sampling_master.xlsx</t>
        </is>
      </c>
    </row>
    <row r="22">
      <c r="A22" s="167" t="n">
        <v>46285</v>
      </c>
      <c r="B22" s="59" t="inlineStr">
        <is>
          <t>Chủ Nhật</t>
        </is>
      </c>
      <c r="C22" s="59" t="inlineStr">
        <is>
          <t>00:30</t>
        </is>
      </c>
      <c r="D22" s="167" t="n">
        <v>46310</v>
      </c>
      <c r="E22" s="167" t="n">
        <v>46312</v>
      </c>
      <c r="F22" s="167" t="n">
        <v>46287</v>
      </c>
      <c r="G22" s="167" t="n">
        <v>46291</v>
      </c>
      <c r="H22" s="167" t="n">
        <v>46295</v>
      </c>
      <c r="I22" s="167" t="n">
        <v>46299</v>
      </c>
      <c r="J22" s="167" t="n">
        <v>46302</v>
      </c>
      <c r="K22" s="167" t="n">
        <v>46305</v>
      </c>
      <c r="L22" s="167" t="n">
        <v>46307</v>
      </c>
      <c r="M22" s="167" t="n">
        <v>46306</v>
      </c>
      <c r="N22" s="167" t="n">
        <v>46344</v>
      </c>
      <c r="O22" s="167" t="n">
        <v>46388</v>
      </c>
      <c r="P22" s="59" t="inlineStr">
        <is>
          <t>crawl_sampling_master.xlsx</t>
        </is>
      </c>
    </row>
    <row r="23">
      <c r="A23" s="167" t="n">
        <v>46286</v>
      </c>
      <c r="B23" s="59" t="inlineStr">
        <is>
          <t>Thứ Hai</t>
        </is>
      </c>
      <c r="C23" s="59" t="inlineStr">
        <is>
          <t>00:30</t>
        </is>
      </c>
      <c r="D23" s="167" t="n">
        <v>46310</v>
      </c>
      <c r="E23" s="167" t="n">
        <v>46312</v>
      </c>
      <c r="F23" s="167" t="n">
        <v>46287</v>
      </c>
      <c r="G23" s="167" t="n">
        <v>46291</v>
      </c>
      <c r="H23" s="167" t="n">
        <v>46295</v>
      </c>
      <c r="I23" s="167" t="n">
        <v>46299</v>
      </c>
      <c r="J23" s="167" t="n">
        <v>46302</v>
      </c>
      <c r="K23" s="167" t="n">
        <v>46305</v>
      </c>
      <c r="L23" s="167" t="n">
        <v>46307</v>
      </c>
      <c r="M23" s="167" t="n">
        <v>46306</v>
      </c>
      <c r="N23" s="167" t="n">
        <v>46344</v>
      </c>
      <c r="O23" s="167" t="n">
        <v>46388</v>
      </c>
      <c r="P23" s="59" t="inlineStr">
        <is>
          <t>crawl_sampling_master.xlsx</t>
        </is>
      </c>
    </row>
    <row r="24">
      <c r="A24" s="167" t="n">
        <v>46287</v>
      </c>
      <c r="B24" s="59" t="inlineStr">
        <is>
          <t>Thứ Ba</t>
        </is>
      </c>
      <c r="C24" s="59" t="inlineStr">
        <is>
          <t>00:30</t>
        </is>
      </c>
      <c r="D24" s="167" t="n">
        <v>46310</v>
      </c>
      <c r="E24" s="167" t="n">
        <v>46312</v>
      </c>
      <c r="F24" s="167" t="n">
        <v>46287</v>
      </c>
      <c r="G24" s="167" t="n">
        <v>46291</v>
      </c>
      <c r="H24" s="167" t="n">
        <v>46295</v>
      </c>
      <c r="I24" s="167" t="n">
        <v>46299</v>
      </c>
      <c r="J24" s="167" t="n">
        <v>46302</v>
      </c>
      <c r="K24" s="167" t="n">
        <v>46305</v>
      </c>
      <c r="L24" s="167" t="n">
        <v>46307</v>
      </c>
      <c r="M24" s="167" t="n">
        <v>46306</v>
      </c>
      <c r="N24" s="167" t="n">
        <v>46344</v>
      </c>
      <c r="O24" s="167" t="n">
        <v>46388</v>
      </c>
      <c r="P24" s="59" t="inlineStr">
        <is>
          <t>crawl_sampling_master.xlsx</t>
        </is>
      </c>
    </row>
    <row r="25">
      <c r="A25" s="167" t="n">
        <v>46288</v>
      </c>
      <c r="B25" s="59" t="inlineStr">
        <is>
          <t>Thứ Tư</t>
        </is>
      </c>
      <c r="C25" s="59" t="inlineStr">
        <is>
          <t>00:30</t>
        </is>
      </c>
      <c r="D25" s="167" t="n">
        <v>46310</v>
      </c>
      <c r="E25" s="167" t="n">
        <v>46312</v>
      </c>
      <c r="F25" s="167" t="n">
        <v>46315</v>
      </c>
      <c r="G25" s="167" t="n">
        <v>46291</v>
      </c>
      <c r="H25" s="167" t="n">
        <v>46295</v>
      </c>
      <c r="I25" s="167" t="n">
        <v>46299</v>
      </c>
      <c r="J25" s="167" t="n">
        <v>46302</v>
      </c>
      <c r="K25" s="167" t="n">
        <v>46305</v>
      </c>
      <c r="L25" s="167" t="n">
        <v>46307</v>
      </c>
      <c r="M25" s="167" t="n">
        <v>46306</v>
      </c>
      <c r="N25" s="167" t="n">
        <v>46344</v>
      </c>
      <c r="O25" s="167" t="n">
        <v>46388</v>
      </c>
      <c r="P25" s="59" t="inlineStr">
        <is>
          <t>crawl_sampling_master.xlsx</t>
        </is>
      </c>
    </row>
    <row r="26">
      <c r="A26" s="167" t="n">
        <v>46289</v>
      </c>
      <c r="B26" s="59" t="inlineStr">
        <is>
          <t>Thứ Năm</t>
        </is>
      </c>
      <c r="C26" s="59" t="inlineStr">
        <is>
          <t>00:30</t>
        </is>
      </c>
      <c r="D26" s="167" t="n">
        <v>46310</v>
      </c>
      <c r="E26" s="167" t="n">
        <v>46312</v>
      </c>
      <c r="F26" s="167" t="n">
        <v>46315</v>
      </c>
      <c r="G26" s="167" t="n">
        <v>46291</v>
      </c>
      <c r="H26" s="167" t="n">
        <v>46295</v>
      </c>
      <c r="I26" s="167" t="n">
        <v>46299</v>
      </c>
      <c r="J26" s="167" t="n">
        <v>46302</v>
      </c>
      <c r="K26" s="167" t="n">
        <v>46305</v>
      </c>
      <c r="L26" s="167" t="n">
        <v>46307</v>
      </c>
      <c r="M26" s="167" t="n">
        <v>46306</v>
      </c>
      <c r="N26" s="167" t="n">
        <v>46344</v>
      </c>
      <c r="O26" s="167" t="n">
        <v>46388</v>
      </c>
      <c r="P26" s="59" t="inlineStr">
        <is>
          <t>crawl_sampling_master.xlsx</t>
        </is>
      </c>
    </row>
    <row r="27">
      <c r="A27" s="167" t="n">
        <v>46290</v>
      </c>
      <c r="B27" s="59" t="inlineStr">
        <is>
          <t>Thứ Sáu</t>
        </is>
      </c>
      <c r="C27" s="59" t="inlineStr">
        <is>
          <t>00:30</t>
        </is>
      </c>
      <c r="D27" s="167" t="n">
        <v>46310</v>
      </c>
      <c r="E27" s="167" t="n">
        <v>46312</v>
      </c>
      <c r="F27" s="167" t="n">
        <v>46315</v>
      </c>
      <c r="G27" s="167" t="n">
        <v>46291</v>
      </c>
      <c r="H27" s="167" t="n">
        <v>46295</v>
      </c>
      <c r="I27" s="167" t="n">
        <v>46299</v>
      </c>
      <c r="J27" s="167" t="n">
        <v>46302</v>
      </c>
      <c r="K27" s="167" t="n">
        <v>46305</v>
      </c>
      <c r="L27" s="167" t="n">
        <v>46307</v>
      </c>
      <c r="M27" s="167" t="n">
        <v>46306</v>
      </c>
      <c r="N27" s="167" t="n">
        <v>46344</v>
      </c>
      <c r="O27" s="167" t="n">
        <v>46388</v>
      </c>
      <c r="P27" s="59" t="inlineStr">
        <is>
          <t>crawl_sampling_master.xlsx</t>
        </is>
      </c>
    </row>
    <row r="28">
      <c r="A28" s="167" t="n">
        <v>46291</v>
      </c>
      <c r="B28" s="59" t="inlineStr">
        <is>
          <t>Thứ Bảy</t>
        </is>
      </c>
      <c r="C28" s="59" t="inlineStr">
        <is>
          <t>00:30</t>
        </is>
      </c>
      <c r="D28" s="167" t="n">
        <v>46310</v>
      </c>
      <c r="E28" s="167" t="n">
        <v>46312</v>
      </c>
      <c r="F28" s="167" t="n">
        <v>46315</v>
      </c>
      <c r="G28" s="167" t="n">
        <v>46291</v>
      </c>
      <c r="H28" s="167" t="n">
        <v>46295</v>
      </c>
      <c r="I28" s="167" t="n">
        <v>46299</v>
      </c>
      <c r="J28" s="167" t="n">
        <v>46302</v>
      </c>
      <c r="K28" s="167" t="n">
        <v>46305</v>
      </c>
      <c r="L28" s="167" t="n">
        <v>46307</v>
      </c>
      <c r="M28" s="167" t="n">
        <v>46306</v>
      </c>
      <c r="N28" s="167" t="n">
        <v>46344</v>
      </c>
      <c r="O28" s="167" t="n">
        <v>46388</v>
      </c>
      <c r="P28" s="59" t="inlineStr">
        <is>
          <t>crawl_sampling_master.xlsx</t>
        </is>
      </c>
    </row>
    <row r="29">
      <c r="A29" s="167" t="n">
        <v>46292</v>
      </c>
      <c r="B29" s="59" t="inlineStr">
        <is>
          <t>Chủ Nhật</t>
        </is>
      </c>
      <c r="C29" s="59" t="inlineStr">
        <is>
          <t>00:30</t>
        </is>
      </c>
      <c r="D29" s="167" t="n">
        <v>46310</v>
      </c>
      <c r="E29" s="167" t="n">
        <v>46312</v>
      </c>
      <c r="F29" s="167" t="n">
        <v>46315</v>
      </c>
      <c r="G29" s="167" t="n">
        <v>46319</v>
      </c>
      <c r="H29" s="167" t="n">
        <v>46295</v>
      </c>
      <c r="I29" s="167" t="n">
        <v>46299</v>
      </c>
      <c r="J29" s="167" t="n">
        <v>46302</v>
      </c>
      <c r="K29" s="167" t="n">
        <v>46305</v>
      </c>
      <c r="L29" s="167" t="n">
        <v>46307</v>
      </c>
      <c r="M29" s="167" t="n">
        <v>46306</v>
      </c>
      <c r="N29" s="167" t="n">
        <v>46344</v>
      </c>
      <c r="O29" s="167" t="n">
        <v>46388</v>
      </c>
      <c r="P29" s="59" t="inlineStr">
        <is>
          <t>crawl_sampling_master.xlsx</t>
        </is>
      </c>
    </row>
    <row r="30">
      <c r="A30" s="167" t="n">
        <v>46293</v>
      </c>
      <c r="B30" s="59" t="inlineStr">
        <is>
          <t>Thứ Hai</t>
        </is>
      </c>
      <c r="C30" s="59" t="inlineStr">
        <is>
          <t>00:30</t>
        </is>
      </c>
      <c r="D30" s="167" t="n">
        <v>46310</v>
      </c>
      <c r="E30" s="167" t="n">
        <v>46312</v>
      </c>
      <c r="F30" s="167" t="n">
        <v>46315</v>
      </c>
      <c r="G30" s="167" t="n">
        <v>46319</v>
      </c>
      <c r="H30" s="167" t="n">
        <v>46295</v>
      </c>
      <c r="I30" s="167" t="n">
        <v>46299</v>
      </c>
      <c r="J30" s="167" t="n">
        <v>46302</v>
      </c>
      <c r="K30" s="167" t="n">
        <v>46305</v>
      </c>
      <c r="L30" s="167" t="n">
        <v>46307</v>
      </c>
      <c r="M30" s="167" t="n">
        <v>46306</v>
      </c>
      <c r="N30" s="167" t="n">
        <v>46344</v>
      </c>
      <c r="O30" s="167" t="n">
        <v>46388</v>
      </c>
      <c r="P30" s="59" t="inlineStr">
        <is>
          <t>crawl_sampling_master.xlsx</t>
        </is>
      </c>
    </row>
    <row r="31">
      <c r="A31" s="167" t="n">
        <v>46294</v>
      </c>
      <c r="B31" s="59" t="inlineStr">
        <is>
          <t>Thứ Ba</t>
        </is>
      </c>
      <c r="C31" s="59" t="inlineStr">
        <is>
          <t>00:30</t>
        </is>
      </c>
      <c r="D31" s="167" t="n">
        <v>46310</v>
      </c>
      <c r="E31" s="167" t="n">
        <v>46312</v>
      </c>
      <c r="F31" s="167" t="n">
        <v>46315</v>
      </c>
      <c r="G31" s="167" t="n">
        <v>46319</v>
      </c>
      <c r="H31" s="167" t="n">
        <v>46295</v>
      </c>
      <c r="I31" s="167" t="n">
        <v>46299</v>
      </c>
      <c r="J31" s="167" t="n">
        <v>46302</v>
      </c>
      <c r="K31" s="167" t="n">
        <v>46305</v>
      </c>
      <c r="L31" s="167" t="n">
        <v>46307</v>
      </c>
      <c r="M31" s="167" t="n">
        <v>46306</v>
      </c>
      <c r="N31" s="167" t="n">
        <v>46344</v>
      </c>
      <c r="O31" s="167" t="n">
        <v>46388</v>
      </c>
      <c r="P31" s="59" t="inlineStr">
        <is>
          <t>crawl_sampling_master.xlsx</t>
        </is>
      </c>
    </row>
    <row r="32">
      <c r="A32" s="167" t="n">
        <v>46295</v>
      </c>
      <c r="B32" s="59" t="inlineStr">
        <is>
          <t>Thứ Tư</t>
        </is>
      </c>
      <c r="C32" s="59" t="inlineStr">
        <is>
          <t>00:30</t>
        </is>
      </c>
      <c r="D32" s="167" t="n">
        <v>46310</v>
      </c>
      <c r="E32" s="167" t="n">
        <v>46312</v>
      </c>
      <c r="F32" s="167" t="n">
        <v>46315</v>
      </c>
      <c r="G32" s="167" t="n">
        <v>46319</v>
      </c>
      <c r="H32" s="167" t="n">
        <v>46295</v>
      </c>
      <c r="I32" s="167" t="n">
        <v>46299</v>
      </c>
      <c r="J32" s="167" t="n">
        <v>46302</v>
      </c>
      <c r="K32" s="167" t="n">
        <v>46305</v>
      </c>
      <c r="L32" s="167" t="n">
        <v>46307</v>
      </c>
      <c r="M32" s="167" t="n">
        <v>46306</v>
      </c>
      <c r="N32" s="167" t="n">
        <v>46344</v>
      </c>
      <c r="O32" s="167" t="n">
        <v>46388</v>
      </c>
      <c r="P32" s="59" t="inlineStr">
        <is>
          <t>crawl_sampling_master.xlsx</t>
        </is>
      </c>
    </row>
    <row r="33">
      <c r="A33" s="167" t="n">
        <v>46296</v>
      </c>
      <c r="B33" s="59" t="inlineStr">
        <is>
          <t>Thứ Năm</t>
        </is>
      </c>
      <c r="C33" s="59" t="inlineStr">
        <is>
          <t>00:30</t>
        </is>
      </c>
      <c r="D33" s="167" t="n">
        <v>46310</v>
      </c>
      <c r="E33" s="167" t="n">
        <v>46312</v>
      </c>
      <c r="F33" s="167" t="n">
        <v>46315</v>
      </c>
      <c r="G33" s="167" t="n">
        <v>46319</v>
      </c>
      <c r="H33" s="167" t="n">
        <v>46323</v>
      </c>
      <c r="I33" s="167" t="n">
        <v>46299</v>
      </c>
      <c r="J33" s="167" t="n">
        <v>46302</v>
      </c>
      <c r="K33" s="167" t="n">
        <v>46305</v>
      </c>
      <c r="L33" s="167" t="n">
        <v>46307</v>
      </c>
      <c r="M33" s="167" t="n">
        <v>46306</v>
      </c>
      <c r="N33" s="167" t="n">
        <v>46344</v>
      </c>
      <c r="O33" s="167" t="n">
        <v>46388</v>
      </c>
      <c r="P33" s="59" t="inlineStr">
        <is>
          <t>crawl_sampling_master.xlsx</t>
        </is>
      </c>
    </row>
    <row r="34">
      <c r="A34" s="167" t="n">
        <v>46297</v>
      </c>
      <c r="B34" s="59" t="inlineStr">
        <is>
          <t>Thứ Sáu</t>
        </is>
      </c>
      <c r="C34" s="59" t="inlineStr">
        <is>
          <t>00:30</t>
        </is>
      </c>
      <c r="D34" s="167" t="n">
        <v>46310</v>
      </c>
      <c r="E34" s="167" t="n">
        <v>46312</v>
      </c>
      <c r="F34" s="167" t="n">
        <v>46315</v>
      </c>
      <c r="G34" s="167" t="n">
        <v>46319</v>
      </c>
      <c r="H34" s="167" t="n">
        <v>46323</v>
      </c>
      <c r="I34" s="167" t="n">
        <v>46299</v>
      </c>
      <c r="J34" s="167" t="n">
        <v>46302</v>
      </c>
      <c r="K34" s="167" t="n">
        <v>46305</v>
      </c>
      <c r="L34" s="167" t="n">
        <v>46307</v>
      </c>
      <c r="M34" s="167" t="n">
        <v>46306</v>
      </c>
      <c r="N34" s="167" t="n">
        <v>46344</v>
      </c>
      <c r="O34" s="167" t="n">
        <v>46388</v>
      </c>
      <c r="P34" s="59" t="inlineStr">
        <is>
          <t>crawl_sampling_master.xlsx</t>
        </is>
      </c>
    </row>
    <row r="35">
      <c r="A35" s="167" t="n">
        <v>46298</v>
      </c>
      <c r="B35" s="59" t="inlineStr">
        <is>
          <t>Thứ Bảy</t>
        </is>
      </c>
      <c r="C35" s="59" t="inlineStr">
        <is>
          <t>00:30</t>
        </is>
      </c>
      <c r="D35" s="167" t="n">
        <v>46310</v>
      </c>
      <c r="E35" s="167" t="n">
        <v>46312</v>
      </c>
      <c r="F35" s="167" t="n">
        <v>46315</v>
      </c>
      <c r="G35" s="167" t="n">
        <v>46319</v>
      </c>
      <c r="H35" s="167" t="n">
        <v>46323</v>
      </c>
      <c r="I35" s="167" t="n">
        <v>46299</v>
      </c>
      <c r="J35" s="167" t="n">
        <v>46302</v>
      </c>
      <c r="K35" s="167" t="n">
        <v>46305</v>
      </c>
      <c r="L35" s="167" t="n">
        <v>46307</v>
      </c>
      <c r="M35" s="167" t="n">
        <v>46306</v>
      </c>
      <c r="N35" s="167" t="n">
        <v>46344</v>
      </c>
      <c r="O35" s="167" t="n">
        <v>46388</v>
      </c>
      <c r="P35" s="59" t="inlineStr">
        <is>
          <t>crawl_sampling_master.xlsx</t>
        </is>
      </c>
    </row>
    <row r="36">
      <c r="A36" s="167" t="n">
        <v>46299</v>
      </c>
      <c r="B36" s="59" t="inlineStr">
        <is>
          <t>Chủ Nhật</t>
        </is>
      </c>
      <c r="C36" s="59" t="inlineStr">
        <is>
          <t>00:30</t>
        </is>
      </c>
      <c r="D36" s="167" t="n">
        <v>46310</v>
      </c>
      <c r="E36" s="167" t="n">
        <v>46312</v>
      </c>
      <c r="F36" s="167" t="n">
        <v>46315</v>
      </c>
      <c r="G36" s="167" t="n">
        <v>46319</v>
      </c>
      <c r="H36" s="167" t="n">
        <v>46323</v>
      </c>
      <c r="I36" s="167" t="n">
        <v>46299</v>
      </c>
      <c r="J36" s="167" t="n">
        <v>46302</v>
      </c>
      <c r="K36" s="167" t="n">
        <v>46305</v>
      </c>
      <c r="L36" s="167" t="n">
        <v>46307</v>
      </c>
      <c r="M36" s="167" t="n">
        <v>46306</v>
      </c>
      <c r="N36" s="167" t="n">
        <v>46344</v>
      </c>
      <c r="O36" s="167" t="n">
        <v>46388</v>
      </c>
      <c r="P36" s="59" t="inlineStr">
        <is>
          <t>crawl_sampling_master.xlsx</t>
        </is>
      </c>
    </row>
    <row r="37">
      <c r="A37" s="167" t="n">
        <v>46300</v>
      </c>
      <c r="B37" s="59" t="inlineStr">
        <is>
          <t>Thứ Hai</t>
        </is>
      </c>
      <c r="C37" s="59" t="inlineStr">
        <is>
          <t>00:30</t>
        </is>
      </c>
      <c r="D37" s="167" t="n">
        <v>46310</v>
      </c>
      <c r="E37" s="167" t="n">
        <v>46312</v>
      </c>
      <c r="F37" s="167" t="n">
        <v>46315</v>
      </c>
      <c r="G37" s="167" t="n">
        <v>46319</v>
      </c>
      <c r="H37" s="167" t="n">
        <v>46323</v>
      </c>
      <c r="I37" s="167" t="n">
        <v>46327</v>
      </c>
      <c r="J37" s="167" t="n">
        <v>46302</v>
      </c>
      <c r="K37" s="167" t="n">
        <v>46305</v>
      </c>
      <c r="L37" s="167" t="n">
        <v>46307</v>
      </c>
      <c r="M37" s="167" t="n">
        <v>46306</v>
      </c>
      <c r="N37" s="167" t="n">
        <v>46344</v>
      </c>
      <c r="O37" s="167" t="n">
        <v>46388</v>
      </c>
      <c r="P37" s="59" t="inlineStr">
        <is>
          <t>crawl_sampling_master.xlsx</t>
        </is>
      </c>
    </row>
    <row r="38">
      <c r="A38" s="167" t="n">
        <v>46301</v>
      </c>
      <c r="B38" s="59" t="inlineStr">
        <is>
          <t>Thứ Ba</t>
        </is>
      </c>
      <c r="C38" s="59" t="inlineStr">
        <is>
          <t>00:30</t>
        </is>
      </c>
      <c r="D38" s="167" t="n">
        <v>46310</v>
      </c>
      <c r="E38" s="167" t="n">
        <v>46312</v>
      </c>
      <c r="F38" s="167" t="n">
        <v>46315</v>
      </c>
      <c r="G38" s="167" t="n">
        <v>46319</v>
      </c>
      <c r="H38" s="167" t="n">
        <v>46323</v>
      </c>
      <c r="I38" s="167" t="n">
        <v>46327</v>
      </c>
      <c r="J38" s="167" t="n">
        <v>46302</v>
      </c>
      <c r="K38" s="167" t="n">
        <v>46305</v>
      </c>
      <c r="L38" s="167" t="n">
        <v>46307</v>
      </c>
      <c r="M38" s="167" t="n">
        <v>46306</v>
      </c>
      <c r="N38" s="167" t="n">
        <v>46344</v>
      </c>
      <c r="O38" s="167" t="n">
        <v>46388</v>
      </c>
      <c r="P38" s="59" t="inlineStr">
        <is>
          <t>crawl_sampling_master.xlsx</t>
        </is>
      </c>
    </row>
    <row r="39">
      <c r="A39" s="167" t="n">
        <v>46302</v>
      </c>
      <c r="B39" s="59" t="inlineStr">
        <is>
          <t>Thứ Tư</t>
        </is>
      </c>
      <c r="C39" s="59" t="inlineStr">
        <is>
          <t>00:30</t>
        </is>
      </c>
      <c r="D39" s="167" t="n">
        <v>46310</v>
      </c>
      <c r="E39" s="167" t="n">
        <v>46312</v>
      </c>
      <c r="F39" s="167" t="n">
        <v>46315</v>
      </c>
      <c r="G39" s="167" t="n">
        <v>46319</v>
      </c>
      <c r="H39" s="167" t="n">
        <v>46323</v>
      </c>
      <c r="I39" s="167" t="n">
        <v>46327</v>
      </c>
      <c r="J39" s="167" t="n">
        <v>46302</v>
      </c>
      <c r="K39" s="167" t="n">
        <v>46305</v>
      </c>
      <c r="L39" s="167" t="n">
        <v>46307</v>
      </c>
      <c r="M39" s="167" t="n">
        <v>46306</v>
      </c>
      <c r="N39" s="167" t="n">
        <v>46344</v>
      </c>
      <c r="O39" s="167" t="n">
        <v>46388</v>
      </c>
      <c r="P39" s="59" t="inlineStr">
        <is>
          <t>crawl_sampling_master.xlsx</t>
        </is>
      </c>
    </row>
    <row r="40">
      <c r="A40" s="167" t="n">
        <v>46303</v>
      </c>
      <c r="B40" s="59" t="inlineStr">
        <is>
          <t>Thứ Năm</t>
        </is>
      </c>
      <c r="C40" s="59" t="inlineStr">
        <is>
          <t>00:30</t>
        </is>
      </c>
      <c r="D40" s="167" t="n">
        <v>46310</v>
      </c>
      <c r="E40" s="167" t="n">
        <v>46312</v>
      </c>
      <c r="F40" s="167" t="n">
        <v>46315</v>
      </c>
      <c r="G40" s="167" t="n">
        <v>46319</v>
      </c>
      <c r="H40" s="167" t="n">
        <v>46323</v>
      </c>
      <c r="I40" s="167" t="n">
        <v>46327</v>
      </c>
      <c r="J40" s="167" t="n">
        <v>46330</v>
      </c>
      <c r="K40" s="167" t="n">
        <v>46305</v>
      </c>
      <c r="L40" s="167" t="n">
        <v>46307</v>
      </c>
      <c r="M40" s="167" t="n">
        <v>46306</v>
      </c>
      <c r="N40" s="167" t="n">
        <v>46344</v>
      </c>
      <c r="O40" s="167" t="n">
        <v>46388</v>
      </c>
      <c r="P40" s="59" t="inlineStr">
        <is>
          <t>crawl_sampling_master.xlsx</t>
        </is>
      </c>
    </row>
    <row r="41">
      <c r="A41" s="167" t="n">
        <v>46304</v>
      </c>
      <c r="B41" s="59" t="inlineStr">
        <is>
          <t>Thứ Sáu</t>
        </is>
      </c>
      <c r="C41" s="59" t="inlineStr">
        <is>
          <t>00:30</t>
        </is>
      </c>
      <c r="D41" s="167" t="n">
        <v>46310</v>
      </c>
      <c r="E41" s="167" t="n">
        <v>46312</v>
      </c>
      <c r="F41" s="167" t="n">
        <v>46315</v>
      </c>
      <c r="G41" s="167" t="n">
        <v>46319</v>
      </c>
      <c r="H41" s="167" t="n">
        <v>46323</v>
      </c>
      <c r="I41" s="167" t="n">
        <v>46327</v>
      </c>
      <c r="J41" s="167" t="n">
        <v>46330</v>
      </c>
      <c r="K41" s="167" t="n">
        <v>46305</v>
      </c>
      <c r="L41" s="167" t="n">
        <v>46307</v>
      </c>
      <c r="M41" s="167" t="n">
        <v>46306</v>
      </c>
      <c r="N41" s="167" t="n">
        <v>46344</v>
      </c>
      <c r="O41" s="167" t="n">
        <v>46388</v>
      </c>
      <c r="P41" s="59" t="inlineStr">
        <is>
          <t>crawl_sampling_master.xlsx</t>
        </is>
      </c>
    </row>
    <row r="42">
      <c r="A42" s="167" t="n">
        <v>46305</v>
      </c>
      <c r="B42" s="59" t="inlineStr">
        <is>
          <t>Thứ Bảy</t>
        </is>
      </c>
      <c r="C42" s="59" t="inlineStr">
        <is>
          <t>00:30</t>
        </is>
      </c>
      <c r="D42" s="167" t="n">
        <v>46310</v>
      </c>
      <c r="E42" s="167" t="n">
        <v>46312</v>
      </c>
      <c r="F42" s="167" t="n">
        <v>46315</v>
      </c>
      <c r="G42" s="167" t="n">
        <v>46319</v>
      </c>
      <c r="H42" s="167" t="n">
        <v>46323</v>
      </c>
      <c r="I42" s="167" t="n">
        <v>46327</v>
      </c>
      <c r="J42" s="167" t="n">
        <v>46330</v>
      </c>
      <c r="K42" s="167" t="n">
        <v>46305</v>
      </c>
      <c r="L42" s="167" t="n">
        <v>46307</v>
      </c>
      <c r="M42" s="167" t="n">
        <v>46306</v>
      </c>
      <c r="N42" s="167" t="n">
        <v>46344</v>
      </c>
      <c r="O42" s="167" t="n">
        <v>46388</v>
      </c>
      <c r="P42" s="59" t="inlineStr">
        <is>
          <t>crawl_sampling_master.xlsx</t>
        </is>
      </c>
    </row>
    <row r="43">
      <c r="A43" s="167" t="n">
        <v>46306</v>
      </c>
      <c r="B43" s="59" t="inlineStr">
        <is>
          <t>Chủ Nhật</t>
        </is>
      </c>
      <c r="C43" s="59" t="inlineStr">
        <is>
          <t>00:30</t>
        </is>
      </c>
      <c r="D43" s="167" t="n">
        <v>46310</v>
      </c>
      <c r="E43" s="167" t="n">
        <v>46312</v>
      </c>
      <c r="F43" s="167" t="n">
        <v>46315</v>
      </c>
      <c r="G43" s="167" t="n">
        <v>46319</v>
      </c>
      <c r="H43" s="167" t="n">
        <v>46323</v>
      </c>
      <c r="I43" s="167" t="n">
        <v>46327</v>
      </c>
      <c r="J43" s="167" t="n">
        <v>46330</v>
      </c>
      <c r="K43" s="167" t="n">
        <v>46333</v>
      </c>
      <c r="L43" s="167" t="n">
        <v>46307</v>
      </c>
      <c r="M43" s="167" t="n">
        <v>46306</v>
      </c>
      <c r="N43" s="167" t="n">
        <v>46344</v>
      </c>
      <c r="O43" s="167" t="n">
        <v>46388</v>
      </c>
      <c r="P43" s="59" t="inlineStr">
        <is>
          <t>crawl_sampling_master.xlsx</t>
        </is>
      </c>
    </row>
    <row r="44">
      <c r="A44" s="167" t="n">
        <v>46307</v>
      </c>
      <c r="B44" s="59" t="inlineStr">
        <is>
          <t>Thứ Hai</t>
        </is>
      </c>
      <c r="C44" s="59" t="inlineStr">
        <is>
          <t>00:30</t>
        </is>
      </c>
      <c r="D44" s="167" t="n">
        <v>46310</v>
      </c>
      <c r="E44" s="167" t="n">
        <v>46312</v>
      </c>
      <c r="F44" s="167" t="n">
        <v>46315</v>
      </c>
      <c r="G44" s="167" t="n">
        <v>46319</v>
      </c>
      <c r="H44" s="167" t="n">
        <v>46323</v>
      </c>
      <c r="I44" s="167" t="n">
        <v>46327</v>
      </c>
      <c r="J44" s="167" t="n">
        <v>46330</v>
      </c>
      <c r="K44" s="167" t="n">
        <v>46333</v>
      </c>
      <c r="L44" s="167" t="n">
        <v>46307</v>
      </c>
      <c r="M44" s="167" t="n">
        <v>46362</v>
      </c>
      <c r="N44" s="167" t="n">
        <v>46344</v>
      </c>
      <c r="O44" s="167" t="n">
        <v>46388</v>
      </c>
      <c r="P44" s="59" t="inlineStr">
        <is>
          <t>crawl_sampling_master.xlsx</t>
        </is>
      </c>
    </row>
    <row r="45">
      <c r="A45" s="167" t="n">
        <v>46308</v>
      </c>
      <c r="B45" s="59" t="inlineStr">
        <is>
          <t>Thứ Ba</t>
        </is>
      </c>
      <c r="C45" s="59" t="inlineStr">
        <is>
          <t>00:30</t>
        </is>
      </c>
      <c r="D45" s="167" t="n">
        <v>46310</v>
      </c>
      <c r="E45" s="167" t="n">
        <v>46312</v>
      </c>
      <c r="F45" s="167" t="n">
        <v>46315</v>
      </c>
      <c r="G45" s="167" t="n">
        <v>46319</v>
      </c>
      <c r="H45" s="167" t="n">
        <v>46323</v>
      </c>
      <c r="I45" s="167" t="n">
        <v>46327</v>
      </c>
      <c r="J45" s="167" t="n">
        <v>46330</v>
      </c>
      <c r="K45" s="167" t="n">
        <v>46333</v>
      </c>
      <c r="L45" s="167" t="n">
        <v>46335</v>
      </c>
      <c r="M45" s="167" t="n">
        <v>46362</v>
      </c>
      <c r="N45" s="167" t="n">
        <v>46344</v>
      </c>
      <c r="O45" s="167" t="n">
        <v>46388</v>
      </c>
      <c r="P45" s="59" t="inlineStr">
        <is>
          <t>crawl_sampling_master.xlsx</t>
        </is>
      </c>
    </row>
    <row r="46">
      <c r="A46" s="167" t="n">
        <v>46309</v>
      </c>
      <c r="B46" s="59" t="inlineStr">
        <is>
          <t>Thứ Tư</t>
        </is>
      </c>
      <c r="C46" s="59" t="inlineStr">
        <is>
          <t>00:30</t>
        </is>
      </c>
      <c r="D46" s="167" t="n">
        <v>46310</v>
      </c>
      <c r="E46" s="167" t="n">
        <v>46312</v>
      </c>
      <c r="F46" s="167" t="n">
        <v>46315</v>
      </c>
      <c r="G46" s="167" t="n">
        <v>46319</v>
      </c>
      <c r="H46" s="167" t="n">
        <v>46323</v>
      </c>
      <c r="I46" s="167" t="n">
        <v>46327</v>
      </c>
      <c r="J46" s="167" t="n">
        <v>46330</v>
      </c>
      <c r="K46" s="167" t="n">
        <v>46333</v>
      </c>
      <c r="L46" s="167" t="n">
        <v>46335</v>
      </c>
      <c r="M46" s="167" t="n">
        <v>46362</v>
      </c>
      <c r="N46" s="167" t="n">
        <v>46344</v>
      </c>
      <c r="O46" s="167" t="n">
        <v>46388</v>
      </c>
      <c r="P46" s="59" t="inlineStr">
        <is>
          <t>crawl_sampling_master.xlsx</t>
        </is>
      </c>
    </row>
    <row r="47">
      <c r="A47" s="167" t="n">
        <v>46310</v>
      </c>
      <c r="B47" s="59" t="inlineStr">
        <is>
          <t>Thứ Năm</t>
        </is>
      </c>
      <c r="C47" s="59" t="inlineStr">
        <is>
          <t>00:30</t>
        </is>
      </c>
      <c r="D47" s="167" t="n">
        <v>46310</v>
      </c>
      <c r="E47" s="167" t="n">
        <v>46312</v>
      </c>
      <c r="F47" s="167" t="n">
        <v>46315</v>
      </c>
      <c r="G47" s="167" t="n">
        <v>46319</v>
      </c>
      <c r="H47" s="167" t="n">
        <v>46323</v>
      </c>
      <c r="I47" s="167" t="n">
        <v>46327</v>
      </c>
      <c r="J47" s="167" t="n">
        <v>46330</v>
      </c>
      <c r="K47" s="167" t="n">
        <v>46333</v>
      </c>
      <c r="L47" s="167" t="n">
        <v>46335</v>
      </c>
      <c r="M47" s="167" t="n">
        <v>46362</v>
      </c>
      <c r="N47" s="167" t="n">
        <v>46344</v>
      </c>
      <c r="O47" s="167" t="n">
        <v>46388</v>
      </c>
      <c r="P47" s="59" t="inlineStr">
        <is>
          <t>crawl_sampling_master.xlsx</t>
        </is>
      </c>
    </row>
    <row r="48">
      <c r="A48" s="167" t="n">
        <v>46311</v>
      </c>
      <c r="B48" s="59" t="inlineStr">
        <is>
          <t>Thứ Sáu</t>
        </is>
      </c>
      <c r="C48" s="59" t="inlineStr">
        <is>
          <t>00:30</t>
        </is>
      </c>
      <c r="D48" s="167" t="n">
        <v>46338</v>
      </c>
      <c r="E48" s="167" t="n">
        <v>46312</v>
      </c>
      <c r="F48" s="167" t="n">
        <v>46315</v>
      </c>
      <c r="G48" s="167" t="n">
        <v>46319</v>
      </c>
      <c r="H48" s="167" t="n">
        <v>46323</v>
      </c>
      <c r="I48" s="167" t="n">
        <v>46327</v>
      </c>
      <c r="J48" s="167" t="n">
        <v>46330</v>
      </c>
      <c r="K48" s="167" t="n">
        <v>46333</v>
      </c>
      <c r="L48" s="167" t="n">
        <v>46335</v>
      </c>
      <c r="M48" s="167" t="n">
        <v>46362</v>
      </c>
      <c r="N48" s="167" t="n">
        <v>46344</v>
      </c>
      <c r="O48" s="167" t="n">
        <v>46388</v>
      </c>
      <c r="P48" s="59" t="inlineStr">
        <is>
          <t>crawl_sampling_master.xlsx</t>
        </is>
      </c>
    </row>
    <row r="49">
      <c r="A49" s="167" t="n">
        <v>46312</v>
      </c>
      <c r="B49" s="59" t="inlineStr">
        <is>
          <t>Thứ Bảy</t>
        </is>
      </c>
      <c r="C49" s="59" t="inlineStr">
        <is>
          <t>00:30</t>
        </is>
      </c>
      <c r="D49" s="167" t="n">
        <v>46338</v>
      </c>
      <c r="E49" s="167" t="n">
        <v>46312</v>
      </c>
      <c r="F49" s="167" t="n">
        <v>46315</v>
      </c>
      <c r="G49" s="167" t="n">
        <v>46319</v>
      </c>
      <c r="H49" s="167" t="n">
        <v>46323</v>
      </c>
      <c r="I49" s="167" t="n">
        <v>46327</v>
      </c>
      <c r="J49" s="167" t="n">
        <v>46330</v>
      </c>
      <c r="K49" s="167" t="n">
        <v>46333</v>
      </c>
      <c r="L49" s="167" t="n">
        <v>46335</v>
      </c>
      <c r="M49" s="167" t="n">
        <v>46362</v>
      </c>
      <c r="N49" s="167" t="n">
        <v>46344</v>
      </c>
      <c r="O49" s="167" t="n">
        <v>46388</v>
      </c>
      <c r="P49" s="59" t="inlineStr">
        <is>
          <t>crawl_sampling_master.xlsx</t>
        </is>
      </c>
    </row>
    <row r="50">
      <c r="A50" s="167" t="n">
        <v>46313</v>
      </c>
      <c r="B50" s="59" t="inlineStr">
        <is>
          <t>Chủ Nhật</t>
        </is>
      </c>
      <c r="C50" s="59" t="inlineStr">
        <is>
          <t>00:30</t>
        </is>
      </c>
      <c r="D50" s="167" t="n">
        <v>46338</v>
      </c>
      <c r="E50" s="167" t="n">
        <v>46340</v>
      </c>
      <c r="F50" s="167" t="n">
        <v>46315</v>
      </c>
      <c r="G50" s="167" t="n">
        <v>46319</v>
      </c>
      <c r="H50" s="167" t="n">
        <v>46323</v>
      </c>
      <c r="I50" s="167" t="n">
        <v>46327</v>
      </c>
      <c r="J50" s="167" t="n">
        <v>46330</v>
      </c>
      <c r="K50" s="167" t="n">
        <v>46333</v>
      </c>
      <c r="L50" s="167" t="n">
        <v>46335</v>
      </c>
      <c r="M50" s="167" t="n">
        <v>46362</v>
      </c>
      <c r="N50" s="167" t="n">
        <v>46344</v>
      </c>
      <c r="O50" s="167" t="n">
        <v>46388</v>
      </c>
      <c r="P50" s="59" t="inlineStr">
        <is>
          <t>crawl_sampling_master.xlsx</t>
        </is>
      </c>
    </row>
    <row r="51">
      <c r="A51" s="167" t="n">
        <v>46314</v>
      </c>
      <c r="B51" s="59" t="inlineStr">
        <is>
          <t>Thứ Hai</t>
        </is>
      </c>
      <c r="C51" s="59" t="inlineStr">
        <is>
          <t>00:30</t>
        </is>
      </c>
      <c r="D51" s="167" t="n">
        <v>46338</v>
      </c>
      <c r="E51" s="167" t="n">
        <v>46340</v>
      </c>
      <c r="F51" s="167" t="n">
        <v>46315</v>
      </c>
      <c r="G51" s="167" t="n">
        <v>46319</v>
      </c>
      <c r="H51" s="167" t="n">
        <v>46323</v>
      </c>
      <c r="I51" s="167" t="n">
        <v>46327</v>
      </c>
      <c r="J51" s="167" t="n">
        <v>46330</v>
      </c>
      <c r="K51" s="167" t="n">
        <v>46333</v>
      </c>
      <c r="L51" s="167" t="n">
        <v>46335</v>
      </c>
      <c r="M51" s="167" t="n">
        <v>46362</v>
      </c>
      <c r="N51" s="167" t="n">
        <v>46344</v>
      </c>
      <c r="O51" s="167" t="n">
        <v>46388</v>
      </c>
      <c r="P51" s="59" t="inlineStr">
        <is>
          <t>crawl_sampling_master.xlsx</t>
        </is>
      </c>
    </row>
    <row r="52">
      <c r="A52" s="167" t="n">
        <v>46315</v>
      </c>
      <c r="B52" s="59" t="inlineStr">
        <is>
          <t>Thứ Ba</t>
        </is>
      </c>
      <c r="C52" s="59" t="inlineStr">
        <is>
          <t>00:30</t>
        </is>
      </c>
      <c r="D52" s="167" t="n">
        <v>46338</v>
      </c>
      <c r="E52" s="167" t="n">
        <v>46340</v>
      </c>
      <c r="F52" s="167" t="n">
        <v>46315</v>
      </c>
      <c r="G52" s="167" t="n">
        <v>46319</v>
      </c>
      <c r="H52" s="167" t="n">
        <v>46323</v>
      </c>
      <c r="I52" s="167" t="n">
        <v>46327</v>
      </c>
      <c r="J52" s="167" t="n">
        <v>46330</v>
      </c>
      <c r="K52" s="167" t="n">
        <v>46333</v>
      </c>
      <c r="L52" s="167" t="n">
        <v>46335</v>
      </c>
      <c r="M52" s="167" t="n">
        <v>46362</v>
      </c>
      <c r="N52" s="167" t="n">
        <v>46344</v>
      </c>
      <c r="O52" s="167" t="n">
        <v>46388</v>
      </c>
      <c r="P52" s="59" t="inlineStr">
        <is>
          <t>crawl_sampling_master.xlsx</t>
        </is>
      </c>
    </row>
    <row r="53">
      <c r="A53" s="167" t="n">
        <v>46316</v>
      </c>
      <c r="B53" s="59" t="inlineStr">
        <is>
          <t>Thứ Tư</t>
        </is>
      </c>
      <c r="C53" s="59" t="inlineStr">
        <is>
          <t>00:30</t>
        </is>
      </c>
      <c r="D53" s="167" t="n">
        <v>46338</v>
      </c>
      <c r="E53" s="167" t="n">
        <v>46340</v>
      </c>
      <c r="F53" s="167" t="n">
        <v>46343</v>
      </c>
      <c r="G53" s="167" t="n">
        <v>46319</v>
      </c>
      <c r="H53" s="167" t="n">
        <v>46323</v>
      </c>
      <c r="I53" s="167" t="n">
        <v>46327</v>
      </c>
      <c r="J53" s="167" t="n">
        <v>46330</v>
      </c>
      <c r="K53" s="167" t="n">
        <v>46333</v>
      </c>
      <c r="L53" s="167" t="n">
        <v>46335</v>
      </c>
      <c r="M53" s="167" t="n">
        <v>46362</v>
      </c>
      <c r="N53" s="167" t="n">
        <v>46344</v>
      </c>
      <c r="O53" s="167" t="n">
        <v>46388</v>
      </c>
      <c r="P53" s="59" t="inlineStr">
        <is>
          <t>crawl_sampling_master.xlsx</t>
        </is>
      </c>
    </row>
    <row r="54">
      <c r="A54" s="167" t="n">
        <v>46317</v>
      </c>
      <c r="B54" s="59" t="inlineStr">
        <is>
          <t>Thứ Năm</t>
        </is>
      </c>
      <c r="C54" s="59" t="inlineStr">
        <is>
          <t>00:30</t>
        </is>
      </c>
      <c r="D54" s="167" t="n">
        <v>46338</v>
      </c>
      <c r="E54" s="167" t="n">
        <v>46340</v>
      </c>
      <c r="F54" s="167" t="n">
        <v>46343</v>
      </c>
      <c r="G54" s="167" t="n">
        <v>46319</v>
      </c>
      <c r="H54" s="167" t="n">
        <v>46323</v>
      </c>
      <c r="I54" s="167" t="n">
        <v>46327</v>
      </c>
      <c r="J54" s="167" t="n">
        <v>46330</v>
      </c>
      <c r="K54" s="167" t="n">
        <v>46333</v>
      </c>
      <c r="L54" s="167" t="n">
        <v>46335</v>
      </c>
      <c r="M54" s="167" t="n">
        <v>46362</v>
      </c>
      <c r="N54" s="167" t="n">
        <v>46344</v>
      </c>
      <c r="O54" s="167" t="n">
        <v>46388</v>
      </c>
      <c r="P54" s="59" t="inlineStr">
        <is>
          <t>crawl_sampling_master.xlsx</t>
        </is>
      </c>
    </row>
    <row r="55">
      <c r="A55" s="167" t="n">
        <v>46318</v>
      </c>
      <c r="B55" s="59" t="inlineStr">
        <is>
          <t>Thứ Sáu</t>
        </is>
      </c>
      <c r="C55" s="59" t="inlineStr">
        <is>
          <t>00:30</t>
        </is>
      </c>
      <c r="D55" s="167" t="n">
        <v>46338</v>
      </c>
      <c r="E55" s="167" t="n">
        <v>46340</v>
      </c>
      <c r="F55" s="167" t="n">
        <v>46343</v>
      </c>
      <c r="G55" s="167" t="n">
        <v>46319</v>
      </c>
      <c r="H55" s="167" t="n">
        <v>46323</v>
      </c>
      <c r="I55" s="167" t="n">
        <v>46327</v>
      </c>
      <c r="J55" s="167" t="n">
        <v>46330</v>
      </c>
      <c r="K55" s="167" t="n">
        <v>46333</v>
      </c>
      <c r="L55" s="167" t="n">
        <v>46335</v>
      </c>
      <c r="M55" s="167" t="n">
        <v>46362</v>
      </c>
      <c r="N55" s="167" t="n">
        <v>46344</v>
      </c>
      <c r="O55" s="167" t="n">
        <v>46388</v>
      </c>
      <c r="P55" s="59" t="inlineStr">
        <is>
          <t>crawl_sampling_master.xlsx</t>
        </is>
      </c>
    </row>
    <row r="56">
      <c r="A56" s="167" t="n">
        <v>46319</v>
      </c>
      <c r="B56" s="59" t="inlineStr">
        <is>
          <t>Thứ Bảy</t>
        </is>
      </c>
      <c r="C56" s="59" t="inlineStr">
        <is>
          <t>00:30</t>
        </is>
      </c>
      <c r="D56" s="167" t="n">
        <v>46338</v>
      </c>
      <c r="E56" s="167" t="n">
        <v>46340</v>
      </c>
      <c r="F56" s="167" t="n">
        <v>46343</v>
      </c>
      <c r="G56" s="167" t="n">
        <v>46319</v>
      </c>
      <c r="H56" s="167" t="n">
        <v>46323</v>
      </c>
      <c r="I56" s="167" t="n">
        <v>46327</v>
      </c>
      <c r="J56" s="167" t="n">
        <v>46330</v>
      </c>
      <c r="K56" s="167" t="n">
        <v>46333</v>
      </c>
      <c r="L56" s="167" t="n">
        <v>46335</v>
      </c>
      <c r="M56" s="167" t="n">
        <v>46362</v>
      </c>
      <c r="N56" s="167" t="n">
        <v>46344</v>
      </c>
      <c r="O56" s="167" t="n">
        <v>46388</v>
      </c>
      <c r="P56" s="59" t="inlineStr">
        <is>
          <t>crawl_sampling_master.xlsx</t>
        </is>
      </c>
    </row>
    <row r="57">
      <c r="A57" s="167" t="n">
        <v>46320</v>
      </c>
      <c r="B57" s="59" t="inlineStr">
        <is>
          <t>Chủ Nhật</t>
        </is>
      </c>
      <c r="C57" s="59" t="inlineStr">
        <is>
          <t>00:30</t>
        </is>
      </c>
      <c r="D57" s="167" t="n">
        <v>46338</v>
      </c>
      <c r="E57" s="167" t="n">
        <v>46340</v>
      </c>
      <c r="F57" s="167" t="n">
        <v>46343</v>
      </c>
      <c r="G57" s="167" t="n">
        <v>46347</v>
      </c>
      <c r="H57" s="167" t="n">
        <v>46323</v>
      </c>
      <c r="I57" s="167" t="n">
        <v>46327</v>
      </c>
      <c r="J57" s="167" t="n">
        <v>46330</v>
      </c>
      <c r="K57" s="167" t="n">
        <v>46333</v>
      </c>
      <c r="L57" s="167" t="n">
        <v>46335</v>
      </c>
      <c r="M57" s="167" t="n">
        <v>46362</v>
      </c>
      <c r="N57" s="167" t="n">
        <v>46344</v>
      </c>
      <c r="O57" s="167" t="n">
        <v>46388</v>
      </c>
      <c r="P57" s="59" t="inlineStr">
        <is>
          <t>crawl_sampling_master.xlsx</t>
        </is>
      </c>
    </row>
    <row r="58">
      <c r="A58" s="167" t="n">
        <v>46321</v>
      </c>
      <c r="B58" s="59" t="inlineStr">
        <is>
          <t>Thứ Hai</t>
        </is>
      </c>
      <c r="C58" s="59" t="inlineStr">
        <is>
          <t>00:30</t>
        </is>
      </c>
      <c r="D58" s="167" t="n">
        <v>46338</v>
      </c>
      <c r="E58" s="167" t="n">
        <v>46340</v>
      </c>
      <c r="F58" s="167" t="n">
        <v>46343</v>
      </c>
      <c r="G58" s="167" t="n">
        <v>46347</v>
      </c>
      <c r="H58" s="167" t="n">
        <v>46323</v>
      </c>
      <c r="I58" s="167" t="n">
        <v>46327</v>
      </c>
      <c r="J58" s="167" t="n">
        <v>46330</v>
      </c>
      <c r="K58" s="167" t="n">
        <v>46333</v>
      </c>
      <c r="L58" s="167" t="n">
        <v>46335</v>
      </c>
      <c r="M58" s="167" t="n">
        <v>46362</v>
      </c>
      <c r="N58" s="167" t="n">
        <v>46344</v>
      </c>
      <c r="O58" s="167" t="n">
        <v>46388</v>
      </c>
      <c r="P58" s="59" t="inlineStr">
        <is>
          <t>crawl_sampling_master.xlsx</t>
        </is>
      </c>
    </row>
    <row r="59">
      <c r="A59" s="167" t="n">
        <v>46322</v>
      </c>
      <c r="B59" s="59" t="inlineStr">
        <is>
          <t>Thứ Ba</t>
        </is>
      </c>
      <c r="C59" s="59" t="inlineStr">
        <is>
          <t>00:30</t>
        </is>
      </c>
      <c r="D59" s="167" t="n">
        <v>46338</v>
      </c>
      <c r="E59" s="167" t="n">
        <v>46340</v>
      </c>
      <c r="F59" s="167" t="n">
        <v>46343</v>
      </c>
      <c r="G59" s="167" t="n">
        <v>46347</v>
      </c>
      <c r="H59" s="167" t="n">
        <v>46323</v>
      </c>
      <c r="I59" s="167" t="n">
        <v>46327</v>
      </c>
      <c r="J59" s="167" t="n">
        <v>46330</v>
      </c>
      <c r="K59" s="167" t="n">
        <v>46333</v>
      </c>
      <c r="L59" s="167" t="n">
        <v>46335</v>
      </c>
      <c r="M59" s="167" t="n">
        <v>46362</v>
      </c>
      <c r="N59" s="167" t="n">
        <v>46344</v>
      </c>
      <c r="O59" s="167" t="n">
        <v>46388</v>
      </c>
      <c r="P59" s="59" t="inlineStr">
        <is>
          <t>crawl_sampling_master.xlsx</t>
        </is>
      </c>
    </row>
    <row r="60">
      <c r="A60" s="167" t="n">
        <v>46323</v>
      </c>
      <c r="B60" s="59" t="inlineStr">
        <is>
          <t>Thứ Tư</t>
        </is>
      </c>
      <c r="C60" s="59" t="inlineStr">
        <is>
          <t>00:30</t>
        </is>
      </c>
      <c r="D60" s="167" t="n">
        <v>46338</v>
      </c>
      <c r="E60" s="167" t="n">
        <v>46340</v>
      </c>
      <c r="F60" s="167" t="n">
        <v>46343</v>
      </c>
      <c r="G60" s="167" t="n">
        <v>46347</v>
      </c>
      <c r="H60" s="167" t="n">
        <v>46323</v>
      </c>
      <c r="I60" s="167" t="n">
        <v>46327</v>
      </c>
      <c r="J60" s="167" t="n">
        <v>46330</v>
      </c>
      <c r="K60" s="167" t="n">
        <v>46333</v>
      </c>
      <c r="L60" s="167" t="n">
        <v>46335</v>
      </c>
      <c r="M60" s="167" t="n">
        <v>46362</v>
      </c>
      <c r="N60" s="167" t="n">
        <v>46344</v>
      </c>
      <c r="O60" s="167" t="n">
        <v>46388</v>
      </c>
      <c r="P60" s="59" t="inlineStr">
        <is>
          <t>crawl_sampling_master.xlsx</t>
        </is>
      </c>
    </row>
    <row r="61">
      <c r="A61" s="167" t="n">
        <v>46324</v>
      </c>
      <c r="B61" s="59" t="inlineStr">
        <is>
          <t>Thứ Năm</t>
        </is>
      </c>
      <c r="C61" s="59" t="inlineStr">
        <is>
          <t>00:30</t>
        </is>
      </c>
      <c r="D61" s="167" t="n">
        <v>46338</v>
      </c>
      <c r="E61" s="167" t="n">
        <v>46340</v>
      </c>
      <c r="F61" s="167" t="n">
        <v>46343</v>
      </c>
      <c r="G61" s="167" t="n">
        <v>46347</v>
      </c>
      <c r="H61" s="167" t="n">
        <v>46351</v>
      </c>
      <c r="I61" s="167" t="n">
        <v>46327</v>
      </c>
      <c r="J61" s="167" t="n">
        <v>46330</v>
      </c>
      <c r="K61" s="167" t="n">
        <v>46333</v>
      </c>
      <c r="L61" s="167" t="n">
        <v>46335</v>
      </c>
      <c r="M61" s="167" t="n">
        <v>46362</v>
      </c>
      <c r="N61" s="167" t="n">
        <v>46344</v>
      </c>
      <c r="O61" s="167" t="n">
        <v>46388</v>
      </c>
      <c r="P61" s="59" t="inlineStr">
        <is>
          <t>crawl_sampling_master.xlsx</t>
        </is>
      </c>
    </row>
    <row r="62">
      <c r="A62" s="167" t="n">
        <v>46325</v>
      </c>
      <c r="B62" s="59" t="inlineStr">
        <is>
          <t>Thứ Sáu</t>
        </is>
      </c>
      <c r="C62" s="59" t="inlineStr">
        <is>
          <t>00:30</t>
        </is>
      </c>
      <c r="D62" s="167" t="n">
        <v>46338</v>
      </c>
      <c r="E62" s="167" t="n">
        <v>46340</v>
      </c>
      <c r="F62" s="167" t="n">
        <v>46343</v>
      </c>
      <c r="G62" s="167" t="n">
        <v>46347</v>
      </c>
      <c r="H62" s="167" t="n">
        <v>46351</v>
      </c>
      <c r="I62" s="167" t="n">
        <v>46327</v>
      </c>
      <c r="J62" s="167" t="n">
        <v>46330</v>
      </c>
      <c r="K62" s="167" t="n">
        <v>46333</v>
      </c>
      <c r="L62" s="167" t="n">
        <v>46335</v>
      </c>
      <c r="M62" s="167" t="n">
        <v>46362</v>
      </c>
      <c r="N62" s="167" t="n">
        <v>46344</v>
      </c>
      <c r="O62" s="167" t="n">
        <v>46388</v>
      </c>
      <c r="P62" s="59" t="inlineStr">
        <is>
          <t>crawl_sampling_master.xlsx</t>
        </is>
      </c>
    </row>
    <row r="63">
      <c r="A63" s="167" t="n">
        <v>46326</v>
      </c>
      <c r="B63" s="59" t="inlineStr">
        <is>
          <t>Thứ Bảy</t>
        </is>
      </c>
      <c r="C63" s="59" t="inlineStr">
        <is>
          <t>00:30</t>
        </is>
      </c>
      <c r="D63" s="167" t="n">
        <v>46338</v>
      </c>
      <c r="E63" s="167" t="n">
        <v>46340</v>
      </c>
      <c r="F63" s="167" t="n">
        <v>46343</v>
      </c>
      <c r="G63" s="167" t="n">
        <v>46347</v>
      </c>
      <c r="H63" s="167" t="n">
        <v>46351</v>
      </c>
      <c r="I63" s="167" t="n">
        <v>46327</v>
      </c>
      <c r="J63" s="167" t="n">
        <v>46330</v>
      </c>
      <c r="K63" s="167" t="n">
        <v>46333</v>
      </c>
      <c r="L63" s="167" t="n">
        <v>46335</v>
      </c>
      <c r="M63" s="167" t="n">
        <v>46362</v>
      </c>
      <c r="N63" s="167" t="n">
        <v>46344</v>
      </c>
      <c r="O63" s="167" t="n">
        <v>46388</v>
      </c>
      <c r="P63" s="59" t="inlineStr">
        <is>
          <t>crawl_sampling_master.xlsx</t>
        </is>
      </c>
    </row>
    <row r="64">
      <c r="A64" s="167" t="n">
        <v>46327</v>
      </c>
      <c r="B64" s="59" t="inlineStr">
        <is>
          <t>Chủ Nhật</t>
        </is>
      </c>
      <c r="C64" s="59" t="inlineStr">
        <is>
          <t>00:30</t>
        </is>
      </c>
      <c r="D64" s="167" t="n">
        <v>46338</v>
      </c>
      <c r="E64" s="167" t="n">
        <v>46340</v>
      </c>
      <c r="F64" s="167" t="n">
        <v>46343</v>
      </c>
      <c r="G64" s="167" t="n">
        <v>46347</v>
      </c>
      <c r="H64" s="167" t="n">
        <v>46351</v>
      </c>
      <c r="I64" s="167" t="n">
        <v>46327</v>
      </c>
      <c r="J64" s="167" t="n">
        <v>46330</v>
      </c>
      <c r="K64" s="167" t="n">
        <v>46333</v>
      </c>
      <c r="L64" s="167" t="n">
        <v>46335</v>
      </c>
      <c r="M64" s="167" t="n">
        <v>46362</v>
      </c>
      <c r="N64" s="167" t="n">
        <v>46344</v>
      </c>
      <c r="O64" s="167" t="n">
        <v>46388</v>
      </c>
      <c r="P64" s="59" t="inlineStr">
        <is>
          <t>crawl_sampling_master.xlsx</t>
        </is>
      </c>
    </row>
    <row r="65">
      <c r="A65" s="167" t="n">
        <v>46328</v>
      </c>
      <c r="B65" s="59" t="inlineStr">
        <is>
          <t>Thứ Hai</t>
        </is>
      </c>
      <c r="C65" s="59" t="inlineStr">
        <is>
          <t>00:30</t>
        </is>
      </c>
      <c r="D65" s="167" t="n">
        <v>46338</v>
      </c>
      <c r="E65" s="167" t="n">
        <v>46340</v>
      </c>
      <c r="F65" s="167" t="n">
        <v>46343</v>
      </c>
      <c r="G65" s="167" t="n">
        <v>46347</v>
      </c>
      <c r="H65" s="167" t="n">
        <v>46351</v>
      </c>
      <c r="I65" s="167" t="n">
        <v>46355</v>
      </c>
      <c r="J65" s="167" t="n">
        <v>46330</v>
      </c>
      <c r="K65" s="167" t="n">
        <v>46333</v>
      </c>
      <c r="L65" s="167" t="n">
        <v>46335</v>
      </c>
      <c r="M65" s="167" t="n">
        <v>46362</v>
      </c>
      <c r="N65" s="167" t="n">
        <v>46344</v>
      </c>
      <c r="O65" s="167" t="n">
        <v>46388</v>
      </c>
      <c r="P65" s="59" t="inlineStr">
        <is>
          <t>crawl_sampling_master.xlsx</t>
        </is>
      </c>
    </row>
    <row r="66">
      <c r="A66" s="167" t="n">
        <v>46329</v>
      </c>
      <c r="B66" s="59" t="inlineStr">
        <is>
          <t>Thứ Ba</t>
        </is>
      </c>
      <c r="C66" s="59" t="inlineStr">
        <is>
          <t>00:30</t>
        </is>
      </c>
      <c r="D66" s="167" t="n">
        <v>46338</v>
      </c>
      <c r="E66" s="167" t="n">
        <v>46340</v>
      </c>
      <c r="F66" s="167" t="n">
        <v>46343</v>
      </c>
      <c r="G66" s="167" t="n">
        <v>46347</v>
      </c>
      <c r="H66" s="167" t="n">
        <v>46351</v>
      </c>
      <c r="I66" s="167" t="n">
        <v>46355</v>
      </c>
      <c r="J66" s="167" t="n">
        <v>46330</v>
      </c>
      <c r="K66" s="167" t="n">
        <v>46333</v>
      </c>
      <c r="L66" s="167" t="n">
        <v>46335</v>
      </c>
      <c r="M66" s="167" t="n">
        <v>46362</v>
      </c>
      <c r="N66" s="167" t="n">
        <v>46344</v>
      </c>
      <c r="O66" s="167" t="n">
        <v>46388</v>
      </c>
      <c r="P66" s="59" t="inlineStr">
        <is>
          <t>crawl_sampling_master.xlsx</t>
        </is>
      </c>
    </row>
    <row r="67">
      <c r="A67" s="167" t="n">
        <v>46330</v>
      </c>
      <c r="B67" s="59" t="inlineStr">
        <is>
          <t>Thứ Tư</t>
        </is>
      </c>
      <c r="C67" s="59" t="inlineStr">
        <is>
          <t>00:30</t>
        </is>
      </c>
      <c r="D67" s="167" t="n">
        <v>46338</v>
      </c>
      <c r="E67" s="167" t="n">
        <v>46340</v>
      </c>
      <c r="F67" s="167" t="n">
        <v>46343</v>
      </c>
      <c r="G67" s="167" t="n">
        <v>46347</v>
      </c>
      <c r="H67" s="167" t="n">
        <v>46351</v>
      </c>
      <c r="I67" s="167" t="n">
        <v>46355</v>
      </c>
      <c r="J67" s="167" t="n">
        <v>46330</v>
      </c>
      <c r="K67" s="167" t="n">
        <v>46333</v>
      </c>
      <c r="L67" s="167" t="n">
        <v>46335</v>
      </c>
      <c r="M67" s="167" t="n">
        <v>46362</v>
      </c>
      <c r="N67" s="167" t="n">
        <v>46344</v>
      </c>
      <c r="O67" s="167" t="n">
        <v>46388</v>
      </c>
      <c r="P67" s="59" t="inlineStr">
        <is>
          <t>crawl_sampling_master.xlsx</t>
        </is>
      </c>
    </row>
    <row r="68">
      <c r="A68" s="167" t="n">
        <v>46331</v>
      </c>
      <c r="B68" s="59" t="inlineStr">
        <is>
          <t>Thứ Năm</t>
        </is>
      </c>
      <c r="C68" s="59" t="inlineStr">
        <is>
          <t>00:30</t>
        </is>
      </c>
      <c r="D68" s="167" t="n">
        <v>46338</v>
      </c>
      <c r="E68" s="167" t="n">
        <v>46340</v>
      </c>
      <c r="F68" s="167" t="n">
        <v>46343</v>
      </c>
      <c r="G68" s="167" t="n">
        <v>46347</v>
      </c>
      <c r="H68" s="167" t="n">
        <v>46351</v>
      </c>
      <c r="I68" s="167" t="n">
        <v>46355</v>
      </c>
      <c r="J68" s="167" t="n">
        <v>46358</v>
      </c>
      <c r="K68" s="167" t="n">
        <v>46333</v>
      </c>
      <c r="L68" s="167" t="n">
        <v>46335</v>
      </c>
      <c r="M68" s="167" t="n">
        <v>46362</v>
      </c>
      <c r="N68" s="167" t="n">
        <v>46344</v>
      </c>
      <c r="O68" s="167" t="n">
        <v>46388</v>
      </c>
      <c r="P68" s="59" t="inlineStr">
        <is>
          <t>crawl_sampling_master.xlsx</t>
        </is>
      </c>
    </row>
    <row r="69">
      <c r="A69" s="167" t="n">
        <v>46332</v>
      </c>
      <c r="B69" s="59" t="inlineStr">
        <is>
          <t>Thứ Sáu</t>
        </is>
      </c>
      <c r="C69" s="59" t="inlineStr">
        <is>
          <t>00:30</t>
        </is>
      </c>
      <c r="D69" s="167" t="n">
        <v>46338</v>
      </c>
      <c r="E69" s="167" t="n">
        <v>46340</v>
      </c>
      <c r="F69" s="167" t="n">
        <v>46343</v>
      </c>
      <c r="G69" s="167" t="n">
        <v>46347</v>
      </c>
      <c r="H69" s="167" t="n">
        <v>46351</v>
      </c>
      <c r="I69" s="167" t="n">
        <v>46355</v>
      </c>
      <c r="J69" s="167" t="n">
        <v>46358</v>
      </c>
      <c r="K69" s="167" t="n">
        <v>46333</v>
      </c>
      <c r="L69" s="167" t="n">
        <v>46335</v>
      </c>
      <c r="M69" s="167" t="n">
        <v>46362</v>
      </c>
      <c r="N69" s="167" t="n">
        <v>46344</v>
      </c>
      <c r="O69" s="167" t="n">
        <v>46388</v>
      </c>
      <c r="P69" s="59" t="inlineStr">
        <is>
          <t>crawl_sampling_master.xlsx</t>
        </is>
      </c>
    </row>
    <row r="70">
      <c r="A70" s="167" t="n">
        <v>46333</v>
      </c>
      <c r="B70" s="59" t="inlineStr">
        <is>
          <t>Thứ Bảy</t>
        </is>
      </c>
      <c r="C70" s="59" t="inlineStr">
        <is>
          <t>00:30</t>
        </is>
      </c>
      <c r="D70" s="167" t="n">
        <v>46338</v>
      </c>
      <c r="E70" s="167" t="n">
        <v>46340</v>
      </c>
      <c r="F70" s="167" t="n">
        <v>46343</v>
      </c>
      <c r="G70" s="167" t="n">
        <v>46347</v>
      </c>
      <c r="H70" s="167" t="n">
        <v>46351</v>
      </c>
      <c r="I70" s="167" t="n">
        <v>46355</v>
      </c>
      <c r="J70" s="167" t="n">
        <v>46358</v>
      </c>
      <c r="K70" s="167" t="n">
        <v>46333</v>
      </c>
      <c r="L70" s="167" t="n">
        <v>46335</v>
      </c>
      <c r="M70" s="167" t="n">
        <v>46362</v>
      </c>
      <c r="N70" s="167" t="n">
        <v>46344</v>
      </c>
      <c r="O70" s="167" t="n">
        <v>46388</v>
      </c>
      <c r="P70" s="59" t="inlineStr">
        <is>
          <t>crawl_sampling_master.xlsx</t>
        </is>
      </c>
    </row>
    <row r="71">
      <c r="A71" s="167" t="n">
        <v>46334</v>
      </c>
      <c r="B71" s="59" t="inlineStr">
        <is>
          <t>Chủ Nhật</t>
        </is>
      </c>
      <c r="C71" s="59" t="inlineStr">
        <is>
          <t>00:30</t>
        </is>
      </c>
      <c r="D71" s="167" t="n">
        <v>46338</v>
      </c>
      <c r="E71" s="167" t="n">
        <v>46340</v>
      </c>
      <c r="F71" s="167" t="n">
        <v>46343</v>
      </c>
      <c r="G71" s="167" t="n">
        <v>46347</v>
      </c>
      <c r="H71" s="167" t="n">
        <v>46351</v>
      </c>
      <c r="I71" s="167" t="n">
        <v>46355</v>
      </c>
      <c r="J71" s="167" t="n">
        <v>46358</v>
      </c>
      <c r="K71" s="167" t="n">
        <v>46361</v>
      </c>
      <c r="L71" s="167" t="n">
        <v>46335</v>
      </c>
      <c r="M71" s="167" t="n">
        <v>46362</v>
      </c>
      <c r="N71" s="167" t="n">
        <v>46344</v>
      </c>
      <c r="O71" s="167" t="n">
        <v>46388</v>
      </c>
      <c r="P71" s="59" t="inlineStr">
        <is>
          <t>crawl_sampling_master.xlsx</t>
        </is>
      </c>
    </row>
    <row r="72">
      <c r="A72" s="167" t="n">
        <v>46335</v>
      </c>
      <c r="B72" s="59" t="inlineStr">
        <is>
          <t>Thứ Hai</t>
        </is>
      </c>
      <c r="C72" s="59" t="inlineStr">
        <is>
          <t>00:30</t>
        </is>
      </c>
      <c r="D72" s="167" t="n">
        <v>46338</v>
      </c>
      <c r="E72" s="167" t="n">
        <v>46340</v>
      </c>
      <c r="F72" s="167" t="n">
        <v>46343</v>
      </c>
      <c r="G72" s="167" t="n">
        <v>46347</v>
      </c>
      <c r="H72" s="167" t="n">
        <v>46351</v>
      </c>
      <c r="I72" s="167" t="n">
        <v>46355</v>
      </c>
      <c r="J72" s="167" t="n">
        <v>46358</v>
      </c>
      <c r="K72" s="167" t="n">
        <v>46361</v>
      </c>
      <c r="L72" s="167" t="n">
        <v>46335</v>
      </c>
      <c r="M72" s="167" t="n">
        <v>46362</v>
      </c>
      <c r="N72" s="167" t="n">
        <v>46344</v>
      </c>
      <c r="O72" s="167" t="n">
        <v>46388</v>
      </c>
      <c r="P72" s="59" t="inlineStr">
        <is>
          <t>crawl_sampling_master.xlsx</t>
        </is>
      </c>
    </row>
    <row r="73">
      <c r="A73" s="167" t="n">
        <v>46336</v>
      </c>
      <c r="B73" s="59" t="inlineStr">
        <is>
          <t>Thứ Ba</t>
        </is>
      </c>
      <c r="C73" s="59" t="inlineStr">
        <is>
          <t>00:30</t>
        </is>
      </c>
      <c r="D73" s="167" t="n">
        <v>46338</v>
      </c>
      <c r="E73" s="167" t="n">
        <v>46340</v>
      </c>
      <c r="F73" s="167" t="n">
        <v>46343</v>
      </c>
      <c r="G73" s="167" t="n">
        <v>46347</v>
      </c>
      <c r="H73" s="167" t="n">
        <v>46351</v>
      </c>
      <c r="I73" s="167" t="n">
        <v>46355</v>
      </c>
      <c r="J73" s="167" t="n">
        <v>46358</v>
      </c>
      <c r="K73" s="167" t="n">
        <v>46361</v>
      </c>
      <c r="L73" s="167" t="n">
        <v>46363</v>
      </c>
      <c r="M73" s="167" t="n">
        <v>46362</v>
      </c>
      <c r="N73" s="167" t="n">
        <v>46344</v>
      </c>
      <c r="O73" s="167" t="n">
        <v>46388</v>
      </c>
      <c r="P73" s="59" t="inlineStr">
        <is>
          <t>crawl_sampling_master.xlsx</t>
        </is>
      </c>
    </row>
    <row r="74">
      <c r="A74" s="167" t="n">
        <v>46337</v>
      </c>
      <c r="B74" s="59" t="inlineStr">
        <is>
          <t>Thứ Tư</t>
        </is>
      </c>
      <c r="C74" s="59" t="inlineStr">
        <is>
          <t>00:30</t>
        </is>
      </c>
      <c r="D74" s="167" t="n">
        <v>46338</v>
      </c>
      <c r="E74" s="167" t="n">
        <v>46340</v>
      </c>
      <c r="F74" s="167" t="n">
        <v>46343</v>
      </c>
      <c r="G74" s="167" t="n">
        <v>46347</v>
      </c>
      <c r="H74" s="167" t="n">
        <v>46351</v>
      </c>
      <c r="I74" s="167" t="n">
        <v>46355</v>
      </c>
      <c r="J74" s="167" t="n">
        <v>46358</v>
      </c>
      <c r="K74" s="167" t="n">
        <v>46361</v>
      </c>
      <c r="L74" s="167" t="n">
        <v>46363</v>
      </c>
      <c r="M74" s="167" t="n">
        <v>46362</v>
      </c>
      <c r="N74" s="167" t="n">
        <v>46344</v>
      </c>
      <c r="O74" s="167" t="n">
        <v>46388</v>
      </c>
      <c r="P74" s="59" t="inlineStr">
        <is>
          <t>crawl_sampling_master.xlsx</t>
        </is>
      </c>
    </row>
    <row r="75">
      <c r="A75" s="167" t="n">
        <v>46338</v>
      </c>
      <c r="B75" s="59" t="inlineStr">
        <is>
          <t>Thứ Năm</t>
        </is>
      </c>
      <c r="C75" s="59" t="inlineStr">
        <is>
          <t>00:30</t>
        </is>
      </c>
      <c r="D75" s="167" t="n">
        <v>46338</v>
      </c>
      <c r="E75" s="167" t="n">
        <v>46340</v>
      </c>
      <c r="F75" s="167" t="n">
        <v>46343</v>
      </c>
      <c r="G75" s="167" t="n">
        <v>46347</v>
      </c>
      <c r="H75" s="167" t="n">
        <v>46351</v>
      </c>
      <c r="I75" s="167" t="n">
        <v>46355</v>
      </c>
      <c r="J75" s="167" t="n">
        <v>46358</v>
      </c>
      <c r="K75" s="167" t="n">
        <v>46361</v>
      </c>
      <c r="L75" s="167" t="n">
        <v>46363</v>
      </c>
      <c r="M75" s="167" t="n">
        <v>46362</v>
      </c>
      <c r="N75" s="167" t="n">
        <v>46344</v>
      </c>
      <c r="O75" s="167" t="n">
        <v>46388</v>
      </c>
      <c r="P75" s="59" t="inlineStr">
        <is>
          <t>crawl_sampling_master.xlsx</t>
        </is>
      </c>
    </row>
    <row r="76">
      <c r="A76" s="167" t="n">
        <v>46339</v>
      </c>
      <c r="B76" s="59" t="inlineStr">
        <is>
          <t>Thứ Sáu</t>
        </is>
      </c>
      <c r="C76" s="59" t="inlineStr">
        <is>
          <t>00:30</t>
        </is>
      </c>
      <c r="D76" s="167" t="n">
        <v>46366</v>
      </c>
      <c r="E76" s="167" t="n">
        <v>46340</v>
      </c>
      <c r="F76" s="167" t="n">
        <v>46343</v>
      </c>
      <c r="G76" s="167" t="n">
        <v>46347</v>
      </c>
      <c r="H76" s="167" t="n">
        <v>46351</v>
      </c>
      <c r="I76" s="167" t="n">
        <v>46355</v>
      </c>
      <c r="J76" s="167" t="n">
        <v>46358</v>
      </c>
      <c r="K76" s="167" t="n">
        <v>46361</v>
      </c>
      <c r="L76" s="167" t="n">
        <v>46363</v>
      </c>
      <c r="M76" s="167" t="n">
        <v>46362</v>
      </c>
      <c r="N76" s="167" t="n">
        <v>46344</v>
      </c>
      <c r="O76" s="167" t="n">
        <v>46388</v>
      </c>
      <c r="P76" s="59" t="inlineStr">
        <is>
          <t>crawl_sampling_master.xlsx</t>
        </is>
      </c>
    </row>
    <row r="77">
      <c r="A77" s="167" t="n">
        <v>46340</v>
      </c>
      <c r="B77" s="59" t="inlineStr">
        <is>
          <t>Thứ Bảy</t>
        </is>
      </c>
      <c r="C77" s="59" t="inlineStr">
        <is>
          <t>00:30</t>
        </is>
      </c>
      <c r="D77" s="167" t="n">
        <v>46366</v>
      </c>
      <c r="E77" s="167" t="n">
        <v>46340</v>
      </c>
      <c r="F77" s="167" t="n">
        <v>46343</v>
      </c>
      <c r="G77" s="167" t="n">
        <v>46347</v>
      </c>
      <c r="H77" s="167" t="n">
        <v>46351</v>
      </c>
      <c r="I77" s="167" t="n">
        <v>46355</v>
      </c>
      <c r="J77" s="167" t="n">
        <v>46358</v>
      </c>
      <c r="K77" s="167" t="n">
        <v>46361</v>
      </c>
      <c r="L77" s="167" t="n">
        <v>46363</v>
      </c>
      <c r="M77" s="167" t="n">
        <v>46362</v>
      </c>
      <c r="N77" s="167" t="n">
        <v>46344</v>
      </c>
      <c r="O77" s="167" t="n">
        <v>46388</v>
      </c>
      <c r="P77" s="59" t="inlineStr">
        <is>
          <t>crawl_sampling_master.xlsx</t>
        </is>
      </c>
    </row>
    <row r="78">
      <c r="A78" s="167" t="n">
        <v>46341</v>
      </c>
      <c r="B78" s="59" t="inlineStr">
        <is>
          <t>Chủ Nhật</t>
        </is>
      </c>
      <c r="C78" s="59" t="inlineStr">
        <is>
          <t>00:30</t>
        </is>
      </c>
      <c r="D78" s="167" t="n">
        <v>46366</v>
      </c>
      <c r="E78" s="167" t="n">
        <v>46368</v>
      </c>
      <c r="F78" s="167" t="n">
        <v>46343</v>
      </c>
      <c r="G78" s="167" t="n">
        <v>46347</v>
      </c>
      <c r="H78" s="167" t="n">
        <v>46351</v>
      </c>
      <c r="I78" s="167" t="n">
        <v>46355</v>
      </c>
      <c r="J78" s="167" t="n">
        <v>46358</v>
      </c>
      <c r="K78" s="167" t="n">
        <v>46361</v>
      </c>
      <c r="L78" s="167" t="n">
        <v>46363</v>
      </c>
      <c r="M78" s="167" t="n">
        <v>46362</v>
      </c>
      <c r="N78" s="167" t="n">
        <v>46344</v>
      </c>
      <c r="O78" s="167" t="n">
        <v>46388</v>
      </c>
      <c r="P78" s="59" t="inlineStr">
        <is>
          <t>crawl_sampling_master.xlsx</t>
        </is>
      </c>
    </row>
    <row r="79">
      <c r="A79" s="167" t="n">
        <v>46342</v>
      </c>
      <c r="B79" s="59" t="inlineStr">
        <is>
          <t>Thứ Hai</t>
        </is>
      </c>
      <c r="C79" s="59" t="inlineStr">
        <is>
          <t>00:30</t>
        </is>
      </c>
      <c r="D79" s="167" t="n">
        <v>46366</v>
      </c>
      <c r="E79" s="167" t="n">
        <v>46368</v>
      </c>
      <c r="F79" s="167" t="n">
        <v>46343</v>
      </c>
      <c r="G79" s="167" t="n">
        <v>46347</v>
      </c>
      <c r="H79" s="167" t="n">
        <v>46351</v>
      </c>
      <c r="I79" s="167" t="n">
        <v>46355</v>
      </c>
      <c r="J79" s="167" t="n">
        <v>46358</v>
      </c>
      <c r="K79" s="167" t="n">
        <v>46361</v>
      </c>
      <c r="L79" s="167" t="n">
        <v>46363</v>
      </c>
      <c r="M79" s="167" t="n">
        <v>46362</v>
      </c>
      <c r="N79" s="167" t="n">
        <v>46344</v>
      </c>
      <c r="O79" s="167" t="n">
        <v>46388</v>
      </c>
      <c r="P79" s="59" t="inlineStr">
        <is>
          <t>crawl_sampling_master.xlsx</t>
        </is>
      </c>
    </row>
    <row r="80">
      <c r="A80" s="167" t="n">
        <v>46343</v>
      </c>
      <c r="B80" s="59" t="inlineStr">
        <is>
          <t>Thứ Ba</t>
        </is>
      </c>
      <c r="C80" s="59" t="inlineStr">
        <is>
          <t>00:30</t>
        </is>
      </c>
      <c r="D80" s="167" t="n">
        <v>46366</v>
      </c>
      <c r="E80" s="167" t="n">
        <v>46368</v>
      </c>
      <c r="F80" s="167" t="n">
        <v>46343</v>
      </c>
      <c r="G80" s="167" t="n">
        <v>46347</v>
      </c>
      <c r="H80" s="167" t="n">
        <v>46351</v>
      </c>
      <c r="I80" s="167" t="n">
        <v>46355</v>
      </c>
      <c r="J80" s="167" t="n">
        <v>46358</v>
      </c>
      <c r="K80" s="167" t="n">
        <v>46361</v>
      </c>
      <c r="L80" s="167" t="n">
        <v>46363</v>
      </c>
      <c r="M80" s="167" t="n">
        <v>46362</v>
      </c>
      <c r="N80" s="167" t="n">
        <v>46344</v>
      </c>
      <c r="O80" s="167" t="n">
        <v>46388</v>
      </c>
      <c r="P80" s="59" t="inlineStr">
        <is>
          <t>crawl_sampling_master.xlsx</t>
        </is>
      </c>
    </row>
    <row r="81">
      <c r="A81" s="167" t="n">
        <v>46344</v>
      </c>
      <c r="B81" s="59" t="inlineStr">
        <is>
          <t>Thứ Tư</t>
        </is>
      </c>
      <c r="C81" s="59" t="inlineStr">
        <is>
          <t>00:30</t>
        </is>
      </c>
      <c r="D81" s="167" t="n">
        <v>46366</v>
      </c>
      <c r="E81" s="167" t="n">
        <v>46368</v>
      </c>
      <c r="F81" s="167" t="n">
        <v>46371</v>
      </c>
      <c r="G81" s="167" t="n">
        <v>46347</v>
      </c>
      <c r="H81" s="167" t="n">
        <v>46351</v>
      </c>
      <c r="I81" s="167" t="n">
        <v>46355</v>
      </c>
      <c r="J81" s="167" t="n">
        <v>46358</v>
      </c>
      <c r="K81" s="167" t="n">
        <v>46361</v>
      </c>
      <c r="L81" s="167" t="n">
        <v>46363</v>
      </c>
      <c r="M81" s="167" t="n">
        <v>46362</v>
      </c>
      <c r="N81" s="167" t="n">
        <v>46344</v>
      </c>
      <c r="O81" s="167" t="n">
        <v>46388</v>
      </c>
      <c r="P81" s="59" t="inlineStr">
        <is>
          <t>crawl_sampling_master.xlsx</t>
        </is>
      </c>
    </row>
    <row r="82">
      <c r="A82" s="167" t="n">
        <v>46345</v>
      </c>
      <c r="B82" s="59" t="inlineStr">
        <is>
          <t>Thứ Năm</t>
        </is>
      </c>
      <c r="C82" s="59" t="inlineStr">
        <is>
          <t>00:30</t>
        </is>
      </c>
      <c r="D82" s="167" t="n">
        <v>46366</v>
      </c>
      <c r="E82" s="167" t="n">
        <v>46368</v>
      </c>
      <c r="F82" s="167" t="n">
        <v>46371</v>
      </c>
      <c r="G82" s="167" t="n">
        <v>46347</v>
      </c>
      <c r="H82" s="167" t="n">
        <v>46351</v>
      </c>
      <c r="I82" s="167" t="n">
        <v>46355</v>
      </c>
      <c r="J82" s="167" t="n">
        <v>46358</v>
      </c>
      <c r="K82" s="167" t="n">
        <v>46361</v>
      </c>
      <c r="L82" s="167" t="n">
        <v>46363</v>
      </c>
      <c r="M82" s="167" t="n">
        <v>46362</v>
      </c>
      <c r="N82" s="167" t="n">
        <v>46428</v>
      </c>
      <c r="O82" s="167" t="n">
        <v>46388</v>
      </c>
      <c r="P82" s="59" t="inlineStr">
        <is>
          <t>crawl_sampling_master.xlsx</t>
        </is>
      </c>
    </row>
    <row r="83">
      <c r="A83" s="167" t="n">
        <v>46346</v>
      </c>
      <c r="B83" s="59" t="inlineStr">
        <is>
          <t>Thứ Sáu</t>
        </is>
      </c>
      <c r="C83" s="59" t="inlineStr">
        <is>
          <t>00:30</t>
        </is>
      </c>
      <c r="D83" s="167" t="n">
        <v>46366</v>
      </c>
      <c r="E83" s="167" t="n">
        <v>46368</v>
      </c>
      <c r="F83" s="167" t="n">
        <v>46371</v>
      </c>
      <c r="G83" s="167" t="n">
        <v>46347</v>
      </c>
      <c r="H83" s="167" t="n">
        <v>46351</v>
      </c>
      <c r="I83" s="167" t="n">
        <v>46355</v>
      </c>
      <c r="J83" s="167" t="n">
        <v>46358</v>
      </c>
      <c r="K83" s="167" t="n">
        <v>46361</v>
      </c>
      <c r="L83" s="167" t="n">
        <v>46363</v>
      </c>
      <c r="M83" s="167" t="n">
        <v>46362</v>
      </c>
      <c r="N83" s="167" t="n">
        <v>46428</v>
      </c>
      <c r="O83" s="167" t="n">
        <v>46388</v>
      </c>
      <c r="P83" s="59" t="inlineStr">
        <is>
          <t>crawl_sampling_master.xlsx</t>
        </is>
      </c>
    </row>
    <row r="84">
      <c r="A84" s="167" t="n">
        <v>46347</v>
      </c>
      <c r="B84" s="59" t="inlineStr">
        <is>
          <t>Thứ Bảy</t>
        </is>
      </c>
      <c r="C84" s="59" t="inlineStr">
        <is>
          <t>00:30</t>
        </is>
      </c>
      <c r="D84" s="167" t="n">
        <v>46366</v>
      </c>
      <c r="E84" s="167" t="n">
        <v>46368</v>
      </c>
      <c r="F84" s="167" t="n">
        <v>46371</v>
      </c>
      <c r="G84" s="167" t="n">
        <v>46347</v>
      </c>
      <c r="H84" s="167" t="n">
        <v>46351</v>
      </c>
      <c r="I84" s="167" t="n">
        <v>46355</v>
      </c>
      <c r="J84" s="167" t="n">
        <v>46358</v>
      </c>
      <c r="K84" s="167" t="n">
        <v>46361</v>
      </c>
      <c r="L84" s="167" t="n">
        <v>46363</v>
      </c>
      <c r="M84" s="167" t="n">
        <v>46362</v>
      </c>
      <c r="N84" s="167" t="n">
        <v>46428</v>
      </c>
      <c r="O84" s="167" t="n">
        <v>46388</v>
      </c>
      <c r="P84" s="59" t="inlineStr">
        <is>
          <t>crawl_sampling_master.xlsx</t>
        </is>
      </c>
    </row>
    <row r="85">
      <c r="A85" s="167" t="n">
        <v>46348</v>
      </c>
      <c r="B85" s="59" t="inlineStr">
        <is>
          <t>Chủ Nhật</t>
        </is>
      </c>
      <c r="C85" s="59" t="inlineStr">
        <is>
          <t>00:30</t>
        </is>
      </c>
      <c r="D85" s="167" t="n">
        <v>46366</v>
      </c>
      <c r="E85" s="167" t="n">
        <v>46368</v>
      </c>
      <c r="F85" s="167" t="n">
        <v>46371</v>
      </c>
      <c r="G85" s="167" t="n">
        <v>46375</v>
      </c>
      <c r="H85" s="167" t="n">
        <v>46351</v>
      </c>
      <c r="I85" s="167" t="n">
        <v>46355</v>
      </c>
      <c r="J85" s="167" t="n">
        <v>46358</v>
      </c>
      <c r="K85" s="167" t="n">
        <v>46361</v>
      </c>
      <c r="L85" s="167" t="n">
        <v>46363</v>
      </c>
      <c r="M85" s="167" t="n">
        <v>46362</v>
      </c>
      <c r="N85" s="167" t="n">
        <v>46428</v>
      </c>
      <c r="O85" s="167" t="n">
        <v>46388</v>
      </c>
      <c r="P85" s="59" t="inlineStr">
        <is>
          <t>crawl_sampling_master.xlsx</t>
        </is>
      </c>
    </row>
    <row r="86">
      <c r="A86" s="167" t="n">
        <v>46349</v>
      </c>
      <c r="B86" s="59" t="inlineStr">
        <is>
          <t>Thứ Hai</t>
        </is>
      </c>
      <c r="C86" s="59" t="inlineStr">
        <is>
          <t>00:30</t>
        </is>
      </c>
      <c r="D86" s="167" t="n">
        <v>46366</v>
      </c>
      <c r="E86" s="167" t="n">
        <v>46368</v>
      </c>
      <c r="F86" s="167" t="n">
        <v>46371</v>
      </c>
      <c r="G86" s="167" t="n">
        <v>46375</v>
      </c>
      <c r="H86" s="167" t="n">
        <v>46351</v>
      </c>
      <c r="I86" s="167" t="n">
        <v>46355</v>
      </c>
      <c r="J86" s="167" t="n">
        <v>46358</v>
      </c>
      <c r="K86" s="167" t="n">
        <v>46361</v>
      </c>
      <c r="L86" s="167" t="n">
        <v>46363</v>
      </c>
      <c r="M86" s="167" t="n">
        <v>46362</v>
      </c>
      <c r="N86" s="167" t="n">
        <v>46428</v>
      </c>
      <c r="O86" s="167" t="n">
        <v>46388</v>
      </c>
      <c r="P86" s="59" t="inlineStr">
        <is>
          <t>crawl_sampling_master.xlsx</t>
        </is>
      </c>
    </row>
    <row r="87">
      <c r="A87" s="167" t="n">
        <v>46350</v>
      </c>
      <c r="B87" s="59" t="inlineStr">
        <is>
          <t>Thứ Ba</t>
        </is>
      </c>
      <c r="C87" s="59" t="inlineStr">
        <is>
          <t>00:30</t>
        </is>
      </c>
      <c r="D87" s="167" t="n">
        <v>46366</v>
      </c>
      <c r="E87" s="167" t="n">
        <v>46368</v>
      </c>
      <c r="F87" s="167" t="n">
        <v>46371</v>
      </c>
      <c r="G87" s="167" t="n">
        <v>46375</v>
      </c>
      <c r="H87" s="167" t="n">
        <v>46351</v>
      </c>
      <c r="I87" s="167" t="n">
        <v>46355</v>
      </c>
      <c r="J87" s="167" t="n">
        <v>46358</v>
      </c>
      <c r="K87" s="167" t="n">
        <v>46361</v>
      </c>
      <c r="L87" s="167" t="n">
        <v>46363</v>
      </c>
      <c r="M87" s="167" t="n">
        <v>46362</v>
      </c>
      <c r="N87" s="167" t="n">
        <v>46428</v>
      </c>
      <c r="O87" s="167" t="n">
        <v>46388</v>
      </c>
      <c r="P87" s="59" t="inlineStr">
        <is>
          <t>crawl_sampling_master.xlsx</t>
        </is>
      </c>
    </row>
    <row r="88">
      <c r="A88" s="167" t="n">
        <v>46351</v>
      </c>
      <c r="B88" s="59" t="inlineStr">
        <is>
          <t>Thứ Tư</t>
        </is>
      </c>
      <c r="C88" s="59" t="inlineStr">
        <is>
          <t>00:30</t>
        </is>
      </c>
      <c r="D88" s="167" t="n">
        <v>46366</v>
      </c>
      <c r="E88" s="167" t="n">
        <v>46368</v>
      </c>
      <c r="F88" s="167" t="n">
        <v>46371</v>
      </c>
      <c r="G88" s="167" t="n">
        <v>46375</v>
      </c>
      <c r="H88" s="167" t="n">
        <v>46351</v>
      </c>
      <c r="I88" s="167" t="n">
        <v>46355</v>
      </c>
      <c r="J88" s="167" t="n">
        <v>46358</v>
      </c>
      <c r="K88" s="167" t="n">
        <v>46361</v>
      </c>
      <c r="L88" s="167" t="n">
        <v>46363</v>
      </c>
      <c r="M88" s="167" t="n">
        <v>46362</v>
      </c>
      <c r="N88" s="167" t="n">
        <v>46428</v>
      </c>
      <c r="O88" s="167" t="n">
        <v>46388</v>
      </c>
      <c r="P88" s="59" t="inlineStr">
        <is>
          <t>crawl_sampling_master.xlsx</t>
        </is>
      </c>
    </row>
    <row r="89">
      <c r="A89" s="167" t="n">
        <v>46352</v>
      </c>
      <c r="B89" s="59" t="inlineStr">
        <is>
          <t>Thứ Năm</t>
        </is>
      </c>
      <c r="C89" s="59" t="inlineStr">
        <is>
          <t>00:30</t>
        </is>
      </c>
      <c r="D89" s="167" t="n">
        <v>46366</v>
      </c>
      <c r="E89" s="167" t="n">
        <v>46368</v>
      </c>
      <c r="F89" s="167" t="n">
        <v>46371</v>
      </c>
      <c r="G89" s="167" t="n">
        <v>46375</v>
      </c>
      <c r="H89" s="167" t="n">
        <v>46379</v>
      </c>
      <c r="I89" s="167" t="n">
        <v>46355</v>
      </c>
      <c r="J89" s="167" t="n">
        <v>46358</v>
      </c>
      <c r="K89" s="167" t="n">
        <v>46361</v>
      </c>
      <c r="L89" s="167" t="n">
        <v>46363</v>
      </c>
      <c r="M89" s="167" t="n">
        <v>46362</v>
      </c>
      <c r="N89" s="167" t="n">
        <v>46428</v>
      </c>
      <c r="O89" s="167" t="n">
        <v>46388</v>
      </c>
      <c r="P89" s="59" t="inlineStr">
        <is>
          <t>crawl_sampling_master.xlsx</t>
        </is>
      </c>
    </row>
    <row r="90">
      <c r="A90" s="167" t="n">
        <v>46353</v>
      </c>
      <c r="B90" s="59" t="inlineStr">
        <is>
          <t>Thứ Sáu</t>
        </is>
      </c>
      <c r="C90" s="59" t="inlineStr">
        <is>
          <t>00:30</t>
        </is>
      </c>
      <c r="D90" s="167" t="n">
        <v>46366</v>
      </c>
      <c r="E90" s="167" t="n">
        <v>46368</v>
      </c>
      <c r="F90" s="167" t="n">
        <v>46371</v>
      </c>
      <c r="G90" s="167" t="n">
        <v>46375</v>
      </c>
      <c r="H90" s="167" t="n">
        <v>46379</v>
      </c>
      <c r="I90" s="167" t="n">
        <v>46355</v>
      </c>
      <c r="J90" s="167" t="n">
        <v>46358</v>
      </c>
      <c r="K90" s="167" t="n">
        <v>46361</v>
      </c>
      <c r="L90" s="167" t="n">
        <v>46363</v>
      </c>
      <c r="M90" s="167" t="n">
        <v>46362</v>
      </c>
      <c r="N90" s="167" t="n">
        <v>46428</v>
      </c>
      <c r="O90" s="167" t="n">
        <v>46388</v>
      </c>
      <c r="P90" s="59" t="inlineStr">
        <is>
          <t>crawl_sampling_master.xlsx</t>
        </is>
      </c>
    </row>
    <row r="91">
      <c r="A91" s="167" t="n">
        <v>46354</v>
      </c>
      <c r="B91" s="59" t="inlineStr">
        <is>
          <t>Thứ Bảy</t>
        </is>
      </c>
      <c r="C91" s="59" t="inlineStr">
        <is>
          <t>00:30</t>
        </is>
      </c>
      <c r="D91" s="167" t="n">
        <v>46366</v>
      </c>
      <c r="E91" s="167" t="n">
        <v>46368</v>
      </c>
      <c r="F91" s="167" t="n">
        <v>46371</v>
      </c>
      <c r="G91" s="167" t="n">
        <v>46375</v>
      </c>
      <c r="H91" s="167" t="n">
        <v>46379</v>
      </c>
      <c r="I91" s="167" t="n">
        <v>46355</v>
      </c>
      <c r="J91" s="167" t="n">
        <v>46358</v>
      </c>
      <c r="K91" s="167" t="n">
        <v>46361</v>
      </c>
      <c r="L91" s="167" t="n">
        <v>46363</v>
      </c>
      <c r="M91" s="167" t="n">
        <v>46362</v>
      </c>
      <c r="N91" s="167" t="n">
        <v>46428</v>
      </c>
      <c r="O91" s="167" t="n">
        <v>46388</v>
      </c>
      <c r="P91" s="59" t="inlineStr">
        <is>
          <t>crawl_sampling_master.xlsx</t>
        </is>
      </c>
    </row>
    <row r="92">
      <c r="A92" s="167" t="n">
        <v>46355</v>
      </c>
      <c r="B92" s="59" t="inlineStr">
        <is>
          <t>Chủ Nhật</t>
        </is>
      </c>
      <c r="C92" s="59" t="inlineStr">
        <is>
          <t>00:30</t>
        </is>
      </c>
      <c r="D92" s="167" t="n">
        <v>46366</v>
      </c>
      <c r="E92" s="167" t="n">
        <v>46368</v>
      </c>
      <c r="F92" s="167" t="n">
        <v>46371</v>
      </c>
      <c r="G92" s="167" t="n">
        <v>46375</v>
      </c>
      <c r="H92" s="167" t="n">
        <v>46379</v>
      </c>
      <c r="I92" s="167" t="n">
        <v>46355</v>
      </c>
      <c r="J92" s="167" t="n">
        <v>46358</v>
      </c>
      <c r="K92" s="167" t="n">
        <v>46361</v>
      </c>
      <c r="L92" s="167" t="n">
        <v>46363</v>
      </c>
      <c r="M92" s="167" t="n">
        <v>46362</v>
      </c>
      <c r="N92" s="167" t="n">
        <v>46428</v>
      </c>
      <c r="O92" s="167" t="n">
        <v>46388</v>
      </c>
      <c r="P92" s="59" t="inlineStr">
        <is>
          <t>crawl_sampling_master.xlsx</t>
        </is>
      </c>
    </row>
    <row r="93">
      <c r="A93" s="171" t="n">
        <v>46356</v>
      </c>
      <c r="B93" s="63" t="inlineStr">
        <is>
          <t>Thứ Hai</t>
        </is>
      </c>
      <c r="C93" s="63" t="inlineStr">
        <is>
          <t>00:30</t>
        </is>
      </c>
      <c r="D93" s="171" t="n">
        <v>46366</v>
      </c>
      <c r="E93" s="171" t="n">
        <v>46368</v>
      </c>
      <c r="F93" s="171" t="n">
        <v>46371</v>
      </c>
      <c r="G93" s="171" t="n">
        <v>46375</v>
      </c>
      <c r="H93" s="171" t="n">
        <v>46379</v>
      </c>
      <c r="I93" s="171" t="n">
        <v>46383</v>
      </c>
      <c r="J93" s="171" t="n">
        <v>46358</v>
      </c>
      <c r="K93" s="171" t="n">
        <v>46361</v>
      </c>
      <c r="L93" s="171" t="n">
        <v>46363</v>
      </c>
      <c r="M93" s="171" t="n">
        <v>46362</v>
      </c>
      <c r="N93" s="171" t="n">
        <v>46428</v>
      </c>
      <c r="O93" s="171" t="n">
        <v>46388</v>
      </c>
      <c r="P93" s="63" t="inlineStr">
        <is>
          <t>crawl_sampling_master.xlsx</t>
        </is>
      </c>
    </row>
  </sheetData>
  <mergeCells count="2">
    <mergeCell ref="A1:P1"/>
    <mergeCell ref="A2:P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4" customWidth="1" min="9" max="9"/>
  </cols>
  <sheetData>
    <row r="1" ht="30" customHeight="1">
      <c r="A1" s="3" t="inlineStr">
        <is>
          <t>VPS REFERENCE — 5 CHECK-IN DÙNG ĐỂ LOẠI TRÙNG</t>
        </is>
      </c>
    </row>
    <row r="2">
      <c r="A2" s="35" t="inlineStr">
        <is>
          <t>Nguồn: D:/MSE/CAPSTONE/outputs/vps-crawl-planner-20260823/vps_crawl_sampling_master.xlsx. Snapshot 02/09–30/11/2026; không sửa bằng tay.</t>
        </is>
      </c>
    </row>
    <row r="3" ht="30" customHeight="1">
      <c r="A3" s="9" t="inlineStr">
        <is>
          <t>Crawl date</t>
        </is>
      </c>
      <c r="B3" s="9" t="inlineStr">
        <is>
          <t>Thứ</t>
        </is>
      </c>
      <c r="C3" s="9" t="inlineStr">
        <is>
          <t>Start time</t>
        </is>
      </c>
      <c r="D3" s="9" t="inlineStr">
        <is>
          <t>V1</t>
        </is>
      </c>
      <c r="E3" s="9" t="inlineStr">
        <is>
          <t>V2</t>
        </is>
      </c>
      <c r="F3" s="9" t="inlineStr">
        <is>
          <t>V3</t>
        </is>
      </c>
      <c r="G3" s="9" t="inlineStr">
        <is>
          <t>V4</t>
        </is>
      </c>
      <c r="H3" s="9" t="inlineStr">
        <is>
          <t>V5</t>
        </is>
      </c>
      <c r="I3" s="9" t="inlineStr">
        <is>
          <t>Source file</t>
        </is>
      </c>
    </row>
    <row r="4">
      <c r="A4" s="163" t="n">
        <v>46267</v>
      </c>
      <c r="B4" s="55" t="inlineStr">
        <is>
          <t>Thứ Tư</t>
        </is>
      </c>
      <c r="C4" s="55" t="inlineStr">
        <is>
          <t>00:30</t>
        </is>
      </c>
      <c r="D4" s="163" t="n">
        <v>46289</v>
      </c>
      <c r="E4" s="163" t="n">
        <v>46292</v>
      </c>
      <c r="F4" s="163" t="n">
        <v>46268</v>
      </c>
      <c r="G4" s="163" t="n">
        <v>46281</v>
      </c>
      <c r="H4" s="163" t="n">
        <v>46411</v>
      </c>
      <c r="I4" s="55" t="inlineStr">
        <is>
          <t>vps_crawl_sampling_master.xlsx</t>
        </is>
      </c>
    </row>
    <row r="5">
      <c r="A5" s="167" t="n">
        <v>46268</v>
      </c>
      <c r="B5" s="59" t="inlineStr">
        <is>
          <t>Thứ Năm</t>
        </is>
      </c>
      <c r="C5" s="59" t="inlineStr">
        <is>
          <t>00:30</t>
        </is>
      </c>
      <c r="D5" s="167" t="n">
        <v>46289</v>
      </c>
      <c r="E5" s="167" t="n">
        <v>46292</v>
      </c>
      <c r="F5" s="167" t="n">
        <v>46268</v>
      </c>
      <c r="G5" s="167" t="n">
        <v>46281</v>
      </c>
      <c r="H5" s="167" t="n">
        <v>46411</v>
      </c>
      <c r="I5" s="59" t="inlineStr">
        <is>
          <t>vps_crawl_sampling_master.xlsx</t>
        </is>
      </c>
    </row>
    <row r="6">
      <c r="A6" s="167" t="n">
        <v>46269</v>
      </c>
      <c r="B6" s="59" t="inlineStr">
        <is>
          <t>Thứ Sáu</t>
        </is>
      </c>
      <c r="C6" s="59" t="inlineStr">
        <is>
          <t>00:30</t>
        </is>
      </c>
      <c r="D6" s="167" t="n">
        <v>46289</v>
      </c>
      <c r="E6" s="167" t="n">
        <v>46292</v>
      </c>
      <c r="F6" s="167" t="n">
        <v>46296</v>
      </c>
      <c r="G6" s="167" t="n">
        <v>46281</v>
      </c>
      <c r="H6" s="167" t="n">
        <v>46411</v>
      </c>
      <c r="I6" s="59" t="inlineStr">
        <is>
          <t>vps_crawl_sampling_master.xlsx</t>
        </is>
      </c>
    </row>
    <row r="7">
      <c r="A7" s="167" t="n">
        <v>46270</v>
      </c>
      <c r="B7" s="59" t="inlineStr">
        <is>
          <t>Thứ Bảy</t>
        </is>
      </c>
      <c r="C7" s="59" t="inlineStr">
        <is>
          <t>00:30</t>
        </is>
      </c>
      <c r="D7" s="167" t="n">
        <v>46289</v>
      </c>
      <c r="E7" s="167" t="n">
        <v>46292</v>
      </c>
      <c r="F7" s="167" t="n">
        <v>46296</v>
      </c>
      <c r="G7" s="167" t="n">
        <v>46281</v>
      </c>
      <c r="H7" s="167" t="n">
        <v>46411</v>
      </c>
      <c r="I7" s="59" t="inlineStr">
        <is>
          <t>vps_crawl_sampling_master.xlsx</t>
        </is>
      </c>
    </row>
    <row r="8">
      <c r="A8" s="167" t="n">
        <v>46271</v>
      </c>
      <c r="B8" s="59" t="inlineStr">
        <is>
          <t>Chủ Nhật</t>
        </is>
      </c>
      <c r="C8" s="59" t="inlineStr">
        <is>
          <t>00:30</t>
        </is>
      </c>
      <c r="D8" s="167" t="n">
        <v>46289</v>
      </c>
      <c r="E8" s="167" t="n">
        <v>46292</v>
      </c>
      <c r="F8" s="167" t="n">
        <v>46296</v>
      </c>
      <c r="G8" s="167" t="n">
        <v>46281</v>
      </c>
      <c r="H8" s="167" t="n">
        <v>46411</v>
      </c>
      <c r="I8" s="59" t="inlineStr">
        <is>
          <t>vps_crawl_sampling_master.xlsx</t>
        </is>
      </c>
    </row>
    <row r="9">
      <c r="A9" s="167" t="n">
        <v>46272</v>
      </c>
      <c r="B9" s="59" t="inlineStr">
        <is>
          <t>Thứ Hai</t>
        </is>
      </c>
      <c r="C9" s="59" t="inlineStr">
        <is>
          <t>00:30</t>
        </is>
      </c>
      <c r="D9" s="167" t="n">
        <v>46289</v>
      </c>
      <c r="E9" s="167" t="n">
        <v>46292</v>
      </c>
      <c r="F9" s="167" t="n">
        <v>46296</v>
      </c>
      <c r="G9" s="167" t="n">
        <v>46281</v>
      </c>
      <c r="H9" s="167" t="n">
        <v>46411</v>
      </c>
      <c r="I9" s="59" t="inlineStr">
        <is>
          <t>vps_crawl_sampling_master.xlsx</t>
        </is>
      </c>
    </row>
    <row r="10">
      <c r="A10" s="167" t="n">
        <v>46273</v>
      </c>
      <c r="B10" s="59" t="inlineStr">
        <is>
          <t>Thứ Ba</t>
        </is>
      </c>
      <c r="C10" s="59" t="inlineStr">
        <is>
          <t>00:30</t>
        </is>
      </c>
      <c r="D10" s="167" t="n">
        <v>46289</v>
      </c>
      <c r="E10" s="167" t="n">
        <v>46292</v>
      </c>
      <c r="F10" s="167" t="n">
        <v>46296</v>
      </c>
      <c r="G10" s="167" t="n">
        <v>46281</v>
      </c>
      <c r="H10" s="167" t="n">
        <v>46411</v>
      </c>
      <c r="I10" s="59" t="inlineStr">
        <is>
          <t>vps_crawl_sampling_master.xlsx</t>
        </is>
      </c>
    </row>
    <row r="11">
      <c r="A11" s="167" t="n">
        <v>46274</v>
      </c>
      <c r="B11" s="59" t="inlineStr">
        <is>
          <t>Thứ Tư</t>
        </is>
      </c>
      <c r="C11" s="59" t="inlineStr">
        <is>
          <t>00:30</t>
        </is>
      </c>
      <c r="D11" s="167" t="n">
        <v>46289</v>
      </c>
      <c r="E11" s="167" t="n">
        <v>46292</v>
      </c>
      <c r="F11" s="167" t="n">
        <v>46296</v>
      </c>
      <c r="G11" s="167" t="n">
        <v>46281</v>
      </c>
      <c r="H11" s="167" t="n">
        <v>46411</v>
      </c>
      <c r="I11" s="59" t="inlineStr">
        <is>
          <t>vps_crawl_sampling_master.xlsx</t>
        </is>
      </c>
    </row>
    <row r="12">
      <c r="A12" s="167" t="n">
        <v>46275</v>
      </c>
      <c r="B12" s="59" t="inlineStr">
        <is>
          <t>Thứ Năm</t>
        </is>
      </c>
      <c r="C12" s="59" t="inlineStr">
        <is>
          <t>00:30</t>
        </is>
      </c>
      <c r="D12" s="167" t="n">
        <v>46289</v>
      </c>
      <c r="E12" s="167" t="n">
        <v>46292</v>
      </c>
      <c r="F12" s="167" t="n">
        <v>46296</v>
      </c>
      <c r="G12" s="167" t="n">
        <v>46281</v>
      </c>
      <c r="H12" s="167" t="n">
        <v>46411</v>
      </c>
      <c r="I12" s="59" t="inlineStr">
        <is>
          <t>vps_crawl_sampling_master.xlsx</t>
        </is>
      </c>
    </row>
    <row r="13">
      <c r="A13" s="167" t="n">
        <v>46276</v>
      </c>
      <c r="B13" s="59" t="inlineStr">
        <is>
          <t>Thứ Sáu</t>
        </is>
      </c>
      <c r="C13" s="59" t="inlineStr">
        <is>
          <t>00:30</t>
        </is>
      </c>
      <c r="D13" s="167" t="n">
        <v>46289</v>
      </c>
      <c r="E13" s="167" t="n">
        <v>46292</v>
      </c>
      <c r="F13" s="167" t="n">
        <v>46296</v>
      </c>
      <c r="G13" s="167" t="n">
        <v>46281</v>
      </c>
      <c r="H13" s="167" t="n">
        <v>46411</v>
      </c>
      <c r="I13" s="59" t="inlineStr">
        <is>
          <t>vps_crawl_sampling_master.xlsx</t>
        </is>
      </c>
    </row>
    <row r="14">
      <c r="A14" s="167" t="n">
        <v>46277</v>
      </c>
      <c r="B14" s="59" t="inlineStr">
        <is>
          <t>Thứ Bảy</t>
        </is>
      </c>
      <c r="C14" s="59" t="inlineStr">
        <is>
          <t>00:30</t>
        </is>
      </c>
      <c r="D14" s="167" t="n">
        <v>46289</v>
      </c>
      <c r="E14" s="167" t="n">
        <v>46292</v>
      </c>
      <c r="F14" s="167" t="n">
        <v>46296</v>
      </c>
      <c r="G14" s="167" t="n">
        <v>46281</v>
      </c>
      <c r="H14" s="167" t="n">
        <v>46411</v>
      </c>
      <c r="I14" s="59" t="inlineStr">
        <is>
          <t>vps_crawl_sampling_master.xlsx</t>
        </is>
      </c>
    </row>
    <row r="15">
      <c r="A15" s="167" t="n">
        <v>46278</v>
      </c>
      <c r="B15" s="59" t="inlineStr">
        <is>
          <t>Chủ Nhật</t>
        </is>
      </c>
      <c r="C15" s="59" t="inlineStr">
        <is>
          <t>00:30</t>
        </is>
      </c>
      <c r="D15" s="167" t="n">
        <v>46289</v>
      </c>
      <c r="E15" s="167" t="n">
        <v>46292</v>
      </c>
      <c r="F15" s="167" t="n">
        <v>46296</v>
      </c>
      <c r="G15" s="167" t="n">
        <v>46281</v>
      </c>
      <c r="H15" s="167" t="n">
        <v>46411</v>
      </c>
      <c r="I15" s="59" t="inlineStr">
        <is>
          <t>vps_crawl_sampling_master.xlsx</t>
        </is>
      </c>
    </row>
    <row r="16">
      <c r="A16" s="167" t="n">
        <v>46279</v>
      </c>
      <c r="B16" s="59" t="inlineStr">
        <is>
          <t>Thứ Hai</t>
        </is>
      </c>
      <c r="C16" s="59" t="inlineStr">
        <is>
          <t>00:30</t>
        </is>
      </c>
      <c r="D16" s="167" t="n">
        <v>46289</v>
      </c>
      <c r="E16" s="167" t="n">
        <v>46292</v>
      </c>
      <c r="F16" s="167" t="n">
        <v>46296</v>
      </c>
      <c r="G16" s="167" t="n">
        <v>46281</v>
      </c>
      <c r="H16" s="167" t="n">
        <v>46411</v>
      </c>
      <c r="I16" s="59" t="inlineStr">
        <is>
          <t>vps_crawl_sampling_master.xlsx</t>
        </is>
      </c>
    </row>
    <row r="17">
      <c r="A17" s="167" t="n">
        <v>46280</v>
      </c>
      <c r="B17" s="59" t="inlineStr">
        <is>
          <t>Thứ Ba</t>
        </is>
      </c>
      <c r="C17" s="59" t="inlineStr">
        <is>
          <t>00:30</t>
        </is>
      </c>
      <c r="D17" s="167" t="n">
        <v>46289</v>
      </c>
      <c r="E17" s="167" t="n">
        <v>46292</v>
      </c>
      <c r="F17" s="167" t="n">
        <v>46296</v>
      </c>
      <c r="G17" s="167" t="n">
        <v>46281</v>
      </c>
      <c r="H17" s="167" t="n">
        <v>46411</v>
      </c>
      <c r="I17" s="59" t="inlineStr">
        <is>
          <t>vps_crawl_sampling_master.xlsx</t>
        </is>
      </c>
    </row>
    <row r="18">
      <c r="A18" s="167" t="n">
        <v>46281</v>
      </c>
      <c r="B18" s="59" t="inlineStr">
        <is>
          <t>Thứ Tư</t>
        </is>
      </c>
      <c r="C18" s="59" t="inlineStr">
        <is>
          <t>00:30</t>
        </is>
      </c>
      <c r="D18" s="167" t="n">
        <v>46289</v>
      </c>
      <c r="E18" s="167" t="n">
        <v>46292</v>
      </c>
      <c r="F18" s="167" t="n">
        <v>46296</v>
      </c>
      <c r="G18" s="167" t="n">
        <v>46281</v>
      </c>
      <c r="H18" s="167" t="n">
        <v>46411</v>
      </c>
      <c r="I18" s="59" t="inlineStr">
        <is>
          <t>vps_crawl_sampling_master.xlsx</t>
        </is>
      </c>
    </row>
    <row r="19">
      <c r="A19" s="167" t="n">
        <v>46282</v>
      </c>
      <c r="B19" s="59" t="inlineStr">
        <is>
          <t>Thứ Năm</t>
        </is>
      </c>
      <c r="C19" s="59" t="inlineStr">
        <is>
          <t>00:30</t>
        </is>
      </c>
      <c r="D19" s="167" t="n">
        <v>46289</v>
      </c>
      <c r="E19" s="167" t="n">
        <v>46292</v>
      </c>
      <c r="F19" s="167" t="n">
        <v>46296</v>
      </c>
      <c r="G19" s="167" t="n">
        <v>46309</v>
      </c>
      <c r="H19" s="167" t="n">
        <v>46411</v>
      </c>
      <c r="I19" s="59" t="inlineStr">
        <is>
          <t>vps_crawl_sampling_master.xlsx</t>
        </is>
      </c>
    </row>
    <row r="20">
      <c r="A20" s="167" t="n">
        <v>46283</v>
      </c>
      <c r="B20" s="59" t="inlineStr">
        <is>
          <t>Thứ Sáu</t>
        </is>
      </c>
      <c r="C20" s="59" t="inlineStr">
        <is>
          <t>00:30</t>
        </is>
      </c>
      <c r="D20" s="167" t="n">
        <v>46289</v>
      </c>
      <c r="E20" s="167" t="n">
        <v>46292</v>
      </c>
      <c r="F20" s="167" t="n">
        <v>46296</v>
      </c>
      <c r="G20" s="167" t="n">
        <v>46309</v>
      </c>
      <c r="H20" s="167" t="n">
        <v>46411</v>
      </c>
      <c r="I20" s="59" t="inlineStr">
        <is>
          <t>vps_crawl_sampling_master.xlsx</t>
        </is>
      </c>
    </row>
    <row r="21">
      <c r="A21" s="167" t="n">
        <v>46284</v>
      </c>
      <c r="B21" s="59" t="inlineStr">
        <is>
          <t>Thứ Bảy</t>
        </is>
      </c>
      <c r="C21" s="59" t="inlineStr">
        <is>
          <t>00:30</t>
        </is>
      </c>
      <c r="D21" s="167" t="n">
        <v>46289</v>
      </c>
      <c r="E21" s="167" t="n">
        <v>46292</v>
      </c>
      <c r="F21" s="167" t="n">
        <v>46296</v>
      </c>
      <c r="G21" s="167" t="n">
        <v>46309</v>
      </c>
      <c r="H21" s="167" t="n">
        <v>46411</v>
      </c>
      <c r="I21" s="59" t="inlineStr">
        <is>
          <t>vps_crawl_sampling_master.xlsx</t>
        </is>
      </c>
    </row>
    <row r="22">
      <c r="A22" s="167" t="n">
        <v>46285</v>
      </c>
      <c r="B22" s="59" t="inlineStr">
        <is>
          <t>Chủ Nhật</t>
        </is>
      </c>
      <c r="C22" s="59" t="inlineStr">
        <is>
          <t>00:30</t>
        </is>
      </c>
      <c r="D22" s="167" t="n">
        <v>46289</v>
      </c>
      <c r="E22" s="167" t="n">
        <v>46292</v>
      </c>
      <c r="F22" s="167" t="n">
        <v>46296</v>
      </c>
      <c r="G22" s="167" t="n">
        <v>46309</v>
      </c>
      <c r="H22" s="167" t="n">
        <v>46411</v>
      </c>
      <c r="I22" s="59" t="inlineStr">
        <is>
          <t>vps_crawl_sampling_master.xlsx</t>
        </is>
      </c>
    </row>
    <row r="23">
      <c r="A23" s="167" t="n">
        <v>46286</v>
      </c>
      <c r="B23" s="59" t="inlineStr">
        <is>
          <t>Thứ Hai</t>
        </is>
      </c>
      <c r="C23" s="59" t="inlineStr">
        <is>
          <t>00:30</t>
        </is>
      </c>
      <c r="D23" s="167" t="n">
        <v>46289</v>
      </c>
      <c r="E23" s="167" t="n">
        <v>46292</v>
      </c>
      <c r="F23" s="167" t="n">
        <v>46296</v>
      </c>
      <c r="G23" s="167" t="n">
        <v>46309</v>
      </c>
      <c r="H23" s="167" t="n">
        <v>46411</v>
      </c>
      <c r="I23" s="59" t="inlineStr">
        <is>
          <t>vps_crawl_sampling_master.xlsx</t>
        </is>
      </c>
    </row>
    <row r="24">
      <c r="A24" s="167" t="n">
        <v>46287</v>
      </c>
      <c r="B24" s="59" t="inlineStr">
        <is>
          <t>Thứ Ba</t>
        </is>
      </c>
      <c r="C24" s="59" t="inlineStr">
        <is>
          <t>00:30</t>
        </is>
      </c>
      <c r="D24" s="167" t="n">
        <v>46289</v>
      </c>
      <c r="E24" s="167" t="n">
        <v>46292</v>
      </c>
      <c r="F24" s="167" t="n">
        <v>46296</v>
      </c>
      <c r="G24" s="167" t="n">
        <v>46309</v>
      </c>
      <c r="H24" s="167" t="n">
        <v>46411</v>
      </c>
      <c r="I24" s="59" t="inlineStr">
        <is>
          <t>vps_crawl_sampling_master.xlsx</t>
        </is>
      </c>
    </row>
    <row r="25">
      <c r="A25" s="167" t="n">
        <v>46288</v>
      </c>
      <c r="B25" s="59" t="inlineStr">
        <is>
          <t>Thứ Tư</t>
        </is>
      </c>
      <c r="C25" s="59" t="inlineStr">
        <is>
          <t>00:30</t>
        </is>
      </c>
      <c r="D25" s="167" t="n">
        <v>46289</v>
      </c>
      <c r="E25" s="167" t="n">
        <v>46292</v>
      </c>
      <c r="F25" s="167" t="n">
        <v>46296</v>
      </c>
      <c r="G25" s="167" t="n">
        <v>46309</v>
      </c>
      <c r="H25" s="167" t="n">
        <v>46411</v>
      </c>
      <c r="I25" s="59" t="inlineStr">
        <is>
          <t>vps_crawl_sampling_master.xlsx</t>
        </is>
      </c>
    </row>
    <row r="26">
      <c r="A26" s="167" t="n">
        <v>46289</v>
      </c>
      <c r="B26" s="59" t="inlineStr">
        <is>
          <t>Thứ Năm</t>
        </is>
      </c>
      <c r="C26" s="59" t="inlineStr">
        <is>
          <t>00:30</t>
        </is>
      </c>
      <c r="D26" s="167" t="n">
        <v>46289</v>
      </c>
      <c r="E26" s="167" t="n">
        <v>46292</v>
      </c>
      <c r="F26" s="167" t="n">
        <v>46296</v>
      </c>
      <c r="G26" s="167" t="n">
        <v>46309</v>
      </c>
      <c r="H26" s="167" t="n">
        <v>46411</v>
      </c>
      <c r="I26" s="59" t="inlineStr">
        <is>
          <t>vps_crawl_sampling_master.xlsx</t>
        </is>
      </c>
    </row>
    <row r="27">
      <c r="A27" s="167" t="n">
        <v>46290</v>
      </c>
      <c r="B27" s="59" t="inlineStr">
        <is>
          <t>Thứ Sáu</t>
        </is>
      </c>
      <c r="C27" s="59" t="inlineStr">
        <is>
          <t>00:30</t>
        </is>
      </c>
      <c r="D27" s="167" t="n">
        <v>46317</v>
      </c>
      <c r="E27" s="167" t="n">
        <v>46292</v>
      </c>
      <c r="F27" s="167" t="n">
        <v>46296</v>
      </c>
      <c r="G27" s="167" t="n">
        <v>46309</v>
      </c>
      <c r="H27" s="167" t="n">
        <v>46411</v>
      </c>
      <c r="I27" s="59" t="inlineStr">
        <is>
          <t>vps_crawl_sampling_master.xlsx</t>
        </is>
      </c>
    </row>
    <row r="28">
      <c r="A28" s="167" t="n">
        <v>46291</v>
      </c>
      <c r="B28" s="59" t="inlineStr">
        <is>
          <t>Thứ Bảy</t>
        </is>
      </c>
      <c r="C28" s="59" t="inlineStr">
        <is>
          <t>00:30</t>
        </is>
      </c>
      <c r="D28" s="167" t="n">
        <v>46317</v>
      </c>
      <c r="E28" s="167" t="n">
        <v>46292</v>
      </c>
      <c r="F28" s="167" t="n">
        <v>46296</v>
      </c>
      <c r="G28" s="167" t="n">
        <v>46309</v>
      </c>
      <c r="H28" s="167" t="n">
        <v>46411</v>
      </c>
      <c r="I28" s="59" t="inlineStr">
        <is>
          <t>vps_crawl_sampling_master.xlsx</t>
        </is>
      </c>
    </row>
    <row r="29">
      <c r="A29" s="167" t="n">
        <v>46292</v>
      </c>
      <c r="B29" s="59" t="inlineStr">
        <is>
          <t>Chủ Nhật</t>
        </is>
      </c>
      <c r="C29" s="59" t="inlineStr">
        <is>
          <t>00:30</t>
        </is>
      </c>
      <c r="D29" s="167" t="n">
        <v>46317</v>
      </c>
      <c r="E29" s="167" t="n">
        <v>46292</v>
      </c>
      <c r="F29" s="167" t="n">
        <v>46296</v>
      </c>
      <c r="G29" s="167" t="n">
        <v>46309</v>
      </c>
      <c r="H29" s="167" t="n">
        <v>46411</v>
      </c>
      <c r="I29" s="59" t="inlineStr">
        <is>
          <t>vps_crawl_sampling_master.xlsx</t>
        </is>
      </c>
    </row>
    <row r="30">
      <c r="A30" s="167" t="n">
        <v>46293</v>
      </c>
      <c r="B30" s="59" t="inlineStr">
        <is>
          <t>Thứ Hai</t>
        </is>
      </c>
      <c r="C30" s="59" t="inlineStr">
        <is>
          <t>00:30</t>
        </is>
      </c>
      <c r="D30" s="167" t="n">
        <v>46317</v>
      </c>
      <c r="E30" s="167" t="n">
        <v>46320</v>
      </c>
      <c r="F30" s="167" t="n">
        <v>46296</v>
      </c>
      <c r="G30" s="167" t="n">
        <v>46309</v>
      </c>
      <c r="H30" s="167" t="n">
        <v>46411</v>
      </c>
      <c r="I30" s="59" t="inlineStr">
        <is>
          <t>vps_crawl_sampling_master.xlsx</t>
        </is>
      </c>
    </row>
    <row r="31">
      <c r="A31" s="167" t="n">
        <v>46294</v>
      </c>
      <c r="B31" s="59" t="inlineStr">
        <is>
          <t>Thứ Ba</t>
        </is>
      </c>
      <c r="C31" s="59" t="inlineStr">
        <is>
          <t>00:30</t>
        </is>
      </c>
      <c r="D31" s="167" t="n">
        <v>46317</v>
      </c>
      <c r="E31" s="167" t="n">
        <v>46320</v>
      </c>
      <c r="F31" s="167" t="n">
        <v>46296</v>
      </c>
      <c r="G31" s="167" t="n">
        <v>46309</v>
      </c>
      <c r="H31" s="167" t="n">
        <v>46411</v>
      </c>
      <c r="I31" s="59" t="inlineStr">
        <is>
          <t>vps_crawl_sampling_master.xlsx</t>
        </is>
      </c>
    </row>
    <row r="32">
      <c r="A32" s="167" t="n">
        <v>46295</v>
      </c>
      <c r="B32" s="59" t="inlineStr">
        <is>
          <t>Thứ Tư</t>
        </is>
      </c>
      <c r="C32" s="59" t="inlineStr">
        <is>
          <t>00:30</t>
        </is>
      </c>
      <c r="D32" s="167" t="n">
        <v>46317</v>
      </c>
      <c r="E32" s="167" t="n">
        <v>46320</v>
      </c>
      <c r="F32" s="167" t="n">
        <v>46296</v>
      </c>
      <c r="G32" s="167" t="n">
        <v>46309</v>
      </c>
      <c r="H32" s="167" t="n">
        <v>46411</v>
      </c>
      <c r="I32" s="59" t="inlineStr">
        <is>
          <t>vps_crawl_sampling_master.xlsx</t>
        </is>
      </c>
    </row>
    <row r="33">
      <c r="A33" s="167" t="n">
        <v>46296</v>
      </c>
      <c r="B33" s="59" t="inlineStr">
        <is>
          <t>Thứ Năm</t>
        </is>
      </c>
      <c r="C33" s="59" t="inlineStr">
        <is>
          <t>00:30</t>
        </is>
      </c>
      <c r="D33" s="167" t="n">
        <v>46317</v>
      </c>
      <c r="E33" s="167" t="n">
        <v>46320</v>
      </c>
      <c r="F33" s="167" t="n">
        <v>46296</v>
      </c>
      <c r="G33" s="167" t="n">
        <v>46309</v>
      </c>
      <c r="H33" s="167" t="n">
        <v>46411</v>
      </c>
      <c r="I33" s="59" t="inlineStr">
        <is>
          <t>vps_crawl_sampling_master.xlsx</t>
        </is>
      </c>
    </row>
    <row r="34">
      <c r="A34" s="167" t="n">
        <v>46297</v>
      </c>
      <c r="B34" s="59" t="inlineStr">
        <is>
          <t>Thứ Sáu</t>
        </is>
      </c>
      <c r="C34" s="59" t="inlineStr">
        <is>
          <t>00:30</t>
        </is>
      </c>
      <c r="D34" s="167" t="n">
        <v>46317</v>
      </c>
      <c r="E34" s="167" t="n">
        <v>46320</v>
      </c>
      <c r="F34" s="167" t="n">
        <v>46324</v>
      </c>
      <c r="G34" s="167" t="n">
        <v>46309</v>
      </c>
      <c r="H34" s="167" t="n">
        <v>46411</v>
      </c>
      <c r="I34" s="59" t="inlineStr">
        <is>
          <t>vps_crawl_sampling_master.xlsx</t>
        </is>
      </c>
    </row>
    <row r="35">
      <c r="A35" s="167" t="n">
        <v>46298</v>
      </c>
      <c r="B35" s="59" t="inlineStr">
        <is>
          <t>Thứ Bảy</t>
        </is>
      </c>
      <c r="C35" s="59" t="inlineStr">
        <is>
          <t>00:30</t>
        </is>
      </c>
      <c r="D35" s="167" t="n">
        <v>46317</v>
      </c>
      <c r="E35" s="167" t="n">
        <v>46320</v>
      </c>
      <c r="F35" s="167" t="n">
        <v>46324</v>
      </c>
      <c r="G35" s="167" t="n">
        <v>46309</v>
      </c>
      <c r="H35" s="167" t="n">
        <v>46411</v>
      </c>
      <c r="I35" s="59" t="inlineStr">
        <is>
          <t>vps_crawl_sampling_master.xlsx</t>
        </is>
      </c>
    </row>
    <row r="36">
      <c r="A36" s="167" t="n">
        <v>46299</v>
      </c>
      <c r="B36" s="59" t="inlineStr">
        <is>
          <t>Chủ Nhật</t>
        </is>
      </c>
      <c r="C36" s="59" t="inlineStr">
        <is>
          <t>00:30</t>
        </is>
      </c>
      <c r="D36" s="167" t="n">
        <v>46317</v>
      </c>
      <c r="E36" s="167" t="n">
        <v>46320</v>
      </c>
      <c r="F36" s="167" t="n">
        <v>46324</v>
      </c>
      <c r="G36" s="167" t="n">
        <v>46309</v>
      </c>
      <c r="H36" s="167" t="n">
        <v>46411</v>
      </c>
      <c r="I36" s="59" t="inlineStr">
        <is>
          <t>vps_crawl_sampling_master.xlsx</t>
        </is>
      </c>
    </row>
    <row r="37">
      <c r="A37" s="167" t="n">
        <v>46300</v>
      </c>
      <c r="B37" s="59" t="inlineStr">
        <is>
          <t>Thứ Hai</t>
        </is>
      </c>
      <c r="C37" s="59" t="inlineStr">
        <is>
          <t>00:30</t>
        </is>
      </c>
      <c r="D37" s="167" t="n">
        <v>46317</v>
      </c>
      <c r="E37" s="167" t="n">
        <v>46320</v>
      </c>
      <c r="F37" s="167" t="n">
        <v>46324</v>
      </c>
      <c r="G37" s="167" t="n">
        <v>46309</v>
      </c>
      <c r="H37" s="167" t="n">
        <v>46411</v>
      </c>
      <c r="I37" s="59" t="inlineStr">
        <is>
          <t>vps_crawl_sampling_master.xlsx</t>
        </is>
      </c>
    </row>
    <row r="38">
      <c r="A38" s="167" t="n">
        <v>46301</v>
      </c>
      <c r="B38" s="59" t="inlineStr">
        <is>
          <t>Thứ Ba</t>
        </is>
      </c>
      <c r="C38" s="59" t="inlineStr">
        <is>
          <t>00:30</t>
        </is>
      </c>
      <c r="D38" s="167" t="n">
        <v>46317</v>
      </c>
      <c r="E38" s="167" t="n">
        <v>46320</v>
      </c>
      <c r="F38" s="167" t="n">
        <v>46324</v>
      </c>
      <c r="G38" s="167" t="n">
        <v>46309</v>
      </c>
      <c r="H38" s="167" t="n">
        <v>46411</v>
      </c>
      <c r="I38" s="59" t="inlineStr">
        <is>
          <t>vps_crawl_sampling_master.xlsx</t>
        </is>
      </c>
    </row>
    <row r="39">
      <c r="A39" s="167" t="n">
        <v>46302</v>
      </c>
      <c r="B39" s="59" t="inlineStr">
        <is>
          <t>Thứ Tư</t>
        </is>
      </c>
      <c r="C39" s="59" t="inlineStr">
        <is>
          <t>00:30</t>
        </is>
      </c>
      <c r="D39" s="167" t="n">
        <v>46317</v>
      </c>
      <c r="E39" s="167" t="n">
        <v>46320</v>
      </c>
      <c r="F39" s="167" t="n">
        <v>46324</v>
      </c>
      <c r="G39" s="167" t="n">
        <v>46309</v>
      </c>
      <c r="H39" s="167" t="n">
        <v>46411</v>
      </c>
      <c r="I39" s="59" t="inlineStr">
        <is>
          <t>vps_crawl_sampling_master.xlsx</t>
        </is>
      </c>
    </row>
    <row r="40">
      <c r="A40" s="167" t="n">
        <v>46303</v>
      </c>
      <c r="B40" s="59" t="inlineStr">
        <is>
          <t>Thứ Năm</t>
        </is>
      </c>
      <c r="C40" s="59" t="inlineStr">
        <is>
          <t>00:30</t>
        </is>
      </c>
      <c r="D40" s="167" t="n">
        <v>46317</v>
      </c>
      <c r="E40" s="167" t="n">
        <v>46320</v>
      </c>
      <c r="F40" s="167" t="n">
        <v>46324</v>
      </c>
      <c r="G40" s="167" t="n">
        <v>46309</v>
      </c>
      <c r="H40" s="167" t="n">
        <v>46411</v>
      </c>
      <c r="I40" s="59" t="inlineStr">
        <is>
          <t>vps_crawl_sampling_master.xlsx</t>
        </is>
      </c>
    </row>
    <row r="41">
      <c r="A41" s="167" t="n">
        <v>46304</v>
      </c>
      <c r="B41" s="59" t="inlineStr">
        <is>
          <t>Thứ Sáu</t>
        </is>
      </c>
      <c r="C41" s="59" t="inlineStr">
        <is>
          <t>00:30</t>
        </is>
      </c>
      <c r="D41" s="167" t="n">
        <v>46317</v>
      </c>
      <c r="E41" s="167" t="n">
        <v>46320</v>
      </c>
      <c r="F41" s="167" t="n">
        <v>46324</v>
      </c>
      <c r="G41" s="167" t="n">
        <v>46309</v>
      </c>
      <c r="H41" s="167" t="n">
        <v>46411</v>
      </c>
      <c r="I41" s="59" t="inlineStr">
        <is>
          <t>vps_crawl_sampling_master.xlsx</t>
        </is>
      </c>
    </row>
    <row r="42">
      <c r="A42" s="167" t="n">
        <v>46305</v>
      </c>
      <c r="B42" s="59" t="inlineStr">
        <is>
          <t>Thứ Bảy</t>
        </is>
      </c>
      <c r="C42" s="59" t="inlineStr">
        <is>
          <t>00:30</t>
        </is>
      </c>
      <c r="D42" s="167" t="n">
        <v>46317</v>
      </c>
      <c r="E42" s="167" t="n">
        <v>46320</v>
      </c>
      <c r="F42" s="167" t="n">
        <v>46324</v>
      </c>
      <c r="G42" s="167" t="n">
        <v>46309</v>
      </c>
      <c r="H42" s="167" t="n">
        <v>46411</v>
      </c>
      <c r="I42" s="59" t="inlineStr">
        <is>
          <t>vps_crawl_sampling_master.xlsx</t>
        </is>
      </c>
    </row>
    <row r="43">
      <c r="A43" s="167" t="n">
        <v>46306</v>
      </c>
      <c r="B43" s="59" t="inlineStr">
        <is>
          <t>Chủ Nhật</t>
        </is>
      </c>
      <c r="C43" s="59" t="inlineStr">
        <is>
          <t>00:30</t>
        </is>
      </c>
      <c r="D43" s="167" t="n">
        <v>46317</v>
      </c>
      <c r="E43" s="167" t="n">
        <v>46320</v>
      </c>
      <c r="F43" s="167" t="n">
        <v>46324</v>
      </c>
      <c r="G43" s="167" t="n">
        <v>46309</v>
      </c>
      <c r="H43" s="167" t="n">
        <v>46411</v>
      </c>
      <c r="I43" s="59" t="inlineStr">
        <is>
          <t>vps_crawl_sampling_master.xlsx</t>
        </is>
      </c>
    </row>
    <row r="44">
      <c r="A44" s="167" t="n">
        <v>46307</v>
      </c>
      <c r="B44" s="59" t="inlineStr">
        <is>
          <t>Thứ Hai</t>
        </is>
      </c>
      <c r="C44" s="59" t="inlineStr">
        <is>
          <t>00:30</t>
        </is>
      </c>
      <c r="D44" s="167" t="n">
        <v>46317</v>
      </c>
      <c r="E44" s="167" t="n">
        <v>46320</v>
      </c>
      <c r="F44" s="167" t="n">
        <v>46324</v>
      </c>
      <c r="G44" s="167" t="n">
        <v>46309</v>
      </c>
      <c r="H44" s="167" t="n">
        <v>46411</v>
      </c>
      <c r="I44" s="59" t="inlineStr">
        <is>
          <t>vps_crawl_sampling_master.xlsx</t>
        </is>
      </c>
    </row>
    <row r="45">
      <c r="A45" s="167" t="n">
        <v>46308</v>
      </c>
      <c r="B45" s="59" t="inlineStr">
        <is>
          <t>Thứ Ba</t>
        </is>
      </c>
      <c r="C45" s="59" t="inlineStr">
        <is>
          <t>00:30</t>
        </is>
      </c>
      <c r="D45" s="167" t="n">
        <v>46317</v>
      </c>
      <c r="E45" s="167" t="n">
        <v>46320</v>
      </c>
      <c r="F45" s="167" t="n">
        <v>46324</v>
      </c>
      <c r="G45" s="167" t="n">
        <v>46309</v>
      </c>
      <c r="H45" s="167" t="n">
        <v>46411</v>
      </c>
      <c r="I45" s="59" t="inlineStr">
        <is>
          <t>vps_crawl_sampling_master.xlsx</t>
        </is>
      </c>
    </row>
    <row r="46">
      <c r="A46" s="167" t="n">
        <v>46309</v>
      </c>
      <c r="B46" s="59" t="inlineStr">
        <is>
          <t>Thứ Tư</t>
        </is>
      </c>
      <c r="C46" s="59" t="inlineStr">
        <is>
          <t>00:30</t>
        </is>
      </c>
      <c r="D46" s="167" t="n">
        <v>46317</v>
      </c>
      <c r="E46" s="167" t="n">
        <v>46320</v>
      </c>
      <c r="F46" s="167" t="n">
        <v>46324</v>
      </c>
      <c r="G46" s="167" t="n">
        <v>46309</v>
      </c>
      <c r="H46" s="167" t="n">
        <v>46411</v>
      </c>
      <c r="I46" s="59" t="inlineStr">
        <is>
          <t>vps_crawl_sampling_master.xlsx</t>
        </is>
      </c>
    </row>
    <row r="47">
      <c r="A47" s="167" t="n">
        <v>46310</v>
      </c>
      <c r="B47" s="59" t="inlineStr">
        <is>
          <t>Thứ Năm</t>
        </is>
      </c>
      <c r="C47" s="59" t="inlineStr">
        <is>
          <t>00:30</t>
        </is>
      </c>
      <c r="D47" s="167" t="n">
        <v>46317</v>
      </c>
      <c r="E47" s="167" t="n">
        <v>46320</v>
      </c>
      <c r="F47" s="167" t="n">
        <v>46324</v>
      </c>
      <c r="G47" s="167" t="n">
        <v>46337</v>
      </c>
      <c r="H47" s="167" t="n">
        <v>46411</v>
      </c>
      <c r="I47" s="59" t="inlineStr">
        <is>
          <t>vps_crawl_sampling_master.xlsx</t>
        </is>
      </c>
    </row>
    <row r="48">
      <c r="A48" s="167" t="n">
        <v>46311</v>
      </c>
      <c r="B48" s="59" t="inlineStr">
        <is>
          <t>Thứ Sáu</t>
        </is>
      </c>
      <c r="C48" s="59" t="inlineStr">
        <is>
          <t>00:30</t>
        </is>
      </c>
      <c r="D48" s="167" t="n">
        <v>46317</v>
      </c>
      <c r="E48" s="167" t="n">
        <v>46320</v>
      </c>
      <c r="F48" s="167" t="n">
        <v>46324</v>
      </c>
      <c r="G48" s="167" t="n">
        <v>46337</v>
      </c>
      <c r="H48" s="167" t="n">
        <v>46411</v>
      </c>
      <c r="I48" s="59" t="inlineStr">
        <is>
          <t>vps_crawl_sampling_master.xlsx</t>
        </is>
      </c>
    </row>
    <row r="49">
      <c r="A49" s="167" t="n">
        <v>46312</v>
      </c>
      <c r="B49" s="59" t="inlineStr">
        <is>
          <t>Thứ Bảy</t>
        </is>
      </c>
      <c r="C49" s="59" t="inlineStr">
        <is>
          <t>00:30</t>
        </is>
      </c>
      <c r="D49" s="167" t="n">
        <v>46317</v>
      </c>
      <c r="E49" s="167" t="n">
        <v>46320</v>
      </c>
      <c r="F49" s="167" t="n">
        <v>46324</v>
      </c>
      <c r="G49" s="167" t="n">
        <v>46337</v>
      </c>
      <c r="H49" s="167" t="n">
        <v>46411</v>
      </c>
      <c r="I49" s="59" t="inlineStr">
        <is>
          <t>vps_crawl_sampling_master.xlsx</t>
        </is>
      </c>
    </row>
    <row r="50">
      <c r="A50" s="167" t="n">
        <v>46313</v>
      </c>
      <c r="B50" s="59" t="inlineStr">
        <is>
          <t>Chủ Nhật</t>
        </is>
      </c>
      <c r="C50" s="59" t="inlineStr">
        <is>
          <t>00:30</t>
        </is>
      </c>
      <c r="D50" s="167" t="n">
        <v>46317</v>
      </c>
      <c r="E50" s="167" t="n">
        <v>46320</v>
      </c>
      <c r="F50" s="167" t="n">
        <v>46324</v>
      </c>
      <c r="G50" s="167" t="n">
        <v>46337</v>
      </c>
      <c r="H50" s="167" t="n">
        <v>46411</v>
      </c>
      <c r="I50" s="59" t="inlineStr">
        <is>
          <t>vps_crawl_sampling_master.xlsx</t>
        </is>
      </c>
    </row>
    <row r="51">
      <c r="A51" s="167" t="n">
        <v>46314</v>
      </c>
      <c r="B51" s="59" t="inlineStr">
        <is>
          <t>Thứ Hai</t>
        </is>
      </c>
      <c r="C51" s="59" t="inlineStr">
        <is>
          <t>00:30</t>
        </is>
      </c>
      <c r="D51" s="167" t="n">
        <v>46317</v>
      </c>
      <c r="E51" s="167" t="n">
        <v>46320</v>
      </c>
      <c r="F51" s="167" t="n">
        <v>46324</v>
      </c>
      <c r="G51" s="167" t="n">
        <v>46337</v>
      </c>
      <c r="H51" s="167" t="n">
        <v>46411</v>
      </c>
      <c r="I51" s="59" t="inlineStr">
        <is>
          <t>vps_crawl_sampling_master.xlsx</t>
        </is>
      </c>
    </row>
    <row r="52">
      <c r="A52" s="167" t="n">
        <v>46315</v>
      </c>
      <c r="B52" s="59" t="inlineStr">
        <is>
          <t>Thứ Ba</t>
        </is>
      </c>
      <c r="C52" s="59" t="inlineStr">
        <is>
          <t>00:30</t>
        </is>
      </c>
      <c r="D52" s="167" t="n">
        <v>46317</v>
      </c>
      <c r="E52" s="167" t="n">
        <v>46320</v>
      </c>
      <c r="F52" s="167" t="n">
        <v>46324</v>
      </c>
      <c r="G52" s="167" t="n">
        <v>46337</v>
      </c>
      <c r="H52" s="167" t="n">
        <v>46411</v>
      </c>
      <c r="I52" s="59" t="inlineStr">
        <is>
          <t>vps_crawl_sampling_master.xlsx</t>
        </is>
      </c>
    </row>
    <row r="53">
      <c r="A53" s="167" t="n">
        <v>46316</v>
      </c>
      <c r="B53" s="59" t="inlineStr">
        <is>
          <t>Thứ Tư</t>
        </is>
      </c>
      <c r="C53" s="59" t="inlineStr">
        <is>
          <t>00:30</t>
        </is>
      </c>
      <c r="D53" s="167" t="n">
        <v>46317</v>
      </c>
      <c r="E53" s="167" t="n">
        <v>46320</v>
      </c>
      <c r="F53" s="167" t="n">
        <v>46324</v>
      </c>
      <c r="G53" s="167" t="n">
        <v>46337</v>
      </c>
      <c r="H53" s="167" t="n">
        <v>46411</v>
      </c>
      <c r="I53" s="59" t="inlineStr">
        <is>
          <t>vps_crawl_sampling_master.xlsx</t>
        </is>
      </c>
    </row>
    <row r="54">
      <c r="A54" s="167" t="n">
        <v>46317</v>
      </c>
      <c r="B54" s="59" t="inlineStr">
        <is>
          <t>Thứ Năm</t>
        </is>
      </c>
      <c r="C54" s="59" t="inlineStr">
        <is>
          <t>00:30</t>
        </is>
      </c>
      <c r="D54" s="167" t="n">
        <v>46317</v>
      </c>
      <c r="E54" s="167" t="n">
        <v>46320</v>
      </c>
      <c r="F54" s="167" t="n">
        <v>46324</v>
      </c>
      <c r="G54" s="167" t="n">
        <v>46337</v>
      </c>
      <c r="H54" s="167" t="n">
        <v>46411</v>
      </c>
      <c r="I54" s="59" t="inlineStr">
        <is>
          <t>vps_crawl_sampling_master.xlsx</t>
        </is>
      </c>
    </row>
    <row r="55">
      <c r="A55" s="167" t="n">
        <v>46318</v>
      </c>
      <c r="B55" s="59" t="inlineStr">
        <is>
          <t>Thứ Sáu</t>
        </is>
      </c>
      <c r="C55" s="59" t="inlineStr">
        <is>
          <t>00:30</t>
        </is>
      </c>
      <c r="D55" s="167" t="n">
        <v>46345</v>
      </c>
      <c r="E55" s="167" t="n">
        <v>46320</v>
      </c>
      <c r="F55" s="167" t="n">
        <v>46324</v>
      </c>
      <c r="G55" s="167" t="n">
        <v>46337</v>
      </c>
      <c r="H55" s="167" t="n">
        <v>46411</v>
      </c>
      <c r="I55" s="59" t="inlineStr">
        <is>
          <t>vps_crawl_sampling_master.xlsx</t>
        </is>
      </c>
    </row>
    <row r="56">
      <c r="A56" s="167" t="n">
        <v>46319</v>
      </c>
      <c r="B56" s="59" t="inlineStr">
        <is>
          <t>Thứ Bảy</t>
        </is>
      </c>
      <c r="C56" s="59" t="inlineStr">
        <is>
          <t>00:30</t>
        </is>
      </c>
      <c r="D56" s="167" t="n">
        <v>46345</v>
      </c>
      <c r="E56" s="167" t="n">
        <v>46320</v>
      </c>
      <c r="F56" s="167" t="n">
        <v>46324</v>
      </c>
      <c r="G56" s="167" t="n">
        <v>46337</v>
      </c>
      <c r="H56" s="167" t="n">
        <v>46411</v>
      </c>
      <c r="I56" s="59" t="inlineStr">
        <is>
          <t>vps_crawl_sampling_master.xlsx</t>
        </is>
      </c>
    </row>
    <row r="57">
      <c r="A57" s="167" t="n">
        <v>46320</v>
      </c>
      <c r="B57" s="59" t="inlineStr">
        <is>
          <t>Chủ Nhật</t>
        </is>
      </c>
      <c r="C57" s="59" t="inlineStr">
        <is>
          <t>00:30</t>
        </is>
      </c>
      <c r="D57" s="167" t="n">
        <v>46345</v>
      </c>
      <c r="E57" s="167" t="n">
        <v>46320</v>
      </c>
      <c r="F57" s="167" t="n">
        <v>46324</v>
      </c>
      <c r="G57" s="167" t="n">
        <v>46337</v>
      </c>
      <c r="H57" s="167" t="n">
        <v>46411</v>
      </c>
      <c r="I57" s="59" t="inlineStr">
        <is>
          <t>vps_crawl_sampling_master.xlsx</t>
        </is>
      </c>
    </row>
    <row r="58">
      <c r="A58" s="167" t="n">
        <v>46321</v>
      </c>
      <c r="B58" s="59" t="inlineStr">
        <is>
          <t>Thứ Hai</t>
        </is>
      </c>
      <c r="C58" s="59" t="inlineStr">
        <is>
          <t>00:30</t>
        </is>
      </c>
      <c r="D58" s="167" t="n">
        <v>46345</v>
      </c>
      <c r="E58" s="167" t="n">
        <v>46348</v>
      </c>
      <c r="F58" s="167" t="n">
        <v>46324</v>
      </c>
      <c r="G58" s="167" t="n">
        <v>46337</v>
      </c>
      <c r="H58" s="167" t="n">
        <v>46411</v>
      </c>
      <c r="I58" s="59" t="inlineStr">
        <is>
          <t>vps_crawl_sampling_master.xlsx</t>
        </is>
      </c>
    </row>
    <row r="59">
      <c r="A59" s="167" t="n">
        <v>46322</v>
      </c>
      <c r="B59" s="59" t="inlineStr">
        <is>
          <t>Thứ Ba</t>
        </is>
      </c>
      <c r="C59" s="59" t="inlineStr">
        <is>
          <t>00:30</t>
        </is>
      </c>
      <c r="D59" s="167" t="n">
        <v>46345</v>
      </c>
      <c r="E59" s="167" t="n">
        <v>46348</v>
      </c>
      <c r="F59" s="167" t="n">
        <v>46324</v>
      </c>
      <c r="G59" s="167" t="n">
        <v>46337</v>
      </c>
      <c r="H59" s="167" t="n">
        <v>46411</v>
      </c>
      <c r="I59" s="59" t="inlineStr">
        <is>
          <t>vps_crawl_sampling_master.xlsx</t>
        </is>
      </c>
    </row>
    <row r="60">
      <c r="A60" s="167" t="n">
        <v>46323</v>
      </c>
      <c r="B60" s="59" t="inlineStr">
        <is>
          <t>Thứ Tư</t>
        </is>
      </c>
      <c r="C60" s="59" t="inlineStr">
        <is>
          <t>00:30</t>
        </is>
      </c>
      <c r="D60" s="167" t="n">
        <v>46345</v>
      </c>
      <c r="E60" s="167" t="n">
        <v>46348</v>
      </c>
      <c r="F60" s="167" t="n">
        <v>46324</v>
      </c>
      <c r="G60" s="167" t="n">
        <v>46337</v>
      </c>
      <c r="H60" s="167" t="n">
        <v>46411</v>
      </c>
      <c r="I60" s="59" t="inlineStr">
        <is>
          <t>vps_crawl_sampling_master.xlsx</t>
        </is>
      </c>
    </row>
    <row r="61">
      <c r="A61" s="167" t="n">
        <v>46324</v>
      </c>
      <c r="B61" s="59" t="inlineStr">
        <is>
          <t>Thứ Năm</t>
        </is>
      </c>
      <c r="C61" s="59" t="inlineStr">
        <is>
          <t>00:30</t>
        </is>
      </c>
      <c r="D61" s="167" t="n">
        <v>46345</v>
      </c>
      <c r="E61" s="167" t="n">
        <v>46348</v>
      </c>
      <c r="F61" s="167" t="n">
        <v>46324</v>
      </c>
      <c r="G61" s="167" t="n">
        <v>46337</v>
      </c>
      <c r="H61" s="167" t="n">
        <v>46411</v>
      </c>
      <c r="I61" s="59" t="inlineStr">
        <is>
          <t>vps_crawl_sampling_master.xlsx</t>
        </is>
      </c>
    </row>
    <row r="62">
      <c r="A62" s="167" t="n">
        <v>46325</v>
      </c>
      <c r="B62" s="59" t="inlineStr">
        <is>
          <t>Thứ Sáu</t>
        </is>
      </c>
      <c r="C62" s="59" t="inlineStr">
        <is>
          <t>00:30</t>
        </is>
      </c>
      <c r="D62" s="167" t="n">
        <v>46345</v>
      </c>
      <c r="E62" s="167" t="n">
        <v>46348</v>
      </c>
      <c r="F62" s="167" t="n">
        <v>46352</v>
      </c>
      <c r="G62" s="167" t="n">
        <v>46337</v>
      </c>
      <c r="H62" s="167" t="n">
        <v>46411</v>
      </c>
      <c r="I62" s="59" t="inlineStr">
        <is>
          <t>vps_crawl_sampling_master.xlsx</t>
        </is>
      </c>
    </row>
    <row r="63">
      <c r="A63" s="167" t="n">
        <v>46326</v>
      </c>
      <c r="B63" s="59" t="inlineStr">
        <is>
          <t>Thứ Bảy</t>
        </is>
      </c>
      <c r="C63" s="59" t="inlineStr">
        <is>
          <t>00:30</t>
        </is>
      </c>
      <c r="D63" s="167" t="n">
        <v>46345</v>
      </c>
      <c r="E63" s="167" t="n">
        <v>46348</v>
      </c>
      <c r="F63" s="167" t="n">
        <v>46352</v>
      </c>
      <c r="G63" s="167" t="n">
        <v>46337</v>
      </c>
      <c r="H63" s="167" t="n">
        <v>46411</v>
      </c>
      <c r="I63" s="59" t="inlineStr">
        <is>
          <t>vps_crawl_sampling_master.xlsx</t>
        </is>
      </c>
    </row>
    <row r="64">
      <c r="A64" s="167" t="n">
        <v>46327</v>
      </c>
      <c r="B64" s="59" t="inlineStr">
        <is>
          <t>Chủ Nhật</t>
        </is>
      </c>
      <c r="C64" s="59" t="inlineStr">
        <is>
          <t>00:30</t>
        </is>
      </c>
      <c r="D64" s="167" t="n">
        <v>46345</v>
      </c>
      <c r="E64" s="167" t="n">
        <v>46348</v>
      </c>
      <c r="F64" s="167" t="n">
        <v>46352</v>
      </c>
      <c r="G64" s="167" t="n">
        <v>46337</v>
      </c>
      <c r="H64" s="167" t="n">
        <v>46411</v>
      </c>
      <c r="I64" s="59" t="inlineStr">
        <is>
          <t>vps_crawl_sampling_master.xlsx</t>
        </is>
      </c>
    </row>
    <row r="65">
      <c r="A65" s="167" t="n">
        <v>46328</v>
      </c>
      <c r="B65" s="59" t="inlineStr">
        <is>
          <t>Thứ Hai</t>
        </is>
      </c>
      <c r="C65" s="59" t="inlineStr">
        <is>
          <t>00:30</t>
        </is>
      </c>
      <c r="D65" s="167" t="n">
        <v>46345</v>
      </c>
      <c r="E65" s="167" t="n">
        <v>46348</v>
      </c>
      <c r="F65" s="167" t="n">
        <v>46352</v>
      </c>
      <c r="G65" s="167" t="n">
        <v>46337</v>
      </c>
      <c r="H65" s="167" t="n">
        <v>46411</v>
      </c>
      <c r="I65" s="59" t="inlineStr">
        <is>
          <t>vps_crawl_sampling_master.xlsx</t>
        </is>
      </c>
    </row>
    <row r="66">
      <c r="A66" s="167" t="n">
        <v>46329</v>
      </c>
      <c r="B66" s="59" t="inlineStr">
        <is>
          <t>Thứ Ba</t>
        </is>
      </c>
      <c r="C66" s="59" t="inlineStr">
        <is>
          <t>00:30</t>
        </is>
      </c>
      <c r="D66" s="167" t="n">
        <v>46345</v>
      </c>
      <c r="E66" s="167" t="n">
        <v>46348</v>
      </c>
      <c r="F66" s="167" t="n">
        <v>46352</v>
      </c>
      <c r="G66" s="167" t="n">
        <v>46337</v>
      </c>
      <c r="H66" s="167" t="n">
        <v>46411</v>
      </c>
      <c r="I66" s="59" t="inlineStr">
        <is>
          <t>vps_crawl_sampling_master.xlsx</t>
        </is>
      </c>
    </row>
    <row r="67">
      <c r="A67" s="167" t="n">
        <v>46330</v>
      </c>
      <c r="B67" s="59" t="inlineStr">
        <is>
          <t>Thứ Tư</t>
        </is>
      </c>
      <c r="C67" s="59" t="inlineStr">
        <is>
          <t>00:30</t>
        </is>
      </c>
      <c r="D67" s="167" t="n">
        <v>46345</v>
      </c>
      <c r="E67" s="167" t="n">
        <v>46348</v>
      </c>
      <c r="F67" s="167" t="n">
        <v>46352</v>
      </c>
      <c r="G67" s="167" t="n">
        <v>46337</v>
      </c>
      <c r="H67" s="167" t="n">
        <v>46411</v>
      </c>
      <c r="I67" s="59" t="inlineStr">
        <is>
          <t>vps_crawl_sampling_master.xlsx</t>
        </is>
      </c>
    </row>
    <row r="68">
      <c r="A68" s="167" t="n">
        <v>46331</v>
      </c>
      <c r="B68" s="59" t="inlineStr">
        <is>
          <t>Thứ Năm</t>
        </is>
      </c>
      <c r="C68" s="59" t="inlineStr">
        <is>
          <t>00:30</t>
        </is>
      </c>
      <c r="D68" s="167" t="n">
        <v>46345</v>
      </c>
      <c r="E68" s="167" t="n">
        <v>46348</v>
      </c>
      <c r="F68" s="167" t="n">
        <v>46352</v>
      </c>
      <c r="G68" s="167" t="n">
        <v>46337</v>
      </c>
      <c r="H68" s="167" t="n">
        <v>46411</v>
      </c>
      <c r="I68" s="59" t="inlineStr">
        <is>
          <t>vps_crawl_sampling_master.xlsx</t>
        </is>
      </c>
    </row>
    <row r="69">
      <c r="A69" s="167" t="n">
        <v>46332</v>
      </c>
      <c r="B69" s="59" t="inlineStr">
        <is>
          <t>Thứ Sáu</t>
        </is>
      </c>
      <c r="C69" s="59" t="inlineStr">
        <is>
          <t>00:30</t>
        </is>
      </c>
      <c r="D69" s="167" t="n">
        <v>46345</v>
      </c>
      <c r="E69" s="167" t="n">
        <v>46348</v>
      </c>
      <c r="F69" s="167" t="n">
        <v>46352</v>
      </c>
      <c r="G69" s="167" t="n">
        <v>46337</v>
      </c>
      <c r="H69" s="167" t="n">
        <v>46411</v>
      </c>
      <c r="I69" s="59" t="inlineStr">
        <is>
          <t>vps_crawl_sampling_master.xlsx</t>
        </is>
      </c>
    </row>
    <row r="70">
      <c r="A70" s="167" t="n">
        <v>46333</v>
      </c>
      <c r="B70" s="59" t="inlineStr">
        <is>
          <t>Thứ Bảy</t>
        </is>
      </c>
      <c r="C70" s="59" t="inlineStr">
        <is>
          <t>00:30</t>
        </is>
      </c>
      <c r="D70" s="167" t="n">
        <v>46345</v>
      </c>
      <c r="E70" s="167" t="n">
        <v>46348</v>
      </c>
      <c r="F70" s="167" t="n">
        <v>46352</v>
      </c>
      <c r="G70" s="167" t="n">
        <v>46337</v>
      </c>
      <c r="H70" s="167" t="n">
        <v>46411</v>
      </c>
      <c r="I70" s="59" t="inlineStr">
        <is>
          <t>vps_crawl_sampling_master.xlsx</t>
        </is>
      </c>
    </row>
    <row r="71">
      <c r="A71" s="167" t="n">
        <v>46334</v>
      </c>
      <c r="B71" s="59" t="inlineStr">
        <is>
          <t>Chủ Nhật</t>
        </is>
      </c>
      <c r="C71" s="59" t="inlineStr">
        <is>
          <t>00:30</t>
        </is>
      </c>
      <c r="D71" s="167" t="n">
        <v>46345</v>
      </c>
      <c r="E71" s="167" t="n">
        <v>46348</v>
      </c>
      <c r="F71" s="167" t="n">
        <v>46352</v>
      </c>
      <c r="G71" s="167" t="n">
        <v>46337</v>
      </c>
      <c r="H71" s="167" t="n">
        <v>46411</v>
      </c>
      <c r="I71" s="59" t="inlineStr">
        <is>
          <t>vps_crawl_sampling_master.xlsx</t>
        </is>
      </c>
    </row>
    <row r="72">
      <c r="A72" s="167" t="n">
        <v>46335</v>
      </c>
      <c r="B72" s="59" t="inlineStr">
        <is>
          <t>Thứ Hai</t>
        </is>
      </c>
      <c r="C72" s="59" t="inlineStr">
        <is>
          <t>00:30</t>
        </is>
      </c>
      <c r="D72" s="167" t="n">
        <v>46345</v>
      </c>
      <c r="E72" s="167" t="n">
        <v>46348</v>
      </c>
      <c r="F72" s="167" t="n">
        <v>46352</v>
      </c>
      <c r="G72" s="167" t="n">
        <v>46337</v>
      </c>
      <c r="H72" s="167" t="n">
        <v>46411</v>
      </c>
      <c r="I72" s="59" t="inlineStr">
        <is>
          <t>vps_crawl_sampling_master.xlsx</t>
        </is>
      </c>
    </row>
    <row r="73">
      <c r="A73" s="167" t="n">
        <v>46336</v>
      </c>
      <c r="B73" s="59" t="inlineStr">
        <is>
          <t>Thứ Ba</t>
        </is>
      </c>
      <c r="C73" s="59" t="inlineStr">
        <is>
          <t>00:30</t>
        </is>
      </c>
      <c r="D73" s="167" t="n">
        <v>46345</v>
      </c>
      <c r="E73" s="167" t="n">
        <v>46348</v>
      </c>
      <c r="F73" s="167" t="n">
        <v>46352</v>
      </c>
      <c r="G73" s="167" t="n">
        <v>46337</v>
      </c>
      <c r="H73" s="167" t="n">
        <v>46411</v>
      </c>
      <c r="I73" s="59" t="inlineStr">
        <is>
          <t>vps_crawl_sampling_master.xlsx</t>
        </is>
      </c>
    </row>
    <row r="74">
      <c r="A74" s="167" t="n">
        <v>46337</v>
      </c>
      <c r="B74" s="59" t="inlineStr">
        <is>
          <t>Thứ Tư</t>
        </is>
      </c>
      <c r="C74" s="59" t="inlineStr">
        <is>
          <t>00:30</t>
        </is>
      </c>
      <c r="D74" s="167" t="n">
        <v>46345</v>
      </c>
      <c r="E74" s="167" t="n">
        <v>46348</v>
      </c>
      <c r="F74" s="167" t="n">
        <v>46352</v>
      </c>
      <c r="G74" s="167" t="n">
        <v>46337</v>
      </c>
      <c r="H74" s="167" t="n">
        <v>46411</v>
      </c>
      <c r="I74" s="59" t="inlineStr">
        <is>
          <t>vps_crawl_sampling_master.xlsx</t>
        </is>
      </c>
    </row>
    <row r="75">
      <c r="A75" s="167" t="n">
        <v>46338</v>
      </c>
      <c r="B75" s="59" t="inlineStr">
        <is>
          <t>Thứ Năm</t>
        </is>
      </c>
      <c r="C75" s="59" t="inlineStr">
        <is>
          <t>00:30</t>
        </is>
      </c>
      <c r="D75" s="167" t="n">
        <v>46345</v>
      </c>
      <c r="E75" s="167" t="n">
        <v>46348</v>
      </c>
      <c r="F75" s="167" t="n">
        <v>46352</v>
      </c>
      <c r="G75" s="167" t="n">
        <v>46365</v>
      </c>
      <c r="H75" s="167" t="n">
        <v>46411</v>
      </c>
      <c r="I75" s="59" t="inlineStr">
        <is>
          <t>vps_crawl_sampling_master.xlsx</t>
        </is>
      </c>
    </row>
    <row r="76">
      <c r="A76" s="167" t="n">
        <v>46339</v>
      </c>
      <c r="B76" s="59" t="inlineStr">
        <is>
          <t>Thứ Sáu</t>
        </is>
      </c>
      <c r="C76" s="59" t="inlineStr">
        <is>
          <t>00:30</t>
        </is>
      </c>
      <c r="D76" s="167" t="n">
        <v>46345</v>
      </c>
      <c r="E76" s="167" t="n">
        <v>46348</v>
      </c>
      <c r="F76" s="167" t="n">
        <v>46352</v>
      </c>
      <c r="G76" s="167" t="n">
        <v>46365</v>
      </c>
      <c r="H76" s="167" t="n">
        <v>46411</v>
      </c>
      <c r="I76" s="59" t="inlineStr">
        <is>
          <t>vps_crawl_sampling_master.xlsx</t>
        </is>
      </c>
    </row>
    <row r="77">
      <c r="A77" s="167" t="n">
        <v>46340</v>
      </c>
      <c r="B77" s="59" t="inlineStr">
        <is>
          <t>Thứ Bảy</t>
        </is>
      </c>
      <c r="C77" s="59" t="inlineStr">
        <is>
          <t>00:30</t>
        </is>
      </c>
      <c r="D77" s="167" t="n">
        <v>46345</v>
      </c>
      <c r="E77" s="167" t="n">
        <v>46348</v>
      </c>
      <c r="F77" s="167" t="n">
        <v>46352</v>
      </c>
      <c r="G77" s="167" t="n">
        <v>46365</v>
      </c>
      <c r="H77" s="167" t="n">
        <v>46411</v>
      </c>
      <c r="I77" s="59" t="inlineStr">
        <is>
          <t>vps_crawl_sampling_master.xlsx</t>
        </is>
      </c>
    </row>
    <row r="78">
      <c r="A78" s="167" t="n">
        <v>46341</v>
      </c>
      <c r="B78" s="59" t="inlineStr">
        <is>
          <t>Chủ Nhật</t>
        </is>
      </c>
      <c r="C78" s="59" t="inlineStr">
        <is>
          <t>00:30</t>
        </is>
      </c>
      <c r="D78" s="167" t="n">
        <v>46345</v>
      </c>
      <c r="E78" s="167" t="n">
        <v>46348</v>
      </c>
      <c r="F78" s="167" t="n">
        <v>46352</v>
      </c>
      <c r="G78" s="167" t="n">
        <v>46365</v>
      </c>
      <c r="H78" s="167" t="n">
        <v>46411</v>
      </c>
      <c r="I78" s="59" t="inlineStr">
        <is>
          <t>vps_crawl_sampling_master.xlsx</t>
        </is>
      </c>
    </row>
    <row r="79">
      <c r="A79" s="167" t="n">
        <v>46342</v>
      </c>
      <c r="B79" s="59" t="inlineStr">
        <is>
          <t>Thứ Hai</t>
        </is>
      </c>
      <c r="C79" s="59" t="inlineStr">
        <is>
          <t>00:30</t>
        </is>
      </c>
      <c r="D79" s="167" t="n">
        <v>46345</v>
      </c>
      <c r="E79" s="167" t="n">
        <v>46348</v>
      </c>
      <c r="F79" s="167" t="n">
        <v>46352</v>
      </c>
      <c r="G79" s="167" t="n">
        <v>46365</v>
      </c>
      <c r="H79" s="167" t="n">
        <v>46411</v>
      </c>
      <c r="I79" s="59" t="inlineStr">
        <is>
          <t>vps_crawl_sampling_master.xlsx</t>
        </is>
      </c>
    </row>
    <row r="80">
      <c r="A80" s="167" t="n">
        <v>46343</v>
      </c>
      <c r="B80" s="59" t="inlineStr">
        <is>
          <t>Thứ Ba</t>
        </is>
      </c>
      <c r="C80" s="59" t="inlineStr">
        <is>
          <t>00:30</t>
        </is>
      </c>
      <c r="D80" s="167" t="n">
        <v>46345</v>
      </c>
      <c r="E80" s="167" t="n">
        <v>46348</v>
      </c>
      <c r="F80" s="167" t="n">
        <v>46352</v>
      </c>
      <c r="G80" s="167" t="n">
        <v>46365</v>
      </c>
      <c r="H80" s="167" t="n">
        <v>46411</v>
      </c>
      <c r="I80" s="59" t="inlineStr">
        <is>
          <t>vps_crawl_sampling_master.xlsx</t>
        </is>
      </c>
    </row>
    <row r="81">
      <c r="A81" s="167" t="n">
        <v>46344</v>
      </c>
      <c r="B81" s="59" t="inlineStr">
        <is>
          <t>Thứ Tư</t>
        </is>
      </c>
      <c r="C81" s="59" t="inlineStr">
        <is>
          <t>00:30</t>
        </is>
      </c>
      <c r="D81" s="167" t="n">
        <v>46345</v>
      </c>
      <c r="E81" s="167" t="n">
        <v>46348</v>
      </c>
      <c r="F81" s="167" t="n">
        <v>46352</v>
      </c>
      <c r="G81" s="167" t="n">
        <v>46365</v>
      </c>
      <c r="H81" s="167" t="n">
        <v>46411</v>
      </c>
      <c r="I81" s="59" t="inlineStr">
        <is>
          <t>vps_crawl_sampling_master.xlsx</t>
        </is>
      </c>
    </row>
    <row r="82">
      <c r="A82" s="167" t="n">
        <v>46345</v>
      </c>
      <c r="B82" s="59" t="inlineStr">
        <is>
          <t>Thứ Năm</t>
        </is>
      </c>
      <c r="C82" s="59" t="inlineStr">
        <is>
          <t>00:30</t>
        </is>
      </c>
      <c r="D82" s="167" t="n">
        <v>46345</v>
      </c>
      <c r="E82" s="167" t="n">
        <v>46348</v>
      </c>
      <c r="F82" s="167" t="n">
        <v>46352</v>
      </c>
      <c r="G82" s="167" t="n">
        <v>46365</v>
      </c>
      <c r="H82" s="167" t="n">
        <v>46411</v>
      </c>
      <c r="I82" s="59" t="inlineStr">
        <is>
          <t>vps_crawl_sampling_master.xlsx</t>
        </is>
      </c>
    </row>
    <row r="83">
      <c r="A83" s="167" t="n">
        <v>46346</v>
      </c>
      <c r="B83" s="59" t="inlineStr">
        <is>
          <t>Thứ Sáu</t>
        </is>
      </c>
      <c r="C83" s="59" t="inlineStr">
        <is>
          <t>00:30</t>
        </is>
      </c>
      <c r="D83" s="167" t="n">
        <v>46373</v>
      </c>
      <c r="E83" s="167" t="n">
        <v>46348</v>
      </c>
      <c r="F83" s="167" t="n">
        <v>46352</v>
      </c>
      <c r="G83" s="167" t="n">
        <v>46365</v>
      </c>
      <c r="H83" s="167" t="n">
        <v>46411</v>
      </c>
      <c r="I83" s="59" t="inlineStr">
        <is>
          <t>vps_crawl_sampling_master.xlsx</t>
        </is>
      </c>
    </row>
    <row r="84">
      <c r="A84" s="167" t="n">
        <v>46347</v>
      </c>
      <c r="B84" s="59" t="inlineStr">
        <is>
          <t>Thứ Bảy</t>
        </is>
      </c>
      <c r="C84" s="59" t="inlineStr">
        <is>
          <t>00:30</t>
        </is>
      </c>
      <c r="D84" s="167" t="n">
        <v>46373</v>
      </c>
      <c r="E84" s="167" t="n">
        <v>46348</v>
      </c>
      <c r="F84" s="167" t="n">
        <v>46352</v>
      </c>
      <c r="G84" s="167" t="n">
        <v>46365</v>
      </c>
      <c r="H84" s="167" t="n">
        <v>46411</v>
      </c>
      <c r="I84" s="59" t="inlineStr">
        <is>
          <t>vps_crawl_sampling_master.xlsx</t>
        </is>
      </c>
    </row>
    <row r="85">
      <c r="A85" s="167" t="n">
        <v>46348</v>
      </c>
      <c r="B85" s="59" t="inlineStr">
        <is>
          <t>Chủ Nhật</t>
        </is>
      </c>
      <c r="C85" s="59" t="inlineStr">
        <is>
          <t>00:30</t>
        </is>
      </c>
      <c r="D85" s="167" t="n">
        <v>46373</v>
      </c>
      <c r="E85" s="167" t="n">
        <v>46348</v>
      </c>
      <c r="F85" s="167" t="n">
        <v>46352</v>
      </c>
      <c r="G85" s="167" t="n">
        <v>46365</v>
      </c>
      <c r="H85" s="167" t="n">
        <v>46411</v>
      </c>
      <c r="I85" s="59" t="inlineStr">
        <is>
          <t>vps_crawl_sampling_master.xlsx</t>
        </is>
      </c>
    </row>
    <row r="86">
      <c r="A86" s="167" t="n">
        <v>46349</v>
      </c>
      <c r="B86" s="59" t="inlineStr">
        <is>
          <t>Thứ Hai</t>
        </is>
      </c>
      <c r="C86" s="59" t="inlineStr">
        <is>
          <t>00:30</t>
        </is>
      </c>
      <c r="D86" s="167" t="n">
        <v>46373</v>
      </c>
      <c r="E86" s="167" t="n">
        <v>46376</v>
      </c>
      <c r="F86" s="167" t="n">
        <v>46352</v>
      </c>
      <c r="G86" s="167" t="n">
        <v>46365</v>
      </c>
      <c r="H86" s="167" t="n">
        <v>46411</v>
      </c>
      <c r="I86" s="59" t="inlineStr">
        <is>
          <t>vps_crawl_sampling_master.xlsx</t>
        </is>
      </c>
    </row>
    <row r="87">
      <c r="A87" s="167" t="n">
        <v>46350</v>
      </c>
      <c r="B87" s="59" t="inlineStr">
        <is>
          <t>Thứ Ba</t>
        </is>
      </c>
      <c r="C87" s="59" t="inlineStr">
        <is>
          <t>00:30</t>
        </is>
      </c>
      <c r="D87" s="167" t="n">
        <v>46373</v>
      </c>
      <c r="E87" s="167" t="n">
        <v>46376</v>
      </c>
      <c r="F87" s="167" t="n">
        <v>46352</v>
      </c>
      <c r="G87" s="167" t="n">
        <v>46365</v>
      </c>
      <c r="H87" s="167" t="n">
        <v>46411</v>
      </c>
      <c r="I87" s="59" t="inlineStr">
        <is>
          <t>vps_crawl_sampling_master.xlsx</t>
        </is>
      </c>
    </row>
    <row r="88">
      <c r="A88" s="167" t="n">
        <v>46351</v>
      </c>
      <c r="B88" s="59" t="inlineStr">
        <is>
          <t>Thứ Tư</t>
        </is>
      </c>
      <c r="C88" s="59" t="inlineStr">
        <is>
          <t>00:30</t>
        </is>
      </c>
      <c r="D88" s="167" t="n">
        <v>46373</v>
      </c>
      <c r="E88" s="167" t="n">
        <v>46376</v>
      </c>
      <c r="F88" s="167" t="n">
        <v>46352</v>
      </c>
      <c r="G88" s="167" t="n">
        <v>46365</v>
      </c>
      <c r="H88" s="167" t="n">
        <v>46411</v>
      </c>
      <c r="I88" s="59" t="inlineStr">
        <is>
          <t>vps_crawl_sampling_master.xlsx</t>
        </is>
      </c>
    </row>
    <row r="89">
      <c r="A89" s="167" t="n">
        <v>46352</v>
      </c>
      <c r="B89" s="59" t="inlineStr">
        <is>
          <t>Thứ Năm</t>
        </is>
      </c>
      <c r="C89" s="59" t="inlineStr">
        <is>
          <t>00:30</t>
        </is>
      </c>
      <c r="D89" s="167" t="n">
        <v>46373</v>
      </c>
      <c r="E89" s="167" t="n">
        <v>46376</v>
      </c>
      <c r="F89" s="167" t="n">
        <v>46352</v>
      </c>
      <c r="G89" s="167" t="n">
        <v>46365</v>
      </c>
      <c r="H89" s="167" t="n">
        <v>46411</v>
      </c>
      <c r="I89" s="59" t="inlineStr">
        <is>
          <t>vps_crawl_sampling_master.xlsx</t>
        </is>
      </c>
    </row>
    <row r="90">
      <c r="A90" s="167" t="n">
        <v>46353</v>
      </c>
      <c r="B90" s="59" t="inlineStr">
        <is>
          <t>Thứ Sáu</t>
        </is>
      </c>
      <c r="C90" s="59" t="inlineStr">
        <is>
          <t>00:30</t>
        </is>
      </c>
      <c r="D90" s="167" t="n">
        <v>46373</v>
      </c>
      <c r="E90" s="167" t="n">
        <v>46376</v>
      </c>
      <c r="F90" s="167" t="n">
        <v>46380</v>
      </c>
      <c r="G90" s="167" t="n">
        <v>46365</v>
      </c>
      <c r="H90" s="167" t="n">
        <v>46411</v>
      </c>
      <c r="I90" s="59" t="inlineStr">
        <is>
          <t>vps_crawl_sampling_master.xlsx</t>
        </is>
      </c>
    </row>
    <row r="91">
      <c r="A91" s="167" t="n">
        <v>46354</v>
      </c>
      <c r="B91" s="59" t="inlineStr">
        <is>
          <t>Thứ Bảy</t>
        </is>
      </c>
      <c r="C91" s="59" t="inlineStr">
        <is>
          <t>00:30</t>
        </is>
      </c>
      <c r="D91" s="167" t="n">
        <v>46373</v>
      </c>
      <c r="E91" s="167" t="n">
        <v>46376</v>
      </c>
      <c r="F91" s="167" t="n">
        <v>46380</v>
      </c>
      <c r="G91" s="167" t="n">
        <v>46365</v>
      </c>
      <c r="H91" s="167" t="n">
        <v>46411</v>
      </c>
      <c r="I91" s="59" t="inlineStr">
        <is>
          <t>vps_crawl_sampling_master.xlsx</t>
        </is>
      </c>
    </row>
    <row r="92">
      <c r="A92" s="167" t="n">
        <v>46355</v>
      </c>
      <c r="B92" s="59" t="inlineStr">
        <is>
          <t>Chủ Nhật</t>
        </is>
      </c>
      <c r="C92" s="59" t="inlineStr">
        <is>
          <t>00:30</t>
        </is>
      </c>
      <c r="D92" s="167" t="n">
        <v>46373</v>
      </c>
      <c r="E92" s="167" t="n">
        <v>46376</v>
      </c>
      <c r="F92" s="167" t="n">
        <v>46380</v>
      </c>
      <c r="G92" s="167" t="n">
        <v>46365</v>
      </c>
      <c r="H92" s="167" t="n">
        <v>46411</v>
      </c>
      <c r="I92" s="59" t="inlineStr">
        <is>
          <t>vps_crawl_sampling_master.xlsx</t>
        </is>
      </c>
    </row>
    <row r="93">
      <c r="A93" s="171" t="n">
        <v>46356</v>
      </c>
      <c r="B93" s="63" t="inlineStr">
        <is>
          <t>Thứ Hai</t>
        </is>
      </c>
      <c r="C93" s="63" t="inlineStr">
        <is>
          <t>00:30</t>
        </is>
      </c>
      <c r="D93" s="171" t="n">
        <v>46373</v>
      </c>
      <c r="E93" s="171" t="n">
        <v>46376</v>
      </c>
      <c r="F93" s="171" t="n">
        <v>46380</v>
      </c>
      <c r="G93" s="171" t="n">
        <v>46365</v>
      </c>
      <c r="H93" s="171" t="n">
        <v>46411</v>
      </c>
      <c r="I93" s="63" t="inlineStr">
        <is>
          <t>vps_crawl_sampling_master.xlsx</t>
        </is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5" customWidth="1" min="3" max="3"/>
    <col width="15" customWidth="1" min="4" max="4"/>
    <col width="13" customWidth="1" min="5" max="5"/>
    <col width="18" customWidth="1" min="6" max="6"/>
    <col width="60" customWidth="1" min="7" max="7"/>
    <col width="42" customWidth="1" min="8" max="8"/>
    <col width="56" customWidth="1" min="9" max="9"/>
  </cols>
  <sheetData>
    <row r="1" ht="30" customHeight="1">
      <c r="A1" s="25" t="inlineStr">
        <is>
          <t>QUY TẮC MÁY PHỤ — 12 SLOT NGÀY 02/09; 10 SLOT TỪ 03/09</t>
        </is>
      </c>
    </row>
    <row r="2">
      <c r="A2" s="26" t="n"/>
      <c r="B2" s="26" t="n"/>
      <c r="C2" s="26" t="n"/>
      <c r="D2" s="26" t="n"/>
      <c r="E2" s="26" t="n"/>
      <c r="F2" s="26" t="n"/>
      <c r="G2" s="26" t="n"/>
      <c r="H2" s="26" t="n"/>
      <c r="I2" s="26" t="n"/>
    </row>
    <row r="3" ht="30" customHeight="1">
      <c r="A3" s="9" t="inlineStr">
        <is>
          <t>Slot</t>
        </is>
      </c>
      <c r="B3" s="9" t="inlineStr">
        <is>
          <t>Vai trò</t>
        </is>
      </c>
      <c r="C3" s="9" t="inlineStr">
        <is>
          <t>Mục đích</t>
        </is>
      </c>
      <c r="D3" s="9" t="inlineStr">
        <is>
          <t>Anchor đầu</t>
        </is>
      </c>
      <c r="E3" s="9" t="inlineStr">
        <is>
          <t>Cycle (ngày)</t>
        </is>
      </c>
      <c r="F3" s="9" t="inlineStr">
        <is>
          <t>Weekday anchor</t>
        </is>
      </c>
      <c r="G3" s="9" t="inlineStr">
        <is>
          <t>Chuỗi anchor</t>
        </is>
      </c>
      <c r="H3" s="9" t="inlineStr">
        <is>
          <t>Điều kiện roll</t>
        </is>
      </c>
      <c r="I3" s="9" t="inlineStr">
        <is>
          <t>Kiểm tra bắt buộc</t>
        </is>
      </c>
    </row>
    <row r="4">
      <c r="A4" s="113" t="inlineStr">
        <is>
          <t>AN1</t>
        </is>
      </c>
      <c r="B4" s="113" t="inlineStr">
        <is>
          <t>Near — Friday</t>
        </is>
      </c>
      <c r="C4" s="114" t="inlineStr">
        <is>
          <t>Bổ sung Friday near phase 1</t>
        </is>
      </c>
      <c r="D4" s="175" t="n">
        <v>46269</v>
      </c>
      <c r="E4" s="114" t="n">
        <v>28</v>
      </c>
      <c r="F4" s="114" t="inlineStr">
        <is>
          <t>Thứ Sáu</t>
        </is>
      </c>
      <c r="G4" s="114" t="inlineStr">
        <is>
          <t>04/09/2026 → 02/10/2026 → 30/10/2026 → 27/11/2026 → 25/12/2026</t>
        </is>
      </c>
      <c r="H4" s="114" t="inlineStr">
        <is>
          <t>Giữ đến hết ngày check-in; roll khi check-in &lt; crawl date</t>
        </is>
      </c>
      <c r="I4" s="114" t="inlineStr">
        <is>
          <t>Ngày &gt;= crawl date; khác 11 slot aux; không thuộc local 12 hoặc VPS 5 cùng ngày crawl</t>
        </is>
      </c>
    </row>
    <row r="5">
      <c r="A5" s="140" t="inlineStr">
        <is>
          <t>AN2</t>
        </is>
      </c>
      <c r="B5" s="140" t="inlineStr">
        <is>
          <t>Ngừng từ 03/09</t>
        </is>
      </c>
      <c r="C5" s="141" t="inlineStr">
        <is>
          <t>Friday phase 2 chỉ giữ làm lịch sử cho lượt 02/09</t>
        </is>
      </c>
      <c r="D5" s="176" t="n">
        <v>46276</v>
      </c>
      <c r="E5" s="141" t="n">
        <v>28</v>
      </c>
      <c r="F5" s="141" t="inlineStr">
        <is>
          <t>Thứ Sáu</t>
        </is>
      </c>
      <c r="G5" s="141" t="inlineStr">
        <is>
          <t>11/09/2026 → 09/10/2026 → 06/11/2026 → 04/12/2026</t>
        </is>
      </c>
      <c r="H5" s="141" t="inlineStr">
        <is>
          <t>Không roll sau 02/09</t>
        </is>
      </c>
      <c r="I5" s="141" t="inlineStr">
        <is>
          <t>Không chọn từ 03/09</t>
        </is>
      </c>
    </row>
    <row r="6">
      <c r="A6" s="140" t="inlineStr">
        <is>
          <t>AN3</t>
        </is>
      </c>
      <c r="B6" s="140" t="inlineStr">
        <is>
          <t>Ngừng từ 03/09</t>
        </is>
      </c>
      <c r="C6" s="141" t="inlineStr">
        <is>
          <t>Friday phase 3 chỉ giữ làm lịch sử cho lượt 02/09</t>
        </is>
      </c>
      <c r="D6" s="176" t="n">
        <v>46283</v>
      </c>
      <c r="E6" s="141" t="n">
        <v>28</v>
      </c>
      <c r="F6" s="141" t="inlineStr">
        <is>
          <t>Thứ Sáu</t>
        </is>
      </c>
      <c r="G6" s="141" t="inlineStr">
        <is>
          <t>18/09/2026 → 16/10/2026 → 13/11/2026 → 11/12/2026</t>
        </is>
      </c>
      <c r="H6" s="141" t="inlineStr">
        <is>
          <t>Không roll sau 02/09</t>
        </is>
      </c>
      <c r="I6" s="141" t="inlineStr">
        <is>
          <t>Không chọn từ 03/09</t>
        </is>
      </c>
    </row>
    <row r="7">
      <c r="A7" s="116" t="inlineStr">
        <is>
          <t>AN4</t>
        </is>
      </c>
      <c r="B7" s="116" t="inlineStr">
        <is>
          <t>Near — Friday</t>
        </is>
      </c>
      <c r="C7" s="117" t="inlineStr">
        <is>
          <t>Bổ sung Friday near phase 4</t>
        </is>
      </c>
      <c r="D7" s="177" t="n">
        <v>46290</v>
      </c>
      <c r="E7" s="117" t="n">
        <v>28</v>
      </c>
      <c r="F7" s="117" t="inlineStr">
        <is>
          <t>Thứ Sáu</t>
        </is>
      </c>
      <c r="G7" s="117" t="inlineStr">
        <is>
          <t>25/09/2026 → 23/10/2026 → 20/11/2026 → 18/12/2026</t>
        </is>
      </c>
      <c r="H7" s="117" t="inlineStr">
        <is>
          <t>Giữ đến hết ngày check-in; roll khi check-in &lt; crawl date</t>
        </is>
      </c>
      <c r="I7" s="117" t="inlineStr">
        <is>
          <t>Ngày &gt;= crawl date; khác 11 slot aux; không thuộc local 12 hoặc VPS 5 cùng ngày crawl</t>
        </is>
      </c>
    </row>
    <row r="8">
      <c r="A8" s="116" t="inlineStr">
        <is>
          <t>AN5</t>
        </is>
      </c>
      <c r="B8" s="116" t="inlineStr">
        <is>
          <t>Near — Monday</t>
        </is>
      </c>
      <c r="C8" s="117" t="inlineStr">
        <is>
          <t>Cân bằng Monday ở dải lead 0–27</t>
        </is>
      </c>
      <c r="D8" s="177" t="n">
        <v>46272</v>
      </c>
      <c r="E8" s="117" t="n">
        <v>28</v>
      </c>
      <c r="F8" s="117" t="inlineStr">
        <is>
          <t>Thứ Hai</t>
        </is>
      </c>
      <c r="G8" s="117" t="inlineStr">
        <is>
          <t>07/09/2026 → 05/10/2026 → 02/11/2026 → 30/11/2026 → 28/12/2026</t>
        </is>
      </c>
      <c r="H8" s="117" t="inlineStr">
        <is>
          <t>Giữ đến hết ngày check-in; roll khi check-in &lt; crawl date</t>
        </is>
      </c>
      <c r="I8" s="117" t="inlineStr">
        <is>
          <t>Ngày &gt;= crawl date; khác 11 slot aux; không thuộc local 12 hoặc VPS 5 cùng ngày crawl</t>
        </is>
      </c>
    </row>
    <row r="9">
      <c r="A9" s="116" t="inlineStr">
        <is>
          <t>AN6</t>
        </is>
      </c>
      <c r="B9" s="116" t="inlineStr">
        <is>
          <t>Near — Monday</t>
        </is>
      </c>
      <c r="C9" s="117" t="inlineStr">
        <is>
          <t>Cân bằng Monday, lệch phase AN5</t>
        </is>
      </c>
      <c r="D9" s="177" t="n">
        <v>46286</v>
      </c>
      <c r="E9" s="117" t="n">
        <v>28</v>
      </c>
      <c r="F9" s="117" t="inlineStr">
        <is>
          <t>Thứ Hai</t>
        </is>
      </c>
      <c r="G9" s="117" t="inlineStr">
        <is>
          <t>21/09/2026 → 19/10/2026 → 16/11/2026 → 14/12/2026</t>
        </is>
      </c>
      <c r="H9" s="117" t="inlineStr">
        <is>
          <t>Giữ đến hết ngày check-in; roll khi check-in &lt; crawl date</t>
        </is>
      </c>
      <c r="I9" s="117" t="inlineStr">
        <is>
          <t>Ngày &gt;= crawl date; khác 11 slot aux; không thuộc local 12 hoặc VPS 5 cùng ngày crawl</t>
        </is>
      </c>
    </row>
    <row r="10">
      <c r="A10" s="116" t="inlineStr">
        <is>
          <t>AN7</t>
        </is>
      </c>
      <c r="B10" s="116" t="inlineStr">
        <is>
          <t>Near — Tuesday</t>
        </is>
      </c>
      <c r="C10" s="117" t="inlineStr">
        <is>
          <t>Cân bằng Tuesday ở dải lead 0–27</t>
        </is>
      </c>
      <c r="D10" s="177" t="n">
        <v>46273</v>
      </c>
      <c r="E10" s="117" t="n">
        <v>28</v>
      </c>
      <c r="F10" s="117" t="inlineStr">
        <is>
          <t>Thứ Ba</t>
        </is>
      </c>
      <c r="G10" s="117" t="inlineStr">
        <is>
          <t>08/09/2026 → 06/10/2026 → 03/11/2026 → 01/12/2026</t>
        </is>
      </c>
      <c r="H10" s="117" t="inlineStr">
        <is>
          <t>Giữ đến hết ngày check-in; roll khi check-in &lt; crawl date</t>
        </is>
      </c>
      <c r="I10" s="117" t="inlineStr">
        <is>
          <t>Ngày &gt;= crawl date; khác 11 slot aux; không thuộc local 12 hoặc VPS 5 cùng ngày crawl</t>
        </is>
      </c>
    </row>
    <row r="11">
      <c r="A11" s="116" t="inlineStr">
        <is>
          <t>AN8</t>
        </is>
      </c>
      <c r="B11" s="116" t="inlineStr">
        <is>
          <t>Near — Tuesday</t>
        </is>
      </c>
      <c r="C11" s="117" t="inlineStr">
        <is>
          <t>Cân bằng Tuesday, lệch phase AN7</t>
        </is>
      </c>
      <c r="D11" s="177" t="n">
        <v>46280</v>
      </c>
      <c r="E11" s="117" t="n">
        <v>28</v>
      </c>
      <c r="F11" s="117" t="inlineStr">
        <is>
          <t>Thứ Ba</t>
        </is>
      </c>
      <c r="G11" s="117" t="inlineStr">
        <is>
          <t>15/09/2026 → 13/10/2026 → 10/11/2026 → 08/12/2026</t>
        </is>
      </c>
      <c r="H11" s="117" t="inlineStr">
        <is>
          <t>Giữ đến hết ngày check-in; roll khi check-in &lt; crawl date</t>
        </is>
      </c>
      <c r="I11" s="117" t="inlineStr">
        <is>
          <t>Ngày &gt;= crawl date; khác 11 slot aux; không thuộc local 12 hoặc VPS 5 cùng ngày crawl</t>
        </is>
      </c>
    </row>
    <row r="12">
      <c r="A12" s="116" t="inlineStr">
        <is>
          <t>AN9</t>
        </is>
      </c>
      <c r="B12" s="116" t="inlineStr">
        <is>
          <t>Near — Sunday</t>
        </is>
      </c>
      <c r="C12" s="117" t="inlineStr">
        <is>
          <t>Đưa Sunday lên mức phủ cân bằng</t>
        </is>
      </c>
      <c r="D12" s="177" t="n">
        <v>46285</v>
      </c>
      <c r="E12" s="117" t="n">
        <v>28</v>
      </c>
      <c r="F12" s="117" t="inlineStr">
        <is>
          <t>Chủ Nhật</t>
        </is>
      </c>
      <c r="G12" s="117" t="inlineStr">
        <is>
          <t>20/09/2026 → 18/10/2026 → 15/11/2026 → 13/12/2026</t>
        </is>
      </c>
      <c r="H12" s="117" t="inlineStr">
        <is>
          <t>Giữ đến hết ngày check-in; roll khi check-in &lt; crawl date</t>
        </is>
      </c>
      <c r="I12" s="117" t="inlineStr">
        <is>
          <t>Ngày &gt;= crawl date; khác 11 slot aux; không thuộc local 12 hoặc VPS 5 cùng ngày crawl</t>
        </is>
      </c>
    </row>
    <row r="13">
      <c r="A13" s="116" t="inlineStr">
        <is>
          <t>AF1</t>
        </is>
      </c>
      <c r="B13" s="116" t="inlineStr">
        <is>
          <t>Far — Monday</t>
        </is>
      </c>
      <c r="C13" s="117" t="inlineStr">
        <is>
          <t>Phủ lead time 0–69 và Monday vùng medium/far</t>
        </is>
      </c>
      <c r="D13" s="177" t="n">
        <v>46321</v>
      </c>
      <c r="E13" s="117" t="n">
        <v>70</v>
      </c>
      <c r="F13" s="117" t="inlineStr">
        <is>
          <t>Thứ Hai</t>
        </is>
      </c>
      <c r="G13" s="117" t="inlineStr">
        <is>
          <t>26/10/2026 → 04/01/2027</t>
        </is>
      </c>
      <c r="H13" s="117" t="inlineStr">
        <is>
          <t>Giữ đến hết ngày check-in; roll khi check-in &lt; crawl date</t>
        </is>
      </c>
      <c r="I13" s="117" t="inlineStr">
        <is>
          <t>Ngày &gt;= crawl date; khác 11 slot aux; không thuộc local 12 hoặc VPS 5 cùng ngày crawl</t>
        </is>
      </c>
    </row>
    <row r="14">
      <c r="A14" s="116" t="inlineStr">
        <is>
          <t>AF2</t>
        </is>
      </c>
      <c r="B14" s="116" t="inlineStr">
        <is>
          <t>Far — Tuesday</t>
        </is>
      </c>
      <c r="C14" s="117" t="inlineStr">
        <is>
          <t>Phủ lead time 0–97 và Tuesday vùng far</t>
        </is>
      </c>
      <c r="D14" s="177" t="n">
        <v>46350</v>
      </c>
      <c r="E14" s="117" t="n">
        <v>98</v>
      </c>
      <c r="F14" s="117" t="inlineStr">
        <is>
          <t>Thứ Ba</t>
        </is>
      </c>
      <c r="G14" s="117" t="inlineStr">
        <is>
          <t>24/11/2026 → 02/03/2027</t>
        </is>
      </c>
      <c r="H14" s="117" t="inlineStr">
        <is>
          <t>Giữ đến hết ngày check-in; roll khi check-in &lt; crawl date</t>
        </is>
      </c>
      <c r="I14" s="117" t="inlineStr">
        <is>
          <t>Ngày &gt;= crawl date; khác 11 slot aux; không thuộc local 12 hoặc VPS 5 cùng ngày crawl</t>
        </is>
      </c>
    </row>
    <row r="15">
      <c r="A15" s="119" t="inlineStr">
        <is>
          <t>AF3</t>
        </is>
      </c>
      <c r="B15" s="119" t="inlineStr">
        <is>
          <t>Far — Thursday</t>
        </is>
      </c>
      <c r="C15" s="120" t="inlineStr">
        <is>
          <t>Theo dõi dài hạn, lead time 66–155 trong cửa sổ</t>
        </is>
      </c>
      <c r="D15" s="178" t="n">
        <v>46422</v>
      </c>
      <c r="E15" s="120" t="n">
        <v>175</v>
      </c>
      <c r="F15" s="120" t="inlineStr">
        <is>
          <t>Thứ Năm</t>
        </is>
      </c>
      <c r="G15" s="120" t="inlineStr">
        <is>
          <t>04/02/2027</t>
        </is>
      </c>
      <c r="H15" s="120" t="inlineStr">
        <is>
          <t>Giữ đến hết ngày check-in; roll khi check-in &lt; crawl date</t>
        </is>
      </c>
      <c r="I15" s="120" t="inlineStr">
        <is>
          <t>Ngày &gt;= crawl date; khác 11 slot aux; không thuộc local 12 hoặc VPS 5 cùng ngày crawl</t>
        </is>
      </c>
    </row>
    <row r="16">
      <c r="A16" s="26" t="n"/>
      <c r="B16" s="26" t="n"/>
      <c r="C16" s="26" t="n"/>
      <c r="D16" s="26" t="n"/>
      <c r="E16" s="26" t="n"/>
      <c r="F16" s="26" t="n"/>
      <c r="G16" s="26" t="n"/>
      <c r="H16" s="26" t="n"/>
      <c r="I16" s="26" t="n"/>
    </row>
    <row r="17">
      <c r="A17" s="122" t="inlineStr">
        <is>
          <t>Quy tắc chung</t>
        </is>
      </c>
      <c r="B17" s="122" t="inlineStr">
        <is>
          <t>Không random hằng ngày</t>
        </is>
      </c>
      <c r="C17" s="122" t="inlineStr">
        <is>
          <t>02/09 có 12 slot; từ 03/09 có 10 slot active (7 near + 3 far)</t>
        </is>
      </c>
      <c r="D17" s="122" t="n"/>
      <c r="E17" s="122" t="n"/>
      <c r="F17" s="122" t="n"/>
      <c r="G17" s="122" t="n"/>
      <c r="H17" s="122" t="n"/>
      <c r="I17" s="122" t="n"/>
    </row>
    <row r="18">
      <c r="A18" s="123" t="inlineStr">
        <is>
          <t>Lead time 0</t>
        </is>
      </c>
      <c r="B18" s="123" t="inlineStr">
        <is>
          <t>Hợp lệ</t>
        </is>
      </c>
      <c r="C18" s="123" t="inlineStr">
        <is>
          <t>Chỉ roll từ ngày sau check-in</t>
        </is>
      </c>
      <c r="D18" s="123" t="n"/>
      <c r="E18" s="123" t="n"/>
      <c r="F18" s="123" t="n"/>
      <c r="G18" s="123" t="n"/>
      <c r="H18" s="123" t="n"/>
      <c r="I18" s="123" t="n"/>
    </row>
    <row r="19">
      <c r="A19" s="123" t="inlineStr">
        <is>
          <t>Nguồn thứ ba</t>
        </is>
      </c>
      <c r="B19" s="123" t="inlineStr">
        <is>
          <t>local_aux</t>
        </is>
      </c>
      <c r="C19" s="123" t="inlineStr">
        <is>
          <t>Không dùng chung source_code với local_primary hoặc VPS trong warehouse</t>
        </is>
      </c>
      <c r="D19" s="123" t="n"/>
      <c r="E19" s="123" t="n"/>
      <c r="F19" s="123" t="n"/>
      <c r="G19" s="123" t="n"/>
      <c r="H19" s="123" t="n"/>
      <c r="I19" s="123" t="n"/>
    </row>
    <row r="20">
      <c r="A20" s="124" t="inlineStr">
        <is>
          <t>Gate vận hành</t>
        </is>
      </c>
      <c r="B20" s="124" t="inlineStr">
        <is>
          <t>Bắt buộc</t>
        </is>
      </c>
      <c r="C20" s="124" t="inlineStr">
        <is>
          <t>Theo dõi capacity thực tế; dead-link two-confirmation vẫn là remediation riêng</t>
        </is>
      </c>
      <c r="D20" s="124" t="n"/>
      <c r="E20" s="124" t="n"/>
      <c r="F20" s="124" t="n"/>
      <c r="G20" s="124" t="n"/>
      <c r="H20" s="124" t="n"/>
      <c r="I20" s="124" t="n"/>
    </row>
  </sheetData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</cols>
  <sheetData>
    <row r="1" ht="30" customHeight="1">
      <c r="A1" s="3" t="inlineStr">
        <is>
          <t>LABEL-YIELD PROXY — 02/09 CÓ 12 SLOT; TỪ 03/09 CÓ 10 SLOT</t>
        </is>
      </c>
    </row>
    <row r="2">
      <c r="A2" s="36" t="inlineStr">
        <is>
          <t>AN2/AN3 chỉ chạy ngày 02/09 nên chưa đủ 3 run để tạo label proxy; từ 03/09 còn 7 near + 3 far. Đây là upper bound, không phải số label đảm bảo.</t>
        </is>
      </c>
    </row>
    <row r="3" ht="30" customHeight="1">
      <c r="A3" s="9" t="inlineStr">
        <is>
          <t>Slot</t>
        </is>
      </c>
      <c r="B3" s="9" t="inlineStr">
        <is>
          <t>Role</t>
        </is>
      </c>
      <c r="C3" s="9" t="inlineStr">
        <is>
          <t>Cycle</t>
        </is>
      </c>
      <c r="D3" s="9" t="inlineStr">
        <is>
          <t>Min lead</t>
        </is>
      </c>
      <c r="E3" s="9" t="inlineStr">
        <is>
          <t>Max lead</t>
        </is>
      </c>
      <c r="F3" s="9" t="inlineStr">
        <is>
          <t>h1</t>
        </is>
      </c>
      <c r="G3" s="9" t="inlineStr">
        <is>
          <t>h3</t>
        </is>
      </c>
      <c r="H3" s="9" t="inlineStr">
        <is>
          <t>h7 / h14</t>
        </is>
      </c>
    </row>
    <row r="4">
      <c r="A4" s="77" t="inlineStr">
        <is>
          <t>AN1</t>
        </is>
      </c>
      <c r="B4" s="55" t="inlineStr">
        <is>
          <t>Near — Friday</t>
        </is>
      </c>
      <c r="C4" s="130" t="n">
        <v>28</v>
      </c>
      <c r="D4" s="130" t="n">
        <v>0</v>
      </c>
      <c r="E4" s="130" t="n">
        <v>27</v>
      </c>
      <c r="F4" s="130" t="n">
        <v>72</v>
      </c>
      <c r="G4" s="130" t="n">
        <v>66</v>
      </c>
      <c r="H4" s="55" t="inlineStr">
        <is>
          <t>54 / 33</t>
        </is>
      </c>
    </row>
    <row r="5">
      <c r="A5" s="146" t="inlineStr">
        <is>
          <t>AN2</t>
        </is>
      </c>
      <c r="B5" s="147" t="inlineStr">
        <is>
          <t>Inactive after 02/09</t>
        </is>
      </c>
      <c r="C5" s="148" t="n">
        <v>28</v>
      </c>
      <c r="D5" s="148" t="n">
        <v>0</v>
      </c>
      <c r="E5" s="148" t="n">
        <v>27</v>
      </c>
      <c r="F5" s="148" t="n">
        <v>0</v>
      </c>
      <c r="G5" s="148" t="n">
        <v>0</v>
      </c>
      <c r="H5" s="147" t="inlineStr">
        <is>
          <t>0 / 0</t>
        </is>
      </c>
    </row>
    <row r="6">
      <c r="A6" s="146" t="inlineStr">
        <is>
          <t>AN3</t>
        </is>
      </c>
      <c r="B6" s="147" t="inlineStr">
        <is>
          <t>Inactive after 02/09</t>
        </is>
      </c>
      <c r="C6" s="148" t="n">
        <v>28</v>
      </c>
      <c r="D6" s="148" t="n">
        <v>0</v>
      </c>
      <c r="E6" s="148" t="n">
        <v>27</v>
      </c>
      <c r="F6" s="148" t="n">
        <v>0</v>
      </c>
      <c r="G6" s="148" t="n">
        <v>0</v>
      </c>
      <c r="H6" s="147" t="inlineStr">
        <is>
          <t>0 / 0</t>
        </is>
      </c>
    </row>
    <row r="7">
      <c r="A7" s="83" t="inlineStr">
        <is>
          <t>AN4</t>
        </is>
      </c>
      <c r="B7" s="59" t="inlineStr">
        <is>
          <t>Near — Friday</t>
        </is>
      </c>
      <c r="C7" s="131" t="n">
        <v>28</v>
      </c>
      <c r="D7" s="131" t="n">
        <v>0</v>
      </c>
      <c r="E7" s="131" t="n">
        <v>27</v>
      </c>
      <c r="F7" s="131" t="n">
        <v>74</v>
      </c>
      <c r="G7" s="131" t="n">
        <v>66</v>
      </c>
      <c r="H7" s="59" t="inlineStr">
        <is>
          <t>50 / 29</t>
        </is>
      </c>
    </row>
    <row r="8">
      <c r="A8" s="83" t="inlineStr">
        <is>
          <t>AN5</t>
        </is>
      </c>
      <c r="B8" s="59" t="inlineStr">
        <is>
          <t>Near — Monday</t>
        </is>
      </c>
      <c r="C8" s="131" t="n">
        <v>28</v>
      </c>
      <c r="D8" s="131" t="n">
        <v>0</v>
      </c>
      <c r="E8" s="131" t="n">
        <v>27</v>
      </c>
      <c r="F8" s="131" t="n">
        <v>74</v>
      </c>
      <c r="G8" s="131" t="n">
        <v>66</v>
      </c>
      <c r="H8" s="59" t="inlineStr">
        <is>
          <t>54 / 33</t>
        </is>
      </c>
    </row>
    <row r="9">
      <c r="A9" s="83" t="inlineStr">
        <is>
          <t>AN6</t>
        </is>
      </c>
      <c r="B9" s="59" t="inlineStr">
        <is>
          <t>Near — Monday</t>
        </is>
      </c>
      <c r="C9" s="131" t="n">
        <v>28</v>
      </c>
      <c r="D9" s="131" t="n">
        <v>0</v>
      </c>
      <c r="E9" s="131" t="n">
        <v>27</v>
      </c>
      <c r="F9" s="131" t="n">
        <v>74</v>
      </c>
      <c r="G9" s="131" t="n">
        <v>66</v>
      </c>
      <c r="H9" s="59" t="inlineStr">
        <is>
          <t>50 / 25</t>
        </is>
      </c>
    </row>
    <row r="10">
      <c r="A10" s="83" t="inlineStr">
        <is>
          <t>AN7</t>
        </is>
      </c>
      <c r="B10" s="59" t="inlineStr">
        <is>
          <t>Near — Tuesday</t>
        </is>
      </c>
      <c r="C10" s="131" t="n">
        <v>28</v>
      </c>
      <c r="D10" s="131" t="n">
        <v>0</v>
      </c>
      <c r="E10" s="131" t="n">
        <v>27</v>
      </c>
      <c r="F10" s="131" t="n">
        <v>74</v>
      </c>
      <c r="G10" s="131" t="n">
        <v>66</v>
      </c>
      <c r="H10" s="59" t="inlineStr">
        <is>
          <t>53 / 32</t>
        </is>
      </c>
    </row>
    <row r="11">
      <c r="A11" s="83" t="inlineStr">
        <is>
          <t>AN8</t>
        </is>
      </c>
      <c r="B11" s="59" t="inlineStr">
        <is>
          <t>Near — Tuesday</t>
        </is>
      </c>
      <c r="C11" s="131" t="n">
        <v>28</v>
      </c>
      <c r="D11" s="131" t="n">
        <v>0</v>
      </c>
      <c r="E11" s="131" t="n">
        <v>27</v>
      </c>
      <c r="F11" s="131" t="n">
        <v>74</v>
      </c>
      <c r="G11" s="131" t="n">
        <v>66</v>
      </c>
      <c r="H11" s="59" t="inlineStr">
        <is>
          <t>50 / 25</t>
        </is>
      </c>
    </row>
    <row r="12">
      <c r="A12" s="83" t="inlineStr">
        <is>
          <t>AN9</t>
        </is>
      </c>
      <c r="B12" s="59" t="inlineStr">
        <is>
          <t>Near — Sunday</t>
        </is>
      </c>
      <c r="C12" s="131" t="n">
        <v>28</v>
      </c>
      <c r="D12" s="131" t="n">
        <v>0</v>
      </c>
      <c r="E12" s="131" t="n">
        <v>27</v>
      </c>
      <c r="F12" s="131" t="n">
        <v>74</v>
      </c>
      <c r="G12" s="131" t="n">
        <v>66</v>
      </c>
      <c r="H12" s="59" t="inlineStr">
        <is>
          <t>50 / 24</t>
        </is>
      </c>
    </row>
    <row r="13">
      <c r="A13" s="83" t="inlineStr">
        <is>
          <t>AF1</t>
        </is>
      </c>
      <c r="B13" s="59" t="inlineStr">
        <is>
          <t>Far — Monday</t>
        </is>
      </c>
      <c r="C13" s="131" t="n">
        <v>70</v>
      </c>
      <c r="D13" s="131" t="n">
        <v>0</v>
      </c>
      <c r="E13" s="131" t="n">
        <v>69</v>
      </c>
      <c r="F13" s="131" t="n">
        <v>82</v>
      </c>
      <c r="G13" s="131" t="n">
        <v>78</v>
      </c>
      <c r="H13" s="59" t="inlineStr">
        <is>
          <t>70 / 56</t>
        </is>
      </c>
    </row>
    <row r="14">
      <c r="A14" s="83" t="inlineStr">
        <is>
          <t>AF2</t>
        </is>
      </c>
      <c r="B14" s="59" t="inlineStr">
        <is>
          <t>Far — Tuesday</t>
        </is>
      </c>
      <c r="C14" s="131" t="n">
        <v>98</v>
      </c>
      <c r="D14" s="131" t="n">
        <v>0</v>
      </c>
      <c r="E14" s="131" t="n">
        <v>97</v>
      </c>
      <c r="F14" s="131" t="n">
        <v>82</v>
      </c>
      <c r="G14" s="131" t="n">
        <v>78</v>
      </c>
      <c r="H14" s="59" t="inlineStr">
        <is>
          <t>74 / 67</t>
        </is>
      </c>
    </row>
    <row r="15">
      <c r="A15" s="83" t="inlineStr">
        <is>
          <t>AF3</t>
        </is>
      </c>
      <c r="B15" s="59" t="inlineStr">
        <is>
          <t>Far — Thursday</t>
        </is>
      </c>
      <c r="C15" s="131" t="n">
        <v>175</v>
      </c>
      <c r="D15" s="131" t="n">
        <v>66</v>
      </c>
      <c r="E15" s="131" t="n">
        <v>155</v>
      </c>
      <c r="F15" s="131" t="n">
        <v>86</v>
      </c>
      <c r="G15" s="131" t="n">
        <v>84</v>
      </c>
      <c r="H15" s="59" t="inlineStr">
        <is>
          <t>80 / 73</t>
        </is>
      </c>
    </row>
    <row r="16">
      <c r="A16" s="129" t="inlineStr">
        <is>
          <t>TOTAL</t>
        </is>
      </c>
      <c r="B16" s="129" t="n"/>
      <c r="C16" s="132" t="n"/>
      <c r="D16" s="132" t="n"/>
      <c r="E16" s="132" t="n"/>
      <c r="F16" s="132" t="n">
        <v>766</v>
      </c>
      <c r="G16" s="132" t="n">
        <v>702</v>
      </c>
      <c r="H16" s="129" t="inlineStr">
        <is>
          <t>585 / 397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42" customWidth="1" min="3" max="3"/>
    <col width="52" customWidth="1" min="4" max="4"/>
  </cols>
  <sheetData>
    <row r="1" ht="30" customHeight="1">
      <c r="A1" s="25" t="inlineStr">
        <is>
          <t>HƯỚNG DẪN SỬ DỤNG LỊCH CRAWL MÁY PHỤ</t>
        </is>
      </c>
    </row>
    <row r="2">
      <c r="A2" s="26" t="n"/>
      <c r="B2" s="26" t="n"/>
      <c r="C2" s="26" t="n"/>
      <c r="D2" s="26" t="n"/>
    </row>
    <row r="3" ht="30" customHeight="1">
      <c r="A3" s="9" t="inlineStr">
        <is>
          <t>Bước</t>
        </is>
      </c>
      <c r="B3" s="9" t="inlineStr">
        <is>
          <t>Thao tác</t>
        </is>
      </c>
      <c r="C3" s="9" t="inlineStr">
        <is>
          <t>Kết quả mong đợi</t>
        </is>
      </c>
      <c r="D3" s="9" t="inlineStr">
        <is>
          <t>Lưu ý</t>
        </is>
      </c>
    </row>
    <row r="4">
      <c r="A4" s="113" t="n">
        <v>1</v>
      </c>
      <c r="B4" s="114" t="inlineStr">
        <is>
          <t>Xác nhận SUMMARY: benchmark và dead-link gate đã PASS</t>
        </is>
      </c>
      <c r="C4" s="114" t="inlineStr">
        <is>
          <t>Máy phụ sẵn sàng vận hành</t>
        </is>
      </c>
      <c r="D4" s="114" t="inlineStr">
        <is>
          <t>Không bỏ qua hai gate PENDING</t>
        </is>
      </c>
    </row>
    <row r="5">
      <c r="A5" s="116" t="n">
        <v>2</v>
      </c>
      <c r="B5" s="117" t="inlineStr">
        <is>
          <t>Mở AUX_CRAWL_PLAN và tìm Crawl date hôm nay</t>
        </is>
      </c>
      <c r="C5" s="117" t="inlineStr">
        <is>
          <t>02/09 có 12 ngày; từ 03/09 có đúng 10 ngày active</t>
        </is>
      </c>
      <c r="D5" s="117" t="inlineStr">
        <is>
          <t>AN2/AN3 để trống từ 03/09; các cột kiểm tra phải PASS</t>
        </is>
      </c>
    </row>
    <row r="6">
      <c r="A6" s="116" t="n">
        <v>3</v>
      </c>
      <c r="B6" s="117" t="inlineStr">
        <is>
          <t>Mở web scraper trên máy local phụ</t>
        </is>
      </c>
      <c r="C6" s="117" t="inlineStr">
        <is>
          <t>Trang nhập file/ngày check-in sẵn sàng</t>
        </is>
      </c>
      <c r="D6" s="117" t="inlineStr">
        <is>
          <t>Đây không phải VPS hotel.projecthub.io.vn</t>
        </is>
      </c>
    </row>
    <row r="7">
      <c r="A7" s="116" t="n">
        <v>4</v>
      </c>
      <c r="B7" s="117" t="inlineStr">
        <is>
          <t>Upload link_hotel_data_expanded.xlsx</t>
        </is>
      </c>
      <c r="C7" s="117" t="inlineStr">
        <is>
          <t>354 khách sạn hợp lệ (cohort v2)</t>
        </is>
      </c>
      <c r="D7" s="117" t="inlineStr">
        <is>
          <t>Dùng đúng cohort hiện hành; dữ liệu cohort v1 vẫn giữ lịch sử</t>
        </is>
      </c>
    </row>
    <row r="8">
      <c r="A8" s="116" t="n">
        <v>5</v>
      </c>
      <c r="B8" s="117" t="inlineStr">
        <is>
          <t>Chọn đúng các ngày không trống trong dòng hôm nay</t>
        </is>
      </c>
      <c r="C8" s="117" t="inlineStr">
        <is>
          <t>02/09: 4.248 item; từ 03/09: 3.540 item</t>
        </is>
      </c>
      <c r="D8" s="117" t="inlineStr">
        <is>
          <t>Từ 03/09 chọn AN1, AN4–AN9 và AF1–AF3; không tự thay ngày</t>
        </is>
      </c>
    </row>
    <row r="9">
      <c r="A9" s="116" t="n">
        <v>6</v>
      </c>
      <c r="B9" s="117" t="inlineStr">
        <is>
          <t>Tắt lưu screenshot/HTML nếu không cần audit</t>
        </is>
      </c>
      <c r="C9" s="117" t="inlineStr">
        <is>
          <t>Không tích luỹ artifact không cần thiết</t>
        </is>
      </c>
      <c r="D9" s="117" t="inlineStr">
        <is>
          <t>Artifact không phải feature train</t>
        </is>
      </c>
    </row>
    <row r="10">
      <c r="A10" s="116" t="n">
        <v>7</v>
      </c>
      <c r="B10" s="117" t="inlineStr">
        <is>
          <t>Bắt đầu crawl và theo dõi run</t>
        </is>
      </c>
      <c r="C10" s="117" t="inlineStr">
        <is>
          <t>Worker hoàn tất trước lượt hôm sau</t>
        </is>
      </c>
      <c r="D10" s="117" t="inlineStr">
        <is>
          <t>Không chạy chồng backlog</t>
        </is>
      </c>
    </row>
    <row r="11">
      <c r="A11" s="116" t="n">
        <v>8</v>
      </c>
      <c r="B11" s="117" t="inlineStr">
        <is>
          <t>Khi kết thúc, cập nhật CRAWL_LOG</t>
        </is>
      </c>
      <c r="C11" s="117" t="inlineStr">
        <is>
          <t>Có run id, thời gian và aggregate</t>
        </is>
      </c>
      <c r="D11" s="117" t="inlineStr">
        <is>
          <t>Hoàn thành có lỗi vẫn phải ghi số liệu</t>
        </is>
      </c>
    </row>
    <row r="12">
      <c r="A12" s="119" t="n">
        <v>9</v>
      </c>
      <c r="B12" s="120" t="inlineStr">
        <is>
          <t>Nếu lịch local/VPS thay đổi, tái sinh workbook</t>
        </is>
      </c>
      <c r="C12" s="120" t="inlineStr">
        <is>
          <t>Collision checks vẫn có giá trị</t>
        </is>
      </c>
      <c r="D12" s="120" t="inlineStr">
        <is>
          <t>Không sửa LOCAL_REFERENCE/VPS_REFERENCE bằng tay</t>
        </is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2026-10-01T17:37:31Z</dcterms:created>
  <dcterms:modified xmlns:dcterms="http://purl.org/dc/terms/" xmlns:xsi="http://www.w3.org/2001/XMLSchema-instance" xsi:type="dcterms:W3CDTF">2026-10-13T11:13:19Z</dcterms:modified>
</cp:coreProperties>
</file>