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COUNTIFS('CRAWL_LOG'!B4:B93,"Hoàn thành")+COUNTIFS('CRAWL_LOG'!B4:B93,"Hoàn thành có lỗi")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8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46286.80991675926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Hoàn thành có lỗi</t>
        </is>
      </c>
      <c r="C24" s="59" t="inlineStr">
        <is>
          <t>21</t>
        </is>
      </c>
      <c r="D24" s="168" t="n">
        <v>46287.02310820602</v>
      </c>
      <c r="E24" s="168" t="n">
        <v>46287.81497712963</v>
      </c>
      <c r="F24" s="169">
        <f>IF(AND(D24&lt;&gt;"",E24&lt;&gt;""),(E24-D24)*24,"")</f>
        <v/>
      </c>
      <c r="G24" s="170" t="n">
        <v>3540</v>
      </c>
      <c r="H24" s="170" t="n">
        <v>3540</v>
      </c>
      <c r="I24" s="170" t="n">
        <v>3149</v>
      </c>
      <c r="J24" s="170" t="n">
        <v>0</v>
      </c>
      <c r="K24" s="170" t="n">
        <v>331</v>
      </c>
      <c r="L24" s="170" t="n">
        <v>40</v>
      </c>
      <c r="M24" s="170" t="n">
        <v>20</v>
      </c>
      <c r="N24" s="170" t="n">
        <v>28858</v>
      </c>
      <c r="O24" s="170" t="n">
        <v>10</v>
      </c>
      <c r="P24" s="59" t="inlineStr">
        <is>
          <t>local_aux</t>
        </is>
      </c>
      <c r="Q24" s="59" t="inlineStr">
        <is>
          <t>Scheduled run 21 terminal</t>
        </is>
      </c>
    </row>
    <row r="25">
      <c r="A25" s="167" t="n">
        <v>46288</v>
      </c>
      <c r="B25" s="59" t="inlineStr">
        <is>
          <t>Hoàn thành có lỗi</t>
        </is>
      </c>
      <c r="C25" s="59" t="inlineStr">
        <is>
          <t>22</t>
        </is>
      </c>
      <c r="D25" s="168" t="n">
        <v>46288.02336306713</v>
      </c>
      <c r="E25" s="168" t="n">
        <v>46288.80762245371</v>
      </c>
      <c r="F25" s="169">
        <f>IF(AND(D25&lt;&gt;"",E25&lt;&gt;""),(E25-D25)*24,"")</f>
        <v/>
      </c>
      <c r="G25" s="170" t="n">
        <v>3540</v>
      </c>
      <c r="H25" s="170" t="n">
        <v>3540</v>
      </c>
      <c r="I25" s="170" t="n">
        <v>3148</v>
      </c>
      <c r="J25" s="170" t="n">
        <v>0</v>
      </c>
      <c r="K25" s="170" t="n">
        <v>342</v>
      </c>
      <c r="L25" s="170" t="n">
        <v>30</v>
      </c>
      <c r="M25" s="170" t="n">
        <v>20</v>
      </c>
      <c r="N25" s="170" t="n">
        <v>28828</v>
      </c>
      <c r="O25" s="170" t="n">
        <v>10</v>
      </c>
      <c r="P25" s="59" t="inlineStr">
        <is>
          <t>local_aux</t>
        </is>
      </c>
      <c r="Q25" s="59" t="inlineStr">
        <is>
          <t>Scheduled run 22 terminal</t>
        </is>
      </c>
    </row>
    <row r="26">
      <c r="A26" s="167" t="n">
        <v>46289</v>
      </c>
      <c r="B26" s="59" t="inlineStr">
        <is>
          <t>Hoàn thành có lỗi</t>
        </is>
      </c>
      <c r="C26" s="59" t="inlineStr">
        <is>
          <t>23</t>
        </is>
      </c>
      <c r="D26" s="168" t="n">
        <v>46289.02872111111</v>
      </c>
      <c r="E26" s="168" t="n">
        <v>46289.82281957176</v>
      </c>
      <c r="F26" s="169">
        <f>IF(AND(D26&lt;&gt;"",E26&lt;&gt;""),(E26-D26)*24,"")</f>
        <v/>
      </c>
      <c r="G26" s="170" t="n">
        <v>3540</v>
      </c>
      <c r="H26" s="170" t="n">
        <v>3540</v>
      </c>
      <c r="I26" s="170" t="n">
        <v>3093</v>
      </c>
      <c r="J26" s="170" t="n">
        <v>0</v>
      </c>
      <c r="K26" s="170" t="n">
        <v>387</v>
      </c>
      <c r="L26" s="170" t="n">
        <v>40</v>
      </c>
      <c r="M26" s="170" t="n">
        <v>20</v>
      </c>
      <c r="N26" s="170" t="n">
        <v>28165</v>
      </c>
      <c r="O26" s="170" t="n">
        <v>10</v>
      </c>
      <c r="P26" s="59" t="inlineStr">
        <is>
          <t>local_aux</t>
        </is>
      </c>
      <c r="Q26" s="59" t="inlineStr">
        <is>
          <t>Scheduled run 23 terminal</t>
        </is>
      </c>
    </row>
    <row r="27">
      <c r="A27" s="167" t="n">
        <v>46290</v>
      </c>
      <c r="B27" s="59" t="inlineStr">
        <is>
          <t>Hoàn thành có lỗi</t>
        </is>
      </c>
      <c r="C27" s="59" t="inlineStr">
        <is>
          <t>24</t>
        </is>
      </c>
      <c r="D27" s="168" t="n">
        <v>46290.02340449074</v>
      </c>
      <c r="E27" s="168" t="n">
        <v>46290.91681376157</v>
      </c>
      <c r="F27" s="169">
        <f>IF(AND(D27&lt;&gt;"",E27&lt;&gt;""),(E27-D27)*24,"")</f>
        <v/>
      </c>
      <c r="G27" s="170" t="n">
        <v>3540</v>
      </c>
      <c r="H27" s="170" t="n">
        <v>3540</v>
      </c>
      <c r="I27" s="170" t="n">
        <v>3070</v>
      </c>
      <c r="J27" s="170" t="n">
        <v>0</v>
      </c>
      <c r="K27" s="170" t="n">
        <v>410</v>
      </c>
      <c r="L27" s="170" t="n">
        <v>40</v>
      </c>
      <c r="M27" s="170" t="n">
        <v>20</v>
      </c>
      <c r="N27" s="170" t="n">
        <v>27956</v>
      </c>
      <c r="O27" s="170" t="n">
        <v>10</v>
      </c>
      <c r="P27" s="59" t="inlineStr">
        <is>
          <t>local_aux</t>
        </is>
      </c>
      <c r="Q27" s="59" t="inlineStr">
        <is>
          <t>Scheduled run 24 terminal</t>
        </is>
      </c>
    </row>
    <row r="28">
      <c r="A28" s="167" t="n">
        <v>46291</v>
      </c>
      <c r="B28" s="59" t="inlineStr">
        <is>
          <t>Hoàn thành có lỗi</t>
        </is>
      </c>
      <c r="C28" s="59" t="inlineStr">
        <is>
          <t>25</t>
        </is>
      </c>
      <c r="D28" s="168" t="n">
        <v>46291.0291418287</v>
      </c>
      <c r="E28" s="168" t="n">
        <v>46292.03074357639</v>
      </c>
      <c r="F28" s="169">
        <f>IF(AND(D28&lt;&gt;"",E28&lt;&gt;""),(E28-D28)*24,"")</f>
        <v/>
      </c>
      <c r="G28" s="170" t="n">
        <v>3540</v>
      </c>
      <c r="H28" s="170" t="n">
        <v>3540</v>
      </c>
      <c r="I28" s="170" t="n">
        <v>3091</v>
      </c>
      <c r="J28" s="170" t="n">
        <v>0</v>
      </c>
      <c r="K28" s="170" t="n">
        <v>339</v>
      </c>
      <c r="L28" s="170" t="n">
        <v>90</v>
      </c>
      <c r="M28" s="170" t="n">
        <v>20</v>
      </c>
      <c r="N28" s="170" t="n">
        <v>29386</v>
      </c>
      <c r="O28" s="170" t="n">
        <v>10</v>
      </c>
      <c r="P28" s="59" t="inlineStr">
        <is>
          <t>local_aux</t>
        </is>
      </c>
      <c r="Q28" s="59" t="inlineStr">
        <is>
          <t>Scheduled run 25 terminal</t>
        </is>
      </c>
    </row>
    <row r="29">
      <c r="A29" s="167" t="n">
        <v>46292</v>
      </c>
      <c r="B29" s="59" t="inlineStr">
        <is>
          <t>Hoàn thành có lỗi</t>
        </is>
      </c>
      <c r="C29" s="59" t="inlineStr">
        <is>
          <t>26</t>
        </is>
      </c>
      <c r="D29" s="168" t="n">
        <v>46292.01198827547</v>
      </c>
      <c r="E29" s="168" t="n">
        <v>46293.2012952662</v>
      </c>
      <c r="F29" s="169">
        <f>IF(AND(D29&lt;&gt;"",E29&lt;&gt;""),(E29-D29)*24,"")</f>
        <v/>
      </c>
      <c r="G29" s="170" t="n">
        <v>3540</v>
      </c>
      <c r="H29" s="170" t="n">
        <v>3540</v>
      </c>
      <c r="I29" s="170" t="n">
        <v>3097</v>
      </c>
      <c r="J29" s="170" t="n">
        <v>0</v>
      </c>
      <c r="K29" s="170" t="n">
        <v>323</v>
      </c>
      <c r="L29" s="170" t="n">
        <v>100</v>
      </c>
      <c r="M29" s="170" t="n">
        <v>20</v>
      </c>
      <c r="N29" s="170" t="n">
        <v>29294</v>
      </c>
      <c r="O29" s="170" t="n">
        <v>10</v>
      </c>
      <c r="P29" s="59" t="inlineStr">
        <is>
          <t>local_aux</t>
        </is>
      </c>
      <c r="Q29" s="59" t="inlineStr">
        <is>
          <t>Scheduled run 26 terminal</t>
        </is>
      </c>
    </row>
    <row r="30">
      <c r="A30" s="167" t="n">
        <v>46293</v>
      </c>
      <c r="B30" s="59" t="inlineStr">
        <is>
          <t>Hoàn thành có lỗi</t>
        </is>
      </c>
      <c r="C30" s="59" t="inlineStr">
        <is>
          <t>27</t>
        </is>
      </c>
      <c r="D30" s="168" t="n"/>
      <c r="E30" s="168" t="n">
        <v>46294.5287865162</v>
      </c>
      <c r="F30" s="169">
        <f>IF(AND(D30&lt;&gt;"",E30&lt;&gt;""),(E30-D30)*24,"")</f>
        <v/>
      </c>
      <c r="G30" s="170" t="n">
        <v>3540</v>
      </c>
      <c r="H30" s="170" t="n">
        <v>3540</v>
      </c>
      <c r="I30" s="170" t="n">
        <v>3105</v>
      </c>
      <c r="J30" s="170" t="n">
        <v>0</v>
      </c>
      <c r="K30" s="170" t="n">
        <v>315</v>
      </c>
      <c r="L30" s="170" t="n">
        <v>100</v>
      </c>
      <c r="M30" s="170" t="n">
        <v>20</v>
      </c>
      <c r="N30" s="170" t="n">
        <v>29991</v>
      </c>
      <c r="O30" s="170" t="n">
        <v>10</v>
      </c>
      <c r="P30" s="59" t="inlineStr">
        <is>
          <t>local_aux</t>
        </is>
      </c>
      <c r="Q30" s="59" t="inlineStr">
        <is>
          <t>Scheduled run 27 terminal</t>
        </is>
      </c>
    </row>
    <row r="31">
      <c r="A31" s="167" t="n">
        <v>46294</v>
      </c>
      <c r="B31" s="59" t="inlineStr">
        <is>
          <t>Hoàn thành có lỗi</t>
        </is>
      </c>
      <c r="C31" s="59" t="n">
        <v>28</v>
      </c>
      <c r="D31" s="168" t="n">
        <v>46294.02076388889</v>
      </c>
      <c r="E31" s="168" t="n">
        <v>46294.74196759259</v>
      </c>
      <c r="F31" s="169">
        <f>IF(AND(D31&lt;&gt;"",E31&lt;&gt;""),(E31-D31)*24,"")</f>
        <v/>
      </c>
      <c r="G31" s="170" t="n">
        <v>3540</v>
      </c>
      <c r="H31" s="170" t="n">
        <v>3540</v>
      </c>
      <c r="I31" s="170" t="n">
        <v>3109</v>
      </c>
      <c r="J31" s="170" t="n">
        <v>0</v>
      </c>
      <c r="K31" s="170" t="n">
        <v>321</v>
      </c>
      <c r="L31" s="170" t="n">
        <v>80</v>
      </c>
      <c r="M31" s="170" t="n">
        <v>30</v>
      </c>
      <c r="N31" s="170" t="n">
        <v>29923</v>
      </c>
      <c r="O31" s="170" t="n">
        <v>10</v>
      </c>
      <c r="P31" s="59" t="inlineStr">
        <is>
          <t>local_aux_backup</t>
        </is>
      </c>
      <c r="Q31" s="59" t="inlineStr">
        <is>
          <t>Imported as run 28; SHA-256 + staging counts verified.</t>
        </is>
      </c>
    </row>
    <row r="32">
      <c r="A32" s="167" t="n">
        <v>46295</v>
      </c>
      <c r="B32" s="59" t="inlineStr">
        <is>
          <t>Hoàn thành có lỗi</t>
        </is>
      </c>
      <c r="C32" s="59" t="inlineStr">
        <is>
          <t>29</t>
        </is>
      </c>
      <c r="D32" s="168" t="n">
        <v>46295.02271898148</v>
      </c>
      <c r="E32" s="168" t="n">
        <v>46296.43926980324</v>
      </c>
      <c r="F32" s="169">
        <f>IF(AND(D32&lt;&gt;"",E32&lt;&gt;""),(E32-D32)*24,"")</f>
        <v/>
      </c>
      <c r="G32" s="170" t="n">
        <v>3540</v>
      </c>
      <c r="H32" s="170" t="n">
        <v>3540</v>
      </c>
      <c r="I32" s="170" t="n">
        <v>3111</v>
      </c>
      <c r="J32" s="170" t="n">
        <v>0</v>
      </c>
      <c r="K32" s="170" t="n">
        <v>319</v>
      </c>
      <c r="L32" s="170" t="n">
        <v>80</v>
      </c>
      <c r="M32" s="170" t="n">
        <v>30</v>
      </c>
      <c r="N32" s="170" t="n">
        <v>29571</v>
      </c>
      <c r="O32" s="170" t="n">
        <v>10</v>
      </c>
      <c r="P32" s="59" t="inlineStr">
        <is>
          <t>local_aux</t>
        </is>
      </c>
      <c r="Q32" s="59" t="inlineStr">
        <is>
          <t>Scheduled run 29 terminal</t>
        </is>
      </c>
    </row>
    <row r="33">
      <c r="A33" s="167" t="n">
        <v>46296</v>
      </c>
      <c r="B33" s="59" t="inlineStr">
        <is>
          <t>Hoàn thành có lỗi</t>
        </is>
      </c>
      <c r="C33" s="59" t="n">
        <v>30</v>
      </c>
      <c r="D33" s="168" t="n">
        <v>46296.06282407408</v>
      </c>
      <c r="E33" s="168" t="n">
        <v>46296.77693287037</v>
      </c>
      <c r="F33" s="169">
        <f>IF(AND(D33&lt;&gt;"",E33&lt;&gt;""),(E33-D33)*24,"")</f>
        <v/>
      </c>
      <c r="G33" s="170" t="n">
        <v>3540</v>
      </c>
      <c r="H33" s="170" t="n">
        <v>3540</v>
      </c>
      <c r="I33" s="170" t="n">
        <v>3093</v>
      </c>
      <c r="J33" s="170" t="n">
        <v>0</v>
      </c>
      <c r="K33" s="170" t="n">
        <v>317</v>
      </c>
      <c r="L33" s="170" t="n">
        <v>90</v>
      </c>
      <c r="M33" s="170" t="n">
        <v>40</v>
      </c>
      <c r="N33" s="170" t="n">
        <v>29357</v>
      </c>
      <c r="O33" s="170" t="n">
        <v>10</v>
      </c>
      <c r="P33" s="59" t="inlineStr">
        <is>
          <t>local_aux_backup</t>
        </is>
      </c>
      <c r="Q33" s="59" t="inlineStr">
        <is>
          <t>Imported as run 30; SHA-256 + staging counts verified.</t>
        </is>
      </c>
    </row>
    <row r="34">
      <c r="A34" s="167" t="n">
        <v>46297</v>
      </c>
      <c r="B34" s="59" t="inlineStr">
        <is>
          <t>Hoàn thành có lỗi</t>
        </is>
      </c>
      <c r="C34" s="59" t="inlineStr">
        <is>
          <t>31</t>
        </is>
      </c>
      <c r="D34" s="168" t="n">
        <v>46297.02612908565</v>
      </c>
      <c r="E34" s="168" t="n">
        <v>46297.79363894676</v>
      </c>
      <c r="F34" s="169">
        <f>IF(AND(D34&lt;&gt;"",E34&lt;&gt;""),(E34-D34)*24,"")</f>
        <v/>
      </c>
      <c r="G34" s="170" t="n">
        <v>3540</v>
      </c>
      <c r="H34" s="170" t="n">
        <v>3540</v>
      </c>
      <c r="I34" s="170" t="n">
        <v>3085</v>
      </c>
      <c r="J34" s="170" t="n">
        <v>0</v>
      </c>
      <c r="K34" s="170" t="n">
        <v>325</v>
      </c>
      <c r="L34" s="170" t="n">
        <v>90</v>
      </c>
      <c r="M34" s="170" t="n">
        <v>40</v>
      </c>
      <c r="N34" s="170" t="n">
        <v>28852</v>
      </c>
      <c r="O34" s="170" t="n">
        <v>10</v>
      </c>
      <c r="P34" s="59" t="inlineStr">
        <is>
          <t>local_aux</t>
        </is>
      </c>
      <c r="Q34" s="59" t="inlineStr">
        <is>
          <t>Scheduled run 31 terminal</t>
        </is>
      </c>
    </row>
    <row r="35">
      <c r="A35" s="167" t="n">
        <v>46298</v>
      </c>
      <c r="B35" s="59" t="inlineStr">
        <is>
          <t>Hoàn thành có lỗi</t>
        </is>
      </c>
      <c r="C35" s="59" t="inlineStr">
        <is>
          <t>32</t>
        </is>
      </c>
      <c r="D35" s="168" t="n">
        <v>46298.0224469213</v>
      </c>
      <c r="E35" s="168" t="n">
        <v>46298.77284248843</v>
      </c>
      <c r="F35" s="169">
        <f>IF(AND(D35&lt;&gt;"",E35&lt;&gt;""),(E35-D35)*24,"")</f>
        <v/>
      </c>
      <c r="G35" s="170" t="n">
        <v>3540</v>
      </c>
      <c r="H35" s="170" t="n">
        <v>3540</v>
      </c>
      <c r="I35" s="170" t="n">
        <v>3120</v>
      </c>
      <c r="J35" s="170" t="n">
        <v>0</v>
      </c>
      <c r="K35" s="170" t="n">
        <v>280</v>
      </c>
      <c r="L35" s="170" t="n">
        <v>100</v>
      </c>
      <c r="M35" s="170" t="n">
        <v>40</v>
      </c>
      <c r="N35" s="170" t="n">
        <v>29700</v>
      </c>
      <c r="O35" s="170" t="n">
        <v>10</v>
      </c>
      <c r="P35" s="59" t="inlineStr">
        <is>
          <t>local_aux</t>
        </is>
      </c>
      <c r="Q35" s="59" t="inlineStr">
        <is>
          <t>Scheduled run 32 terminal</t>
        </is>
      </c>
    </row>
    <row r="36">
      <c r="A36" s="167" t="n">
        <v>46299</v>
      </c>
      <c r="B36" s="59" t="inlineStr">
        <is>
          <t>Hoàn thành có lỗi</t>
        </is>
      </c>
      <c r="C36" s="59" t="inlineStr">
        <is>
          <t>33</t>
        </is>
      </c>
      <c r="D36" s="168" t="n">
        <v>46299.02359936343</v>
      </c>
      <c r="E36" s="168" t="n">
        <v>46299.78785559028</v>
      </c>
      <c r="F36" s="169">
        <f>IF(AND(D36&lt;&gt;"",E36&lt;&gt;""),(E36-D36)*24,"")</f>
        <v/>
      </c>
      <c r="G36" s="170" t="n">
        <v>3540</v>
      </c>
      <c r="H36" s="170" t="n">
        <v>3540</v>
      </c>
      <c r="I36" s="170" t="n">
        <v>3114</v>
      </c>
      <c r="J36" s="170" t="n">
        <v>0</v>
      </c>
      <c r="K36" s="170" t="n">
        <v>286</v>
      </c>
      <c r="L36" s="170" t="n">
        <v>100</v>
      </c>
      <c r="M36" s="170" t="n">
        <v>40</v>
      </c>
      <c r="N36" s="170" t="n">
        <v>29355</v>
      </c>
      <c r="O36" s="170" t="n">
        <v>10</v>
      </c>
      <c r="P36" s="59" t="inlineStr">
        <is>
          <t>local_aux</t>
        </is>
      </c>
      <c r="Q36" s="59" t="inlineStr">
        <is>
          <t>Scheduled run 33 terminal</t>
        </is>
      </c>
    </row>
    <row r="37">
      <c r="A37" s="167" t="n">
        <v>46300</v>
      </c>
      <c r="B37" s="59" t="inlineStr">
        <is>
          <t>Hoàn thành có lỗi</t>
        </is>
      </c>
      <c r="C37" s="59" t="inlineStr">
        <is>
          <t>34</t>
        </is>
      </c>
      <c r="D37" s="168" t="n">
        <v>46300.02339822917</v>
      </c>
      <c r="E37" s="168" t="n">
        <v>46300.87187777778</v>
      </c>
      <c r="F37" s="169">
        <f>IF(AND(D37&lt;&gt;"",E37&lt;&gt;""),(E37-D37)*24,"")</f>
        <v/>
      </c>
      <c r="G37" s="170" t="n">
        <v>3540</v>
      </c>
      <c r="H37" s="170" t="n">
        <v>3540</v>
      </c>
      <c r="I37" s="170" t="n">
        <v>3101</v>
      </c>
      <c r="J37" s="170" t="n">
        <v>0</v>
      </c>
      <c r="K37" s="170" t="n">
        <v>289</v>
      </c>
      <c r="L37" s="170" t="n">
        <v>110</v>
      </c>
      <c r="M37" s="170" t="n">
        <v>40</v>
      </c>
      <c r="N37" s="170" t="n">
        <v>28761</v>
      </c>
      <c r="O37" s="170" t="n">
        <v>10</v>
      </c>
      <c r="P37" s="59" t="inlineStr">
        <is>
          <t>local_aux</t>
        </is>
      </c>
      <c r="Q37" s="59" t="inlineStr">
        <is>
          <t>Scheduled run 34 terminal</t>
        </is>
      </c>
    </row>
    <row r="38">
      <c r="A38" s="167" t="n">
        <v>46301</v>
      </c>
      <c r="B38" s="59" t="inlineStr">
        <is>
          <t>Hoàn thành có lỗi</t>
        </is>
      </c>
      <c r="C38" s="59" t="inlineStr">
        <is>
          <t>35</t>
        </is>
      </c>
      <c r="D38" s="168" t="n">
        <v>46301.02307268519</v>
      </c>
      <c r="E38" s="168" t="n">
        <v>46301.79836261574</v>
      </c>
      <c r="F38" s="169">
        <f>IF(AND(D38&lt;&gt;"",E38&lt;&gt;""),(E38-D38)*24,"")</f>
        <v/>
      </c>
      <c r="G38" s="170" t="n">
        <v>3540</v>
      </c>
      <c r="H38" s="170" t="n">
        <v>3540</v>
      </c>
      <c r="I38" s="170" t="n">
        <v>3075</v>
      </c>
      <c r="J38" s="170" t="n">
        <v>0</v>
      </c>
      <c r="K38" s="170" t="n">
        <v>315</v>
      </c>
      <c r="L38" s="170" t="n">
        <v>100</v>
      </c>
      <c r="M38" s="170" t="n">
        <v>50</v>
      </c>
      <c r="N38" s="170" t="n">
        <v>29087</v>
      </c>
      <c r="O38" s="170" t="n">
        <v>10</v>
      </c>
      <c r="P38" s="59" t="inlineStr">
        <is>
          <t>local_aux</t>
        </is>
      </c>
      <c r="Q38" s="59" t="inlineStr">
        <is>
          <t>Scheduled run 35 terminal</t>
        </is>
      </c>
    </row>
    <row r="39">
      <c r="A39" s="167" t="n">
        <v>46302</v>
      </c>
      <c r="B39" s="59" t="inlineStr">
        <is>
          <t>Hoàn thành có lỗi</t>
        </is>
      </c>
      <c r="C39" s="59" t="inlineStr">
        <is>
          <t>36</t>
        </is>
      </c>
      <c r="D39" s="168" t="n">
        <v>46302.02296614584</v>
      </c>
      <c r="E39" s="168" t="n">
        <v>46302.77321714121</v>
      </c>
      <c r="F39" s="169">
        <f>IF(AND(D39&lt;&gt;"",E39&lt;&gt;""),(E39-D39)*24,"")</f>
        <v/>
      </c>
      <c r="G39" s="170" t="n">
        <v>3540</v>
      </c>
      <c r="H39" s="170" t="n">
        <v>3540</v>
      </c>
      <c r="I39" s="170" t="n">
        <v>3078</v>
      </c>
      <c r="J39" s="170" t="n">
        <v>0</v>
      </c>
      <c r="K39" s="170" t="n">
        <v>312</v>
      </c>
      <c r="L39" s="170" t="n">
        <v>100</v>
      </c>
      <c r="M39" s="170" t="n">
        <v>50</v>
      </c>
      <c r="N39" s="170" t="n">
        <v>29671</v>
      </c>
      <c r="O39" s="170" t="n">
        <v>10</v>
      </c>
      <c r="P39" s="59" t="inlineStr">
        <is>
          <t>local_aux</t>
        </is>
      </c>
      <c r="Q39" s="59" t="inlineStr">
        <is>
          <t>Scheduled run 36 terminal</t>
        </is>
      </c>
    </row>
    <row r="40">
      <c r="A40" s="167" t="n">
        <v>46303</v>
      </c>
      <c r="B40" s="59" t="inlineStr">
        <is>
          <t>Hoàn thành có lỗi</t>
        </is>
      </c>
      <c r="C40" s="59" t="inlineStr">
        <is>
          <t>37</t>
        </is>
      </c>
      <c r="D40" s="168" t="n">
        <v>46303.02139259259</v>
      </c>
      <c r="E40" s="168" t="n">
        <v>46303.76335880787</v>
      </c>
      <c r="F40" s="169">
        <f>IF(AND(D40&lt;&gt;"",E40&lt;&gt;""),(E40-D40)*24,"")</f>
        <v/>
      </c>
      <c r="G40" s="170" t="n">
        <v>3540</v>
      </c>
      <c r="H40" s="170" t="n">
        <v>3540</v>
      </c>
      <c r="I40" s="170" t="n">
        <v>3056</v>
      </c>
      <c r="J40" s="170" t="n">
        <v>0</v>
      </c>
      <c r="K40" s="170" t="n">
        <v>314</v>
      </c>
      <c r="L40" s="170" t="n">
        <v>120</v>
      </c>
      <c r="M40" s="170" t="n">
        <v>50</v>
      </c>
      <c r="N40" s="170" t="n">
        <v>29442</v>
      </c>
      <c r="O40" s="170" t="n">
        <v>10</v>
      </c>
      <c r="P40" s="59" t="inlineStr">
        <is>
          <t>local_aux</t>
        </is>
      </c>
      <c r="Q40" s="59" t="inlineStr">
        <is>
          <t>Scheduled run 37 terminal</t>
        </is>
      </c>
    </row>
    <row r="41">
      <c r="A41" s="167" t="n">
        <v>46304</v>
      </c>
      <c r="B41" s="59" t="inlineStr">
        <is>
          <t>Hoàn thành có lỗi</t>
        </is>
      </c>
      <c r="C41" s="59" t="inlineStr">
        <is>
          <t>38</t>
        </is>
      </c>
      <c r="D41" s="168" t="n">
        <v>46304.02179732639</v>
      </c>
      <c r="E41" s="168" t="n">
        <v>46304.77693672453</v>
      </c>
      <c r="F41" s="169">
        <f>IF(AND(D41&lt;&gt;"",E41&lt;&gt;""),(E41-D41)*24,"")</f>
        <v/>
      </c>
      <c r="G41" s="170" t="n">
        <v>3540</v>
      </c>
      <c r="H41" s="170" t="n">
        <v>3540</v>
      </c>
      <c r="I41" s="170" t="n">
        <v>3014</v>
      </c>
      <c r="J41" s="170" t="n">
        <v>0</v>
      </c>
      <c r="K41" s="170" t="n">
        <v>326</v>
      </c>
      <c r="L41" s="170" t="n">
        <v>90</v>
      </c>
      <c r="M41" s="170" t="n">
        <v>110</v>
      </c>
      <c r="N41" s="170" t="n">
        <v>28678</v>
      </c>
      <c r="O41" s="170" t="n">
        <v>10</v>
      </c>
      <c r="P41" s="59" t="inlineStr">
        <is>
          <t>local_aux</t>
        </is>
      </c>
      <c r="Q41" s="59" t="inlineStr">
        <is>
          <t>Scheduled run 38 terminal</t>
        </is>
      </c>
    </row>
    <row r="42">
      <c r="A42" s="167" t="n">
        <v>46305</v>
      </c>
      <c r="B42" s="59" t="inlineStr">
        <is>
          <t>Hoàn thành có lỗi</t>
        </is>
      </c>
      <c r="C42" s="59" t="inlineStr">
        <is>
          <t>39</t>
        </is>
      </c>
      <c r="D42" s="168" t="n">
        <v>46305.01922288194</v>
      </c>
      <c r="E42" s="168" t="n">
        <v>46305.75559658564</v>
      </c>
      <c r="F42" s="169">
        <f>IF(AND(D42&lt;&gt;"",E42&lt;&gt;""),(E42-D42)*24,"")</f>
        <v/>
      </c>
      <c r="G42" s="170" t="n">
        <v>3540</v>
      </c>
      <c r="H42" s="170" t="n">
        <v>3540</v>
      </c>
      <c r="I42" s="170" t="n">
        <v>3011</v>
      </c>
      <c r="J42" s="170" t="n">
        <v>0</v>
      </c>
      <c r="K42" s="170" t="n">
        <v>339</v>
      </c>
      <c r="L42" s="170" t="n">
        <v>80</v>
      </c>
      <c r="M42" s="170" t="n">
        <v>110</v>
      </c>
      <c r="N42" s="170" t="n">
        <v>28657</v>
      </c>
      <c r="O42" s="170" t="n">
        <v>10</v>
      </c>
      <c r="P42" s="59" t="inlineStr">
        <is>
          <t>local_aux</t>
        </is>
      </c>
      <c r="Q42" s="59" t="inlineStr">
        <is>
          <t>Scheduled run 39 terminal</t>
        </is>
      </c>
    </row>
    <row r="43">
      <c r="A43" s="167" t="n">
        <v>46306</v>
      </c>
      <c r="B43" s="59" t="inlineStr">
        <is>
          <t>Hoàn thành có lỗi</t>
        </is>
      </c>
      <c r="C43" s="59" t="inlineStr">
        <is>
          <t>40</t>
        </is>
      </c>
      <c r="D43" s="168" t="n">
        <v>46306.02048282407</v>
      </c>
      <c r="E43" s="168" t="n">
        <v>46306.76039171296</v>
      </c>
      <c r="F43" s="169">
        <f>IF(AND(D43&lt;&gt;"",E43&lt;&gt;""),(E43-D43)*24,"")</f>
        <v/>
      </c>
      <c r="G43" s="170" t="n">
        <v>3540</v>
      </c>
      <c r="H43" s="170" t="n">
        <v>3540</v>
      </c>
      <c r="I43" s="170" t="n">
        <v>3010</v>
      </c>
      <c r="J43" s="170" t="n">
        <v>0</v>
      </c>
      <c r="K43" s="170" t="n">
        <v>350</v>
      </c>
      <c r="L43" s="170" t="n">
        <v>70</v>
      </c>
      <c r="M43" s="170" t="n">
        <v>110</v>
      </c>
      <c r="N43" s="170" t="n">
        <v>28471</v>
      </c>
      <c r="O43" s="170" t="n">
        <v>10</v>
      </c>
      <c r="P43" s="59" t="inlineStr">
        <is>
          <t>local_aux</t>
        </is>
      </c>
      <c r="Q43" s="59" t="inlineStr">
        <is>
          <t>Scheduled run 40 terminal</t>
        </is>
      </c>
    </row>
    <row r="44">
      <c r="A44" s="167" t="n">
        <v>46307</v>
      </c>
      <c r="B44" s="59" t="inlineStr">
        <is>
          <t>Hoàn thành có lỗi</t>
        </is>
      </c>
      <c r="C44" s="59" t="inlineStr">
        <is>
          <t>41</t>
        </is>
      </c>
      <c r="D44" s="168" t="n">
        <v>46307.03053043981</v>
      </c>
      <c r="E44" s="168" t="n">
        <v>46307.78793077546</v>
      </c>
      <c r="F44" s="169">
        <f>IF(AND(D44&lt;&gt;"",E44&lt;&gt;""),(E44-D44)*24,"")</f>
        <v/>
      </c>
      <c r="G44" s="170" t="n">
        <v>3540</v>
      </c>
      <c r="H44" s="170" t="n">
        <v>3540</v>
      </c>
      <c r="I44" s="170" t="n">
        <v>3017</v>
      </c>
      <c r="J44" s="170" t="n">
        <v>0</v>
      </c>
      <c r="K44" s="170" t="n">
        <v>343</v>
      </c>
      <c r="L44" s="170" t="n">
        <v>70</v>
      </c>
      <c r="M44" s="170" t="n">
        <v>110</v>
      </c>
      <c r="N44" s="170" t="n">
        <v>28320</v>
      </c>
      <c r="O44" s="170" t="n">
        <v>10</v>
      </c>
      <c r="P44" s="59" t="inlineStr">
        <is>
          <t>local_aux</t>
        </is>
      </c>
      <c r="Q44" s="59" t="inlineStr">
        <is>
          <t>Scheduled run 41 terminal</t>
        </is>
      </c>
    </row>
    <row r="45">
      <c r="A45" s="167" t="n">
        <v>46308</v>
      </c>
      <c r="B45" s="59" t="inlineStr">
        <is>
          <t>Hoàn thành có lỗi</t>
        </is>
      </c>
      <c r="C45" s="59" t="inlineStr">
        <is>
          <t>42</t>
        </is>
      </c>
      <c r="D45" s="168" t="n">
        <v>46308.02002466435</v>
      </c>
      <c r="E45" s="168" t="n">
        <v>46308.75924520833</v>
      </c>
      <c r="F45" s="169">
        <f>IF(AND(D45&lt;&gt;"",E45&lt;&gt;""),(E45-D45)*24,"")</f>
        <v/>
      </c>
      <c r="G45" s="170" t="n">
        <v>3540</v>
      </c>
      <c r="H45" s="170" t="n">
        <v>3540</v>
      </c>
      <c r="I45" s="170" t="n">
        <v>3006</v>
      </c>
      <c r="J45" s="170" t="n">
        <v>0</v>
      </c>
      <c r="K45" s="170" t="n">
        <v>354</v>
      </c>
      <c r="L45" s="170" t="n">
        <v>70</v>
      </c>
      <c r="M45" s="170" t="n">
        <v>110</v>
      </c>
      <c r="N45" s="170" t="n">
        <v>28376</v>
      </c>
      <c r="O45" s="170" t="n">
        <v>10</v>
      </c>
      <c r="P45" s="59" t="inlineStr">
        <is>
          <t>local_aux</t>
        </is>
      </c>
      <c r="Q45" s="59" t="inlineStr">
        <is>
          <t>Scheduled run 42 terminal</t>
        </is>
      </c>
    </row>
    <row r="46">
      <c r="A46" s="167" t="n">
        <v>46309</v>
      </c>
      <c r="B46" s="59" t="inlineStr">
        <is>
          <t>Hoàn thành có lỗi</t>
        </is>
      </c>
      <c r="C46" s="59" t="inlineStr">
        <is>
          <t>43</t>
        </is>
      </c>
      <c r="D46" s="168" t="n">
        <v>46309.01978869213</v>
      </c>
      <c r="E46" s="168" t="n">
        <v>46309.76880601719</v>
      </c>
      <c r="F46" s="169">
        <f>IF(AND(D46&lt;&gt;"",E46&lt;&gt;""),(E46-D46)*24,"")</f>
        <v/>
      </c>
      <c r="G46" s="170" t="n">
        <v>3540</v>
      </c>
      <c r="H46" s="170" t="n">
        <v>3540</v>
      </c>
      <c r="I46" s="170" t="n">
        <v>3003</v>
      </c>
      <c r="J46" s="170" t="n">
        <v>0</v>
      </c>
      <c r="K46" s="170" t="n">
        <v>347</v>
      </c>
      <c r="L46" s="170" t="n">
        <v>80</v>
      </c>
      <c r="M46" s="170" t="n">
        <v>110</v>
      </c>
      <c r="N46" s="170" t="n">
        <v>28415</v>
      </c>
      <c r="O46" s="170" t="n">
        <v>10</v>
      </c>
      <c r="P46" s="59" t="inlineStr">
        <is>
          <t>local_aux</t>
        </is>
      </c>
      <c r="Q46" s="59" t="inlineStr">
        <is>
          <t>Scheduled run 43 terminal</t>
        </is>
      </c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2026-10-01T17:37:31Z</dcterms:created>
  <dcterms:modified xmlns:dcterms="http://purl.org/dc/terms/" xmlns:xsi="http://www.w3.org/2001/XMLSchema-instance" xsi:type="dcterms:W3CDTF">2026-10-14T11:27:05Z</dcterms:modified>
</cp:coreProperties>
</file>