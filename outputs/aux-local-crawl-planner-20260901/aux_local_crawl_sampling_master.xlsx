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46275.83740755787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Hoàn thành có lỗi</t>
        </is>
      </c>
      <c r="C13" s="59" t="inlineStr">
        <is>
          <t>10</t>
        </is>
      </c>
      <c r="D13" s="168" t="n">
        <v>46276.0238975</v>
      </c>
      <c r="E13" s="168" t="n">
        <v>46276.85525002315</v>
      </c>
      <c r="F13" s="169">
        <f>IF(AND(D13&lt;&gt;"",E13&lt;&gt;""),(E13-D13)*24,"")</f>
        <v/>
      </c>
      <c r="G13" s="170" t="n">
        <v>3540</v>
      </c>
      <c r="H13" s="170" t="n">
        <v>3540</v>
      </c>
      <c r="I13" s="170" t="n">
        <v>3174</v>
      </c>
      <c r="J13" s="170" t="n">
        <v>0</v>
      </c>
      <c r="K13" s="170" t="n">
        <v>316</v>
      </c>
      <c r="L13" s="170" t="n">
        <v>30</v>
      </c>
      <c r="M13" s="170" t="n">
        <v>20</v>
      </c>
      <c r="N13" s="170" t="n">
        <v>30010</v>
      </c>
      <c r="O13" s="170" t="n">
        <v>10</v>
      </c>
      <c r="P13" s="59" t="inlineStr">
        <is>
          <t>local_aux</t>
        </is>
      </c>
      <c r="Q13" s="59" t="inlineStr">
        <is>
          <t>Scheduled run 10 terminal</t>
        </is>
      </c>
    </row>
    <row r="14">
      <c r="A14" s="167" t="n">
        <v>46277</v>
      </c>
      <c r="B14" s="59" t="inlineStr">
        <is>
          <t>Hoàn thành có lỗi</t>
        </is>
      </c>
      <c r="C14" s="59" t="inlineStr">
        <is>
          <t>11</t>
        </is>
      </c>
      <c r="D14" s="168" t="n">
        <v>46277.02385240741</v>
      </c>
      <c r="E14" s="168" t="n">
        <v>46277.83505616898</v>
      </c>
      <c r="F14" s="169">
        <f>IF(AND(D14&lt;&gt;"",E14&lt;&gt;""),(E14-D14)*24,"")</f>
        <v/>
      </c>
      <c r="G14" s="170" t="n">
        <v>3540</v>
      </c>
      <c r="H14" s="170" t="n">
        <v>3540</v>
      </c>
      <c r="I14" s="170" t="n">
        <v>3175</v>
      </c>
      <c r="J14" s="170" t="n">
        <v>0</v>
      </c>
      <c r="K14" s="170" t="n">
        <v>315</v>
      </c>
      <c r="L14" s="170" t="n">
        <v>30</v>
      </c>
      <c r="M14" s="170" t="n">
        <v>20</v>
      </c>
      <c r="N14" s="170" t="n">
        <v>29730</v>
      </c>
      <c r="O14" s="170" t="n">
        <v>10</v>
      </c>
      <c r="P14" s="59" t="inlineStr">
        <is>
          <t>local_aux</t>
        </is>
      </c>
      <c r="Q14" s="59" t="inlineStr">
        <is>
          <t>Scheduled run 11 terminal</t>
        </is>
      </c>
    </row>
    <row r="15">
      <c r="A15" s="167" t="n">
        <v>46278</v>
      </c>
      <c r="B15" s="59" t="inlineStr">
        <is>
          <t>Hoàn thành có lỗi</t>
        </is>
      </c>
      <c r="C15" s="59" t="inlineStr">
        <is>
          <t>12</t>
        </is>
      </c>
      <c r="D15" s="168" t="n">
        <v>46277.73217592593</v>
      </c>
      <c r="E15" s="168" t="n">
        <v>46278.796890625</v>
      </c>
      <c r="F15" s="169">
        <f>IF(AND(D15&lt;&gt;"",E15&lt;&gt;""),(E15-D15)*24,"")</f>
        <v/>
      </c>
      <c r="G15" s="170" t="n">
        <v>3540</v>
      </c>
      <c r="H15" s="170" t="n">
        <v>3540</v>
      </c>
      <c r="I15" s="170" t="n">
        <v>3175</v>
      </c>
      <c r="J15" s="170" t="n">
        <v>0</v>
      </c>
      <c r="K15" s="170" t="n">
        <v>315</v>
      </c>
      <c r="L15" s="170" t="n">
        <v>30</v>
      </c>
      <c r="M15" s="170" t="n">
        <v>20</v>
      </c>
      <c r="N15" s="170" t="n">
        <v>29379</v>
      </c>
      <c r="O15" s="170" t="n">
        <v>10</v>
      </c>
      <c r="P15" s="59" t="inlineStr">
        <is>
          <t>local_aux</t>
        </is>
      </c>
      <c r="Q15" s="59" t="inlineStr">
        <is>
          <t>Scheduled run 12 terminal</t>
        </is>
      </c>
    </row>
    <row r="16">
      <c r="A16" s="167" t="n">
        <v>46279</v>
      </c>
      <c r="B16" s="59" t="inlineStr">
        <is>
          <t>Hoàn thành có lỗi</t>
        </is>
      </c>
      <c r="C16" s="59" t="inlineStr">
        <is>
          <t>13</t>
        </is>
      </c>
      <c r="D16" s="168" t="n">
        <v>46278.72856481482</v>
      </c>
      <c r="E16" s="168" t="n">
        <v>46279.90620111111</v>
      </c>
      <c r="F16" s="169">
        <f>IF(AND(D16&lt;&gt;"",E16&lt;&gt;""),(E16-D16)*24,"")</f>
        <v/>
      </c>
      <c r="G16" s="170" t="n">
        <v>3540</v>
      </c>
      <c r="H16" s="170" t="n">
        <v>2</v>
      </c>
      <c r="I16" s="170" t="n">
        <v>2</v>
      </c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inlineStr">
        <is>
          <t>Bỏ qua theo yêu cầu người dùng; dừng run 13 sau 2/3540 item. Ngày kế tiếp chạy độc lập.</t>
        </is>
      </c>
    </row>
    <row r="17">
      <c r="A17" s="167" t="n">
        <v>46280</v>
      </c>
      <c r="B17" s="59" t="inlineStr">
        <is>
          <t>Hoàn thành có lỗi</t>
        </is>
      </c>
      <c r="C17" s="59" t="inlineStr">
        <is>
          <t>14</t>
        </is>
      </c>
      <c r="D17" s="168" t="n">
        <v>46279.73701388889</v>
      </c>
      <c r="E17" s="168" t="n">
        <v>46280.81530137731</v>
      </c>
      <c r="F17" s="169">
        <f>IF(AND(D17&lt;&gt;"",E17&lt;&gt;""),(E17-D17)*24,"")</f>
        <v/>
      </c>
      <c r="G17" s="170" t="n">
        <v>3540</v>
      </c>
      <c r="H17" s="170" t="n">
        <v>3540</v>
      </c>
      <c r="I17" s="170" t="n">
        <v>3152</v>
      </c>
      <c r="J17" s="170" t="n">
        <v>0</v>
      </c>
      <c r="K17" s="170" t="n">
        <v>328</v>
      </c>
      <c r="L17" s="170" t="n">
        <v>40</v>
      </c>
      <c r="M17" s="170" t="n">
        <v>20</v>
      </c>
      <c r="N17" s="170" t="n">
        <v>28862</v>
      </c>
      <c r="O17" s="170" t="n">
        <v>10</v>
      </c>
      <c r="P17" s="59" t="inlineStr">
        <is>
          <t>local_aux</t>
        </is>
      </c>
      <c r="Q17" s="59" t="inlineStr">
        <is>
          <t>Scheduled run 14 terminal</t>
        </is>
      </c>
    </row>
    <row r="18">
      <c r="A18" s="167" t="n">
        <v>46281</v>
      </c>
      <c r="B18" s="59" t="inlineStr">
        <is>
          <t>Hoàn thành có lỗi</t>
        </is>
      </c>
      <c r="C18" s="59" t="inlineStr">
        <is>
          <t>15</t>
        </is>
      </c>
      <c r="D18" s="168" t="n">
        <v>46281.02672401621</v>
      </c>
      <c r="E18" s="168" t="n">
        <v>46281.81371444444</v>
      </c>
      <c r="F18" s="169">
        <f>IF(AND(D18&lt;&gt;"",E18&lt;&gt;""),(E18-D18)*24,"")</f>
        <v/>
      </c>
      <c r="G18" s="170" t="n">
        <v>3540</v>
      </c>
      <c r="H18" s="170" t="n">
        <v>3540</v>
      </c>
      <c r="I18" s="170" t="n">
        <v>3170</v>
      </c>
      <c r="J18" s="170" t="n">
        <v>0</v>
      </c>
      <c r="K18" s="170" t="n">
        <v>310</v>
      </c>
      <c r="L18" s="170" t="n">
        <v>40</v>
      </c>
      <c r="M18" s="170" t="n">
        <v>20</v>
      </c>
      <c r="N18" s="170" t="n">
        <v>29084</v>
      </c>
      <c r="O18" s="170" t="n">
        <v>10</v>
      </c>
      <c r="P18" s="59" t="inlineStr">
        <is>
          <t>local_aux</t>
        </is>
      </c>
      <c r="Q18" s="59" t="inlineStr">
        <is>
          <t>Scheduled run 15 terminal</t>
        </is>
      </c>
    </row>
    <row r="19">
      <c r="A19" s="167" t="n">
        <v>46282</v>
      </c>
      <c r="B19" s="59" t="inlineStr">
        <is>
          <t>Hoàn thành có lỗi</t>
        </is>
      </c>
      <c r="C19" s="59" t="inlineStr">
        <is>
          <t>16</t>
        </is>
      </c>
      <c r="D19" s="168" t="n">
        <v>46282.02266850694</v>
      </c>
      <c r="E19" s="168" t="n">
        <v>46282.78398810185</v>
      </c>
      <c r="F19" s="169">
        <f>IF(AND(D19&lt;&gt;"",E19&lt;&gt;""),(E19-D19)*24,"")</f>
        <v/>
      </c>
      <c r="G19" s="170" t="n">
        <v>3540</v>
      </c>
      <c r="H19" s="170" t="n">
        <v>3540</v>
      </c>
      <c r="I19" s="170" t="n">
        <v>3121</v>
      </c>
      <c r="J19" s="170" t="n">
        <v>0</v>
      </c>
      <c r="K19" s="170" t="n">
        <v>309</v>
      </c>
      <c r="L19" s="170" t="n">
        <v>90</v>
      </c>
      <c r="M19" s="170" t="n">
        <v>20</v>
      </c>
      <c r="N19" s="170" t="n">
        <v>28229</v>
      </c>
      <c r="O19" s="170" t="n">
        <v>10</v>
      </c>
      <c r="P19" s="59" t="inlineStr">
        <is>
          <t>local_aux</t>
        </is>
      </c>
      <c r="Q19" s="59" t="inlineStr">
        <is>
          <t>Scheduled run 16 terminal</t>
        </is>
      </c>
    </row>
    <row r="20">
      <c r="A20" s="167" t="n">
        <v>46283</v>
      </c>
      <c r="B20" s="59" t="inlineStr">
        <is>
          <t>Hoàn thành có lỗi</t>
        </is>
      </c>
      <c r="C20" s="59" t="inlineStr">
        <is>
          <t>17</t>
        </is>
      </c>
      <c r="D20" s="168" t="n">
        <v>46283.02424359954</v>
      </c>
      <c r="E20" s="168" t="n">
        <v>46283.78622950232</v>
      </c>
      <c r="F20" s="169">
        <f>IF(AND(D20&lt;&gt;"",E20&lt;&gt;""),(E20-D20)*24,"")</f>
        <v/>
      </c>
      <c r="G20" s="170" t="n">
        <v>3540</v>
      </c>
      <c r="H20" s="170" t="n">
        <v>3540</v>
      </c>
      <c r="I20" s="170" t="n">
        <v>3133</v>
      </c>
      <c r="J20" s="170" t="n">
        <v>0</v>
      </c>
      <c r="K20" s="170" t="n">
        <v>307</v>
      </c>
      <c r="L20" s="170" t="n">
        <v>80</v>
      </c>
      <c r="M20" s="170" t="n">
        <v>20</v>
      </c>
      <c r="N20" s="170" t="n">
        <v>28008</v>
      </c>
      <c r="O20" s="170" t="n">
        <v>10</v>
      </c>
      <c r="P20" s="59" t="inlineStr">
        <is>
          <t>local_aux</t>
        </is>
      </c>
      <c r="Q20" s="59" t="inlineStr">
        <is>
          <t>Scheduled run 17 terminal</t>
        </is>
      </c>
    </row>
    <row r="21">
      <c r="A21" s="167" t="n">
        <v>46284</v>
      </c>
      <c r="B21" s="59" t="inlineStr">
        <is>
          <t>Hoàn thành có lỗi</t>
        </is>
      </c>
      <c r="C21" s="59" t="inlineStr">
        <is>
          <t>18</t>
        </is>
      </c>
      <c r="D21" s="168" t="n">
        <v>46284.02293990741</v>
      </c>
      <c r="E21" s="168" t="n">
        <v>46284.78843565972</v>
      </c>
      <c r="F21" s="169">
        <f>IF(AND(D21&lt;&gt;"",E21&lt;&gt;""),(E21-D21)*24,"")</f>
        <v/>
      </c>
      <c r="G21" s="170" t="n">
        <v>3540</v>
      </c>
      <c r="H21" s="170" t="n">
        <v>3540</v>
      </c>
      <c r="I21" s="170" t="n">
        <v>3156</v>
      </c>
      <c r="J21" s="170" t="n">
        <v>0</v>
      </c>
      <c r="K21" s="170" t="n">
        <v>314</v>
      </c>
      <c r="L21" s="170" t="n">
        <v>50</v>
      </c>
      <c r="M21" s="170" t="n">
        <v>20</v>
      </c>
      <c r="N21" s="170" t="n">
        <v>28398</v>
      </c>
      <c r="O21" s="170" t="n">
        <v>10</v>
      </c>
      <c r="P21" s="59" t="inlineStr">
        <is>
          <t>local_aux</t>
        </is>
      </c>
      <c r="Q21" s="59" t="inlineStr">
        <is>
          <t>Scheduled run 18 terminal</t>
        </is>
      </c>
    </row>
    <row r="22">
      <c r="A22" s="167" t="n">
        <v>46285</v>
      </c>
      <c r="B22" s="59" t="inlineStr">
        <is>
          <t>Hoàn thành có lỗi</t>
        </is>
      </c>
      <c r="C22" s="59" t="inlineStr">
        <is>
          <t>19</t>
        </is>
      </c>
      <c r="D22" s="168" t="n">
        <v>46285.09364074074</v>
      </c>
      <c r="E22" s="168" t="n">
        <v>46285.87094282408</v>
      </c>
      <c r="F22" s="169">
        <f>IF(AND(D22&lt;&gt;"",E22&lt;&gt;""),(E22-D22)*24,"")</f>
        <v/>
      </c>
      <c r="G22" s="170" t="n">
        <v>3540</v>
      </c>
      <c r="H22" s="170" t="n">
        <v>3540</v>
      </c>
      <c r="I22" s="170" t="n">
        <v>3140</v>
      </c>
      <c r="J22" s="170" t="n">
        <v>0</v>
      </c>
      <c r="K22" s="170" t="n">
        <v>340</v>
      </c>
      <c r="L22" s="170" t="n">
        <v>40</v>
      </c>
      <c r="M22" s="170" t="n">
        <v>20</v>
      </c>
      <c r="N22" s="170" t="n">
        <v>28144</v>
      </c>
      <c r="O22" s="170" t="n">
        <v>10</v>
      </c>
      <c r="P22" s="59" t="inlineStr">
        <is>
          <t>local_aux</t>
        </is>
      </c>
      <c r="Q22" s="59" t="inlineStr">
        <is>
          <t>Scheduled run 19 terminal</t>
        </is>
      </c>
    </row>
    <row r="23">
      <c r="A23" s="167" t="n">
        <v>46286</v>
      </c>
      <c r="B23" s="59" t="inlineStr">
        <is>
          <t>Hoàn thành có lỗi</t>
        </is>
      </c>
      <c r="C23" s="59" t="inlineStr">
        <is>
          <t>20</t>
        </is>
      </c>
      <c r="D23" s="168" t="n">
        <v>46286.03120365741</v>
      </c>
      <c r="E23" s="168" t="n">
        <v>46286.80991675532</v>
      </c>
      <c r="F23" s="169">
        <f>IF(AND(D23&lt;&gt;"",E23&lt;&gt;""),(E23-D23)*24,"")</f>
        <v/>
      </c>
      <c r="G23" s="170" t="n">
        <v>3540</v>
      </c>
      <c r="H23" s="170" t="n">
        <v>3540</v>
      </c>
      <c r="I23" s="170" t="n">
        <v>3141</v>
      </c>
      <c r="J23" s="170" t="n">
        <v>0</v>
      </c>
      <c r="K23" s="170" t="n">
        <v>329</v>
      </c>
      <c r="L23" s="170" t="n">
        <v>50</v>
      </c>
      <c r="M23" s="170" t="n">
        <v>20</v>
      </c>
      <c r="N23" s="170" t="n">
        <v>27670</v>
      </c>
      <c r="O23" s="170" t="n">
        <v>10</v>
      </c>
      <c r="P23" s="59" t="inlineStr">
        <is>
          <t>local_aux</t>
        </is>
      </c>
      <c r="Q23" s="59" t="inlineStr">
        <is>
          <t>Scheduled run 20 terminal</t>
        </is>
      </c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2026-09-21T12:26:17Z</dcterms:modified>
</cp:coreProperties>
</file>