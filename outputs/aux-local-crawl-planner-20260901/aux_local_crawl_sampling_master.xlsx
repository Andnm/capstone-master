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1461f65b041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16498bcb14343d9"/>
    <x:sheet xmlns:r="http://schemas.openxmlformats.org/officeDocument/2006/relationships" name="AUX_CRAWL_PLAN" sheetId="2" r:id="Rd8cbcd05765643b3"/>
    <x:sheet xmlns:r="http://schemas.openxmlformats.org/officeDocument/2006/relationships" name="CRAWL_LOG" sheetId="3" r:id="R1daf1ddba71b4ad4"/>
    <x:sheet xmlns:r="http://schemas.openxmlformats.org/officeDocument/2006/relationships" name="LOCAL_REFERENCE" sheetId="4" r:id="R221c3134e1eb4b07"/>
    <x:sheet xmlns:r="http://schemas.openxmlformats.org/officeDocument/2006/relationships" name="VPS_REFERENCE" sheetId="5" r:id="R1ff1497707d94331"/>
    <x:sheet xmlns:r="http://schemas.openxmlformats.org/officeDocument/2006/relationships" name="SLOT_RULES" sheetId="6" r:id="R5c30cb7583644381"/>
    <x:sheet xmlns:r="http://schemas.openxmlformats.org/officeDocument/2006/relationships" name="LABEL_YIELD" sheetId="7" r:id="R2b38fb691ff34757"/>
    <x:sheet xmlns:r="http://schemas.openxmlformats.org/officeDocument/2006/relationships" name="README" sheetId="8" r:id="R118a3871fb194b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8323F"/>
      <x:name val="Carlito"/>
    </x:font>
    <x:font>
      <x:sz val="11"/>
      <x:color rgb="FF2E7D32"/>
      <x:name val="Carlito"/>
    </x:font>
    <x:font>
      <x:b/>
      <x:sz val="11"/>
      <x:color rgb="FF8A5A00"/>
      <x:name val="Carlito"/>
    </x:font>
    <x:font>
      <x:b/>
      <x:sz val="11"/>
      <x:color rgb="FF2E7D32"/>
      <x:name val="Carlito"/>
    </x:font>
    <x:font>
      <x:i/>
      <x:sz val="11"/>
      <x:color rgb="FF18323F"/>
      <x:name val="Carlito"/>
    </x:font>
    <x:font>
      <x:sz val="10"/>
      <x:color rgb="FF18323F"/>
      <x:name val="Carlito"/>
    </x:font>
    <x:font>
      <x:b/>
      <x:sz val="10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D56"/>
      </x:patternFill>
    </x:fill>
    <x:fill>
      <x:patternFill patternType="solid">
        <x:fgColor rgb="FF258F8B"/>
      </x:patternFill>
    </x:fill>
    <x:fill>
      <x:patternFill patternType="solid">
        <x:fgColor rgb="FFD8F0F0"/>
      </x:patternFill>
    </x:fill>
    <x:fill>
      <x:patternFill patternType="solid">
        <x:fgColor rgb="FFE7EEF3"/>
      </x:patternFill>
    </x:fill>
    <x:fill>
      <x:patternFill patternType="solid">
        <x:fgColor rgb="FFDDF2DF"/>
      </x:patternFill>
    </x:fill>
    <x:fill>
      <x:patternFill patternType="solid">
        <x:fgColor rgb="FFFFF5CE"/>
      </x:patternFill>
    </x:fill>
    <x:fill>
      <x:patternFill patternType="solid">
        <x:fgColor rgb="FFCDEDF8"/>
      </x:patternFill>
    </x:fill>
    <x:fill>
      <x:patternFill patternType="solid">
        <x:fgColor rgb="FFE8F5FA"/>
      </x:patternFill>
    </x:fill>
    <x:fill>
      <x:patternFill patternType="solid">
        <x:fgColor rgb="FF17706D"/>
      </x:patternFill>
    </x:fill>
  </x:fills>
  <x:borders count="5">
    <x:border/>
    <x:border>
      <x:left style="thin">
        <x:color rgb="FF6EC8E6"/>
      </x:left>
      <x:right style="thin">
        <x:color rgb="FF6EC8E6"/>
      </x:right>
      <x:top style="thin">
        <x:color rgb="FF6EC8E6"/>
      </x:top>
      <x:bottom style="thin">
        <x:color rgb="FF6EC8E6"/>
      </x:bottom>
    </x:border>
    <x:border>
      <x:bottom style="thin">
        <x:color rgb="FF6EC8E6"/>
      </x:bottom>
    </x:border>
    <x:border>
      <x:top style="thin">
        <x:color rgb="FF6EC8E6"/>
      </x:top>
      <x:bottom style="thin">
        <x:color rgb="FF6EC8E6"/>
      </x:bottom>
    </x:border>
    <x:border>
      <x:top style="thin">
        <x:color rgb="FF6EC8E6"/>
      </x:top>
    </x:border>
  </x:borders>
  <x:cellStyleXfs count="1">
    <x:xf numFmtId="0" fontId="0" fillId="0" borderId="0"/>
  </x:cellStyleXfs>
  <x:cellXfs count="1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6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horizontal="right"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 wrapText="1"/>
    </x:xf>
    <x:xf numFmtId="0" fontId="4" fillId="6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right" wrapText="1"/>
    </x:xf>
    <x:xf numFmtId="0" fontId="5" fillId="7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6" borderId="0" xfId="0" applyNumberFormat="1" applyFont="1" applyFill="1" applyBorder="1"/>
    <x:xf numFmtId="0" fontId="8" fillId="9" borderId="0" xfId="0" applyNumberFormat="1" applyFont="1" applyFill="1" applyBorder="1"/>
    <x:xf numFmtId="0" fontId="8" fillId="8" borderId="2" xfId="0" applyNumberFormat="1" applyFont="1" applyFill="1" applyBorder="1"/>
    <x:xf numFmtId="0" fontId="8" fillId="7" borderId="2" xfId="0" applyNumberFormat="1" applyFont="1" applyFill="1" applyBorder="1"/>
    <x:xf numFmtId="0" fontId="8" fillId="6" borderId="2" xfId="0" applyNumberFormat="1" applyFont="1" applyFill="1" applyBorder="1"/>
    <x:xf numFmtId="0" fontId="8" fillId="9" borderId="2" xfId="0" applyNumberFormat="1" applyFont="1" applyFill="1" applyBorder="1"/>
    <x:xf numFmtId="0" fontId="8" fillId="8" borderId="3" xfId="0" applyNumberFormat="1" applyFont="1" applyFill="1" applyBorder="1"/>
    <x:xf numFmtId="0" fontId="8" fillId="7" borderId="3" xfId="0" applyNumberFormat="1" applyFont="1" applyFill="1" applyBorder="1"/>
    <x:xf numFmtId="0" fontId="8" fillId="6" borderId="3" xfId="0" applyNumberFormat="1" applyFont="1" applyFill="1" applyBorder="1"/>
    <x:xf numFmtId="0" fontId="8" fillId="9" borderId="3" xfId="0" applyNumberFormat="1" applyFont="1" applyFill="1" applyBorder="1"/>
    <x:xf numFmtId="0" fontId="8" fillId="8" borderId="4" xfId="0" applyNumberFormat="1" applyFont="1" applyFill="1" applyBorder="1"/>
    <x:xf numFmtId="0" fontId="8" fillId="7" borderId="4" xfId="0" applyNumberFormat="1" applyFont="1" applyFill="1" applyBorder="1"/>
    <x:xf numFmtId="0" fontId="8" fillId="6" borderId="4" xfId="0" applyNumberFormat="1" applyFont="1" applyFill="1" applyBorder="1"/>
    <x:xf numFmtId="0" fontId="8" fillId="9" borderId="4" xfId="0" applyNumberFormat="1" applyFont="1" applyFill="1" applyBorder="1"/>
    <x:xf numFmtId="0" fontId="8" fillId="8" borderId="2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9" borderId="2" xfId="0" applyNumberFormat="1" applyFont="1" applyFill="1" applyBorder="1" applyAlignment="1">
      <x:alignment vertical="center"/>
    </x:xf>
    <x:xf numFmtId="0" fontId="8" fillId="8" borderId="3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/>
    </x:xf>
    <x:xf numFmtId="0" fontId="8" fillId="6" borderId="3" xfId="0" applyNumberFormat="1" applyFont="1" applyFill="1" applyBorder="1" applyAlignment="1">
      <x:alignment vertical="center"/>
    </x:xf>
    <x:xf numFmtId="0" fontId="8" fillId="9" borderId="3" xfId="0" applyNumberFormat="1" applyFont="1" applyFill="1" applyBorder="1" applyAlignment="1">
      <x:alignment vertical="center"/>
    </x:xf>
    <x:xf numFmtId="0" fontId="8" fillId="8" borderId="4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9" borderId="4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vertical="center"/>
    </x:xf>
    <x:xf numFmtId="200" fontId="8" fillId="8" borderId="3" xfId="0" applyNumberFormat="1" applyFont="1" applyFill="1" applyBorder="1" applyAlignment="1">
      <x:alignment vertical="center"/>
    </x:xf>
    <x:xf numFmtId="200" fontId="8" fillId="8" borderId="4" xfId="0" applyNumberFormat="1" applyFont="1" applyFill="1" applyBorder="1" applyAlignment="1">
      <x:alignment vertical="center"/>
    </x:xf>
    <x:xf numFmtId="200" fontId="8" fillId="7" borderId="2" xfId="0" applyNumberFormat="1" applyFont="1" applyFill="1" applyBorder="1" applyAlignment="1">
      <x:alignment vertical="center"/>
    </x:xf>
    <x:xf numFmtId="200" fontId="8" fillId="7" borderId="3" xfId="0" applyNumberFormat="1" applyFont="1" applyFill="1" applyBorder="1" applyAlignment="1">
      <x:alignment vertical="center"/>
    </x:xf>
    <x:xf numFmtId="200" fontId="8" fillId="7" borderId="4" xfId="0" applyNumberFormat="1" applyFont="1" applyFill="1" applyBorder="1" applyAlignment="1">
      <x:alignment vertical="center"/>
    </x:xf>
    <x:xf numFmtId="202" fontId="8" fillId="6" borderId="2" xfId="0" applyNumberFormat="1" applyFont="1" applyFill="1" applyBorder="1" applyAlignment="1">
      <x:alignment vertical="center"/>
    </x:xf>
    <x:xf numFmtId="202" fontId="8" fillId="6" borderId="3" xfId="0" applyNumberFormat="1" applyFont="1" applyFill="1" applyBorder="1" applyAlignment="1">
      <x:alignment vertical="center"/>
    </x:xf>
    <x:xf numFmtId="202" fontId="8" fillId="6" borderId="4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2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9" borderId="2" xfId="0" applyNumberFormat="1" applyFont="1" applyFill="1" applyBorder="1" applyAlignment="1">
      <x:alignment horizontal="center" vertical="center"/>
    </x:xf>
    <x:xf numFmtId="200" fontId="8" fillId="8" borderId="3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200" fontId="8" fillId="7" borderId="3" xfId="0" applyNumberFormat="1" applyFont="1" applyFill="1" applyBorder="1" applyAlignment="1">
      <x:alignment horizontal="center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0" fontId="8" fillId="6" borderId="3" xfId="0" applyNumberFormat="1" applyFont="1" applyFill="1" applyBorder="1" applyAlignment="1">
      <x:alignment horizontal="center" vertical="center"/>
    </x:xf>
    <x:xf numFmtId="0" fontId="8" fillId="9" borderId="3" xfId="0" applyNumberFormat="1" applyFont="1" applyFill="1" applyBorder="1" applyAlignment="1">
      <x:alignment horizontal="center" vertical="center"/>
    </x:xf>
    <x:xf numFmtId="200" fontId="8" fillId="8" borderId="4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200" fontId="8" fillId="7" borderId="4" xfId="0" applyNumberFormat="1" applyFont="1" applyFill="1" applyBorder="1" applyAlignment="1">
      <x:alignment horizontal="center" vertical="center"/>
    </x:xf>
    <x:xf numFmtId="202" fontId="8" fillId="6" borderId="4" xfId="0" applyNumberFormat="1" applyFont="1" applyFill="1" applyBorder="1" applyAlignment="1">
      <x:alignment horizontal="center" vertical="center"/>
    </x:xf>
    <x:xf numFmtId="0" fontId="8" fillId="6" borderId="4" xfId="0" applyNumberFormat="1" applyFont="1" applyFill="1" applyBorder="1" applyAlignment="1">
      <x:alignment horizontal="center" vertical="center"/>
    </x:xf>
    <x:xf numFmtId="0" fontId="8" fillId="9" borderId="4" xfId="0" applyNumberFormat="1" applyFont="1" applyFill="1" applyBorder="1" applyAlignment="1">
      <x:alignment horizontal="center" vertical="center"/>
    </x:xf>
    <x:xf numFmtId="0" fontId="8" fillId="9" borderId="2" xfId="0" applyNumberFormat="1" applyFont="1" applyFill="1" applyBorder="1" applyAlignment="1">
      <x:alignment horizontal="left" vertical="center"/>
    </x:xf>
    <x:xf numFmtId="0" fontId="8" fillId="9" borderId="3" xfId="0" applyNumberFormat="1" applyFont="1" applyFill="1" applyBorder="1" applyAlignment="1">
      <x:alignment horizontal="left" vertical="center"/>
    </x:xf>
    <x:xf numFmtId="0" fontId="8" fillId="9" borderId="4" xfId="0" applyNumberFormat="1" applyFont="1" applyFill="1" applyBorder="1" applyAlignment="1">
      <x:alignment horizontal="left" vertical="center"/>
    </x:xf>
    <x:xf numFmtId="203" fontId="8" fillId="8" borderId="2" xfId="0" applyNumberFormat="1" applyFont="1" applyFill="1" applyBorder="1" applyAlignment="1">
      <x:alignment vertical="center"/>
    </x:xf>
    <x:xf numFmtId="203" fontId="8" fillId="8" borderId="3" xfId="0" applyNumberFormat="1" applyFont="1" applyFill="1" applyBorder="1" applyAlignment="1">
      <x:alignment vertical="center"/>
    </x:xf>
    <x:xf numFmtId="203" fontId="8" fillId="8" borderId="4" xfId="0" applyNumberFormat="1" applyFont="1" applyFill="1" applyBorder="1" applyAlignment="1">
      <x:alignment vertical="center"/>
    </x:xf>
    <x:xf numFmtId="204" fontId="8" fillId="8" borderId="2" xfId="0" applyNumberFormat="1" applyFont="1" applyFill="1" applyBorder="1" applyAlignment="1">
      <x:alignment vertical="center"/>
    </x:xf>
    <x:xf numFmtId="204" fontId="8" fillId="8" borderId="3" xfId="0" applyNumberFormat="1" applyFont="1" applyFill="1" applyBorder="1" applyAlignment="1">
      <x:alignment vertical="center"/>
    </x:xf>
    <x:xf numFmtId="204" fontId="8" fillId="8" borderId="4" xfId="0" applyNumberFormat="1" applyFont="1" applyFill="1" applyBorder="1" applyAlignment="1">
      <x:alignment vertical="center"/>
    </x:xf>
    <x:xf numFmtId="201" fontId="8" fillId="8" borderId="2" xfId="0" applyNumberFormat="1" applyFont="1" applyFill="1" applyBorder="1" applyAlignment="1">
      <x:alignment vertical="center"/>
    </x:xf>
    <x:xf numFmtId="201" fontId="8" fillId="8" borderId="3" xfId="0" applyNumberFormat="1" applyFont="1" applyFill="1" applyBorder="1" applyAlignment="1">
      <x:alignment vertical="center"/>
    </x:xf>
    <x:xf numFmtId="201" fontId="8" fillId="8" borderId="4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2" xfId="0" applyNumberFormat="1" applyFont="1" applyFill="1" applyBorder="1" applyAlignment="1">
      <x:alignment vertical="center"/>
    </x:xf>
    <x:xf numFmtId="0" fontId="8" fillId="4" borderId="3" xfId="0" applyNumberFormat="1" applyFont="1" applyFill="1" applyBorder="1" applyAlignment="1">
      <x:alignment vertical="center"/>
    </x:xf>
    <x:xf numFmtId="0" fontId="8" fillId="4" borderId="4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20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20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horizontal="center"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200" fontId="8" fillId="8" borderId="4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vertical="center" wrapText="1"/>
    </x:xf>
    <x:xf numFmtId="0" fontId="8" fillId="4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4" xfId="0" applyNumberFormat="1" applyFont="1" applyFill="1" applyBorder="1" applyAlignment="1">
      <x:alignment vertical="center"/>
    </x:xf>
    <x:xf numFmtId="0" fontId="8" fillId="10" borderId="4" xfId="0" applyNumberFormat="1" applyFont="1" applyFill="1" applyBorder="1" applyAlignment="1">
      <x:alignment vertical="center"/>
    </x:xf>
    <x:xf numFmtId="0" fontId="9" fillId="10" borderId="4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right" vertical="center"/>
    </x:xf>
    <x:xf numFmtId="0" fontId="8" fillId="8" borderId="3" xfId="0" applyNumberFormat="1" applyFont="1" applyFill="1" applyBorder="1" applyAlignment="1">
      <x:alignment horizontal="right" vertical="center"/>
    </x:xf>
    <x:xf numFmtId="0" fontId="9" fillId="10" borderId="4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">
    <x:dxf>
      <x:font>
        <x:color rgb="FF2E7D32"/>
      </x:font>
      <x:fill>
        <x:patternFill patternType="solid">
          <x:bgColor rgb="FFDDF2DF"/>
        </x:patternFill>
      </x:fill>
    </x:dxf>
    <x:dxf>
      <x:font>
        <x:color rgb="FFB3261E"/>
      </x:font>
      <x:fill>
        <x:patternFill patternType="solid">
          <x:bgColor rgb="FFFC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4d343f1b944811" /><Relationship Type="http://schemas.openxmlformats.org/officeDocument/2006/relationships/theme" Target="/xl/theme/theme1.xml" Id="R6764bc77e0394704" /><Relationship Type="http://schemas.openxmlformats.org/officeDocument/2006/relationships/sharedStrings" Target="/xl/sharedStrings.xml" Id="R80d7b0bb9a354a77" /><Relationship Type="http://schemas.openxmlformats.org/officeDocument/2006/relationships/worksheet" Target="/xl/worksheets/sheet1.xml" Id="Rb16498bcb14343d9" /><Relationship Type="http://schemas.openxmlformats.org/officeDocument/2006/relationships/worksheet" Target="/xl/worksheets/sheet2.xml" Id="Rd8cbcd05765643b3" /><Relationship Type="http://schemas.openxmlformats.org/officeDocument/2006/relationships/worksheet" Target="/xl/worksheets/sheet3.xml" Id="R1daf1ddba71b4ad4" /><Relationship Type="http://schemas.openxmlformats.org/officeDocument/2006/relationships/worksheet" Target="/xl/worksheets/sheet4.xml" Id="R221c3134e1eb4b07" /><Relationship Type="http://schemas.openxmlformats.org/officeDocument/2006/relationships/worksheet" Target="/xl/worksheets/sheet5.xml" Id="R1ff1497707d94331" /><Relationship Type="http://schemas.openxmlformats.org/officeDocument/2006/relationships/worksheet" Target="/xl/worksheets/sheet6.xml" Id="R5c30cb7583644381" /><Relationship Type="http://schemas.openxmlformats.org/officeDocument/2006/relationships/worksheet" Target="/xl/worksheets/sheet7.xml" Id="R2b38fb691ff34757" /><Relationship Type="http://schemas.openxmlformats.org/officeDocument/2006/relationships/worksheet" Target="/xl/worksheets/sheet8.xml" Id="R118a3871fb194b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" hidden="0" customWidth="1"/>
    <x:col min="4" max="4" width="35" hidden="0" customWidth="1"/>
    <x:col min="5" max="5" width="26" hidden="0" customWidth="1"/>
  </x:cols>
  <x:sheetData>
    <x:row r="1" ht="30" customHeight="1">
      <x:c r="A1" s="25" t="str">
        <x:v>LỊCH CRAWL MÁY PHỤ — 12 CHECK-IN BỔ SUNG, 02/09/2026 ĐẾN 30/11/2026</x:v>
      </x:c>
      <x:c r="B1" s="25" t="str">
        <x:v>LỊCH CRAWL MÁY PHỤ — 12 CHECK-IN BỔ SUNG, 02/09/2026 ĐẾN 30/11/2026</x:v>
      </x:c>
      <x:c r="C1" s="25" t="str">
        <x:v>LỊCH CRAWL MÁY PHỤ — 12 CHECK-IN BỔ SUNG, 02/09/2026 ĐẾN 30/11/2026</x:v>
      </x:c>
      <x:c r="D1" s="25" t="str">
        <x:v>LỊCH CRAWL MÁY PHỤ — 12 CHECK-IN BỔ SUNG, 02/09/2026 ĐẾN 30/11/2026</x:v>
      </x:c>
      <x:c r="E1" s="25" t="str">
        <x:v>LỊCH CRAWL MÁY PHỤ — 12 CHECK-IN BỔ SUNG, 02/09/2026 ĐẾN 30/11/2026</x:v>
      </x:c>
    </x:row>
    <x:row r="2">
      <x:c r="A2" s="26"/>
      <x:c r="B2" s="26"/>
      <x:c r="C2" s="26"/>
      <x:c r="D2" s="26"/>
      <x:c r="E2" s="26"/>
    </x:row>
    <x:row r="3" ht="30" customHeight="1">
      <x:c r="A3" s="9" t="str">
        <x:v>Thông số</x:v>
      </x:c>
      <x:c r="B3" s="9" t="str">
        <x:v>Giá trị</x:v>
      </x:c>
      <x:c r="C3" s="26"/>
      <x:c r="D3" s="9" t="str">
        <x:v>Kiểm tra</x:v>
      </x:c>
      <x:c r="E3" s="9" t="str">
        <x:v>Kết quả</x:v>
      </x:c>
    </x:row>
    <x:row r="4">
      <x:c r="A4" s="27" t="str">
        <x:v>Ngày bắt đầu</x:v>
      </x:c>
      <x:c r="B4" s="28" t="n">
        <x:v>46267</x:v>
      </x:c>
      <x:c r="C4" s="26"/>
      <x:c r="D4" s="27" t="str">
        <x:v>Số ngày mong đợi</x:v>
      </x:c>
      <x:c r="E4" s="29" t="n">
        <x:f>B5-B4+1</x:f>
        <x:v>90</x:v>
      </x:c>
    </x:row>
    <x:row r="5">
      <x:c r="A5" s="27" t="str">
        <x:v>Ngày kết thúc</x:v>
      </x:c>
      <x:c r="B5" s="28" t="n">
        <x:v>46356</x:v>
      </x:c>
      <x:c r="C5" s="26"/>
      <x:c r="D5" s="27" t="str">
        <x:v>Số dòng lịch thực tế</x:v>
      </x:c>
      <x:c r="E5" s="29" t="n">
        <x:f>ROWS('AUX_CRAWL_PLAN'!A4:A93)</x:f>
        <x:v>90</x:v>
      </x:c>
    </x:row>
    <x:row r="6">
      <x:c r="A6" s="27" t="str">
        <x:v>Giờ bắt đầu mỗi ngày</x:v>
      </x:c>
      <x:c r="B6" s="30" t="str">
        <x:v>00:30</x:v>
      </x:c>
      <x:c r="C6" s="26"/>
      <x:c r="D6" s="27" t="str">
        <x:v>Mỗi ngày đủ 12 check-in</x:v>
      </x:c>
      <x:c r="E6" s="31" t="str">
        <x:f>IF(COUNTIF('AUX_CRAWL_PLAN'!S4:S93,"FAIL")=0,"PASS","FAIL")</x:f>
        <x:v>PASS</x:v>
      </x:c>
    </x:row>
    <x:row r="7">
      <x:c r="A7" s="27" t="str">
        <x:v>Múi giờ</x:v>
      </x:c>
      <x:c r="B7" s="30" t="str">
        <x:v>Asia/Ho_Chi_Minh</x:v>
      </x:c>
      <x:c r="C7" s="26"/>
      <x:c r="D7" s="27" t="str">
        <x:v>Không trùng local chính</x:v>
      </x:c>
      <x:c r="E7" s="31" t="str">
        <x:f>IF(COUNTIF('AUX_CRAWL_PLAN'!T4:T93,"FAIL")=0,"PASS","FAIL")</x:f>
        <x:v>PASS</x:v>
      </x:c>
    </x:row>
    <x:row r="8">
      <x:c r="A8" s="27" t="str">
        <x:v>Tổng số ngày theo lịch</x:v>
      </x:c>
      <x:c r="B8" s="32" t="n">
        <x:f>'AUX_CRAWL_PLAN'!A93-'AUX_CRAWL_PLAN'!A4+1</x:f>
        <x:v>90</x:v>
      </x:c>
      <x:c r="C8" s="26"/>
      <x:c r="D8" s="27" t="str">
        <x:v>Không trùng VPS</x:v>
      </x:c>
      <x:c r="E8" s="31" t="str">
        <x:f>IF(COUNTIF('AUX_CRAWL_PLAN'!U4:U93,"FAIL")=0,"PASS","FAIL")</x:f>
        <x:v>PASS</x:v>
      </x:c>
    </x:row>
    <x:row r="9">
      <x:c r="A9" s="27" t="str">
        <x:v>Số khách sạn</x:v>
      </x:c>
      <x:c r="B9" s="32" t="n">
        <x:v>355</x:v>
      </x:c>
      <x:c r="C9" s="26"/>
      <x:c r="D9" s="27" t="str">
        <x:v>Không trùng nội bộ máy phụ</x:v>
      </x:c>
      <x:c r="E9" s="31" t="str">
        <x:f>IF(COUNTIF('AUX_CRAWL_PLAN'!V4:V93,"FAIL")=0,"PASS","FAIL")</x:f>
        <x:v>PASS</x:v>
      </x:c>
    </x:row>
    <x:row r="10">
      <x:c r="A10" s="27" t="str">
        <x:v>Check-in mỗi ngày</x:v>
      </x:c>
      <x:c r="B10" s="32" t="n">
        <x:v>12</x:v>
      </x:c>
      <x:c r="C10" s="26"/>
      <x:c r="D10" s="27" t="str">
        <x:v>Benchmark 355×12 trên máy phụ</x:v>
      </x:c>
      <x:c r="E10" s="33" t="str">
        <x:f>"PENDING"</x:f>
        <x:v>PENDING</x:v>
      </x:c>
    </x:row>
    <x:row r="11">
      <x:c r="A11" s="27" t="str">
        <x:v>Item dự kiến mỗi ngày</x:v>
      </x:c>
      <x:c r="B11" s="32" t="n">
        <x:v>4260</x:v>
      </x:c>
      <x:c r="C11" s="26"/>
      <x:c r="D11" s="27" t="str">
        <x:v>Dead-link two-confirmation đã deploy</x:v>
      </x:c>
      <x:c r="E11" s="33" t="str">
        <x:f>"PENDING"</x:f>
        <x:v>PENDING</x:v>
      </x:c>
    </x:row>
    <x:row r="12">
      <x:c r="A12" s="27" t="str">
        <x:v>Tổng item lý thuyết</x:v>
      </x:c>
      <x:c r="B12" s="32" t="n">
        <x:f>B8*B11</x:f>
        <x:v>383400</x:v>
      </x:c>
      <x:c r="C12" s="26"/>
      <x:c r="D12" s="27" t="str">
        <x:v>Trạng thái kỹ thuật workbook</x:v>
      </x:c>
      <x:c r="E12" s="34" t="str">
        <x:f>IF(AND(E4=E5,E6="PASS",E7="PASS",E8="PASS",E9="PASS"),"PASS — chờ 2 gate vận hành","FAIL")</x:f>
        <x:v>PASS — chờ 2 gate vận hành</x:v>
      </x:c>
    </x:row>
    <x:row r="13">
      <x:c r="A13" s="27" t="str">
        <x:v>Đã hoàn thành</x:v>
      </x:c>
      <x:c r="B13" s="32" t="n">
        <x:f>COUNTIF('CRAWL_LOG'!B4:B93,"Hoàn thành*")</x:f>
        <x:v>0</x:v>
      </x:c>
      <x:c r="C13" s="26"/>
      <x:c r="D13" s="26"/>
      <x:c r="E13" s="26"/>
    </x:row>
    <x:row r="14">
      <x:c r="A14" s="27" t="str">
        <x:v>Chưa chạy</x:v>
      </x:c>
      <x:c r="B14" s="32" t="n">
        <x:f>COUNTIF('CRAWL_LOG'!B4:B93,"Chưa chạy")</x:f>
        <x:v>90</x:v>
      </x:c>
      <x:c r="C14" s="26"/>
      <x:c r="D14" s="26"/>
      <x:c r="E14" s="26"/>
    </x:row>
    <x:row r="15">
      <x:c r="A15" s="26"/>
      <x:c r="B15" s="26"/>
      <x:c r="C15" s="26"/>
      <x:c r="D15" s="26"/>
      <x:c r="E15" s="26"/>
    </x:row>
    <x:row r="16">
      <x:c r="A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B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C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D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E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</x:row>
    <x:row r="17">
      <x:c r="A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B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C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D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E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</x:row>
  </x:sheetData>
  <x:mergeCells>
    <x:mergeCell ref="A1:E1"/>
    <x:mergeCell ref="A16:E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0" hidden="0" customWidth="1"/>
    <x:col min="18" max="18" width="10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42" hidden="0" customWidth="1"/>
  </x:cols>
  <x:sheetData>
    <x:row r="1" ht="30" customHeight="1">
      <x:c r="A1" s="3" t="str">
        <x:v>AUX-LOCAL CRAWL PLAN — 90 NGÀY, 12 CHECK-IN BỔ SUNG MỖI NGÀY</x:v>
      </x:c>
      <x:c r="B1" s="3" t="str">
        <x:v>AUX-LOCAL CRAWL PLAN — 90 NGÀY, 12 CHECK-IN BỔ SUNG MỖI NGÀY</x:v>
      </x:c>
      <x:c r="C1" s="3" t="str">
        <x:v>AUX-LOCAL CRAWL PLAN — 90 NGÀY, 12 CHECK-IN BỔ SUNG MỖI NGÀY</x:v>
      </x:c>
      <x:c r="D1" s="3" t="str">
        <x:v>AUX-LOCAL CRAWL PLAN — 90 NGÀY, 12 CHECK-IN BỔ SUNG MỖI NGÀY</x:v>
      </x:c>
      <x:c r="E1" s="3" t="str">
        <x:v>AUX-LOCAL CRAWL PLAN — 90 NGÀY, 12 CHECK-IN BỔ SUNG MỖI NGÀY</x:v>
      </x:c>
      <x:c r="F1" s="3" t="str">
        <x:v>AUX-LOCAL CRAWL PLAN — 90 NGÀY, 12 CHECK-IN BỔ SUNG MỖI NGÀY</x:v>
      </x:c>
      <x:c r="G1" s="3" t="str">
        <x:v>AUX-LOCAL CRAWL PLAN — 90 NGÀY, 12 CHECK-IN BỔ SUNG MỖI NGÀY</x:v>
      </x:c>
      <x:c r="H1" s="3" t="str">
        <x:v>AUX-LOCAL CRAWL PLAN — 90 NGÀY, 12 CHECK-IN BỔ SUNG MỖI NGÀY</x:v>
      </x:c>
      <x:c r="I1" s="3" t="str">
        <x:v>AUX-LOCAL CRAWL PLAN — 90 NGÀY, 12 CHECK-IN BỔ SUNG MỖI NGÀY</x:v>
      </x:c>
      <x:c r="J1" s="3" t="str">
        <x:v>AUX-LOCAL CRAWL PLAN — 90 NGÀY, 12 CHECK-IN BỔ SUNG MỖI NGÀY</x:v>
      </x:c>
      <x:c r="K1" s="3" t="str">
        <x:v>AUX-LOCAL CRAWL PLAN — 90 NGÀY, 12 CHECK-IN BỔ SUNG MỖI NGÀY</x:v>
      </x:c>
      <x:c r="L1" s="3" t="str">
        <x:v>AUX-LOCAL CRAWL PLAN — 90 NGÀY, 12 CHECK-IN BỔ SUNG MỖI NGÀY</x:v>
      </x:c>
      <x:c r="M1" s="3" t="str">
        <x:v>AUX-LOCAL CRAWL PLAN — 90 NGÀY, 12 CHECK-IN BỔ SUNG MỖI NGÀY</x:v>
      </x:c>
      <x:c r="N1" s="3" t="str">
        <x:v>AUX-LOCAL CRAWL PLAN — 90 NGÀY, 12 CHECK-IN BỔ SUNG MỖI NGÀY</x:v>
      </x:c>
      <x:c r="O1" s="3" t="str">
        <x:v>AUX-LOCAL CRAWL PLAN — 90 NGÀY, 12 CHECK-IN BỔ SUNG MỖI NGÀY</x:v>
      </x:c>
      <x:c r="P1" s="3" t="str">
        <x:v>AUX-LOCAL CRAWL PLAN — 90 NGÀY, 12 CHECK-IN BỔ SUNG MỖI NGÀY</x:v>
      </x:c>
      <x:c r="Q1" s="3" t="str">
        <x:v>AUX-LOCAL CRAWL PLAN — 90 NGÀY, 12 CHECK-IN BỔ SUNG MỖI NGÀY</x:v>
      </x:c>
      <x:c r="R1" s="3" t="str">
        <x:v>AUX-LOCAL CRAWL PLAN — 90 NGÀY, 12 CHECK-IN BỔ SUNG MỖI NGÀY</x:v>
      </x:c>
      <x:c r="S1" s="3" t="str">
        <x:v>AUX-LOCAL CRAWL PLAN — 90 NGÀY, 12 CHECK-IN BỔ SUNG MỖI NGÀY</x:v>
      </x:c>
      <x:c r="T1" s="3" t="str">
        <x:v>AUX-LOCAL CRAWL PLAN — 90 NGÀY, 12 CHECK-IN BỔ SUNG MỖI NGÀY</x:v>
      </x:c>
      <x:c r="U1" s="3" t="str">
        <x:v>AUX-LOCAL CRAWL PLAN — 90 NGÀY, 12 CHECK-IN BỔ SUNG MỖI NGÀY</x:v>
      </x:c>
      <x:c r="V1" s="3" t="str">
        <x:v>AUX-LOCAL CRAWL PLAN — 90 NGÀY, 12 CHECK-IN BỔ SUNG MỖI NGÀY</x:v>
      </x:c>
      <x:c r="W1" s="3" t="str">
        <x:v>AUX-LOCAL CRAWL PLAN — 90 NGÀY, 12 CHECK-IN BỔ SUNG MỖI NGÀY</x:v>
      </x:c>
      <x:c r="X1" s="3" t="str">
        <x:v>AUX-LOCAL CRAWL PLAN — 90 NGÀY, 12 CHECK-IN BỔ SUNG MỖI NGÀY</x:v>
      </x:c>
    </x:row>
    <x:row r="2">
      <x:c r="A2" s="36" t="str">
        <x:v>AN1–AN9 là near; AF1–AF3 là far. Mọi ngày được đối chiếu với 12 slot local chính và 5 slot VPS. Roll chỉ khi check-in &lt; crawl date; lead time 0 hợp lệ.</x:v>
      </x:c>
      <x:c r="B2" s="36" t="str">
        <x:v>AN1–AN9 là near; AF1–AF3 là far. Mọi ngày được đối chiếu với 12 slot local chính và 5 slot VPS. Roll chỉ khi check-in &lt; crawl date; lead time 0 hợp lệ.</x:v>
      </x:c>
      <x:c r="C2" s="36" t="str">
        <x:v>AN1–AN9 là near; AF1–AF3 là far. Mọi ngày được đối chiếu với 12 slot local chính và 5 slot VPS. Roll chỉ khi check-in &lt; crawl date; lead time 0 hợp lệ.</x:v>
      </x:c>
      <x:c r="D2" s="36" t="str">
        <x:v>AN1–AN9 là near; AF1–AF3 là far. Mọi ngày được đối chiếu với 12 slot local chính và 5 slot VPS. Roll chỉ khi check-in &lt; crawl date; lead time 0 hợp lệ.</x:v>
      </x:c>
      <x:c r="E2" s="36" t="str">
        <x:v>AN1–AN9 là near; AF1–AF3 là far. Mọi ngày được đối chiếu với 12 slot local chính và 5 slot VPS. Roll chỉ khi check-in &lt; crawl date; lead time 0 hợp lệ.</x:v>
      </x:c>
      <x:c r="F2" s="36" t="str">
        <x:v>AN1–AN9 là near; AF1–AF3 là far. Mọi ngày được đối chiếu với 12 slot local chính và 5 slot VPS. Roll chỉ khi check-in &lt; crawl date; lead time 0 hợp lệ.</x:v>
      </x:c>
      <x:c r="G2" s="36" t="str">
        <x:v>AN1–AN9 là near; AF1–AF3 là far. Mọi ngày được đối chiếu với 12 slot local chính và 5 slot VPS. Roll chỉ khi check-in &lt; crawl date; lead time 0 hợp lệ.</x:v>
      </x:c>
      <x:c r="H2" s="36" t="str">
        <x:v>AN1–AN9 là near; AF1–AF3 là far. Mọi ngày được đối chiếu với 12 slot local chính và 5 slot VPS. Roll chỉ khi check-in &lt; crawl date; lead time 0 hợp lệ.</x:v>
      </x:c>
      <x:c r="I2" s="36" t="str">
        <x:v>AN1–AN9 là near; AF1–AF3 là far. Mọi ngày được đối chiếu với 12 slot local chính và 5 slot VPS. Roll chỉ khi check-in &lt; crawl date; lead time 0 hợp lệ.</x:v>
      </x:c>
      <x:c r="J2" s="36" t="str">
        <x:v>AN1–AN9 là near; AF1–AF3 là far. Mọi ngày được đối chiếu với 12 slot local chính và 5 slot VPS. Roll chỉ khi check-in &lt; crawl date; lead time 0 hợp lệ.</x:v>
      </x:c>
      <x:c r="K2" s="36" t="str">
        <x:v>AN1–AN9 là near; AF1–AF3 là far. Mọi ngày được đối chiếu với 12 slot local chính và 5 slot VPS. Roll chỉ khi check-in &lt; crawl date; lead time 0 hợp lệ.</x:v>
      </x:c>
      <x:c r="L2" s="36" t="str">
        <x:v>AN1–AN9 là near; AF1–AF3 là far. Mọi ngày được đối chiếu với 12 slot local chính và 5 slot VPS. Roll chỉ khi check-in &lt; crawl date; lead time 0 hợp lệ.</x:v>
      </x:c>
      <x:c r="M2" s="36" t="str">
        <x:v>AN1–AN9 là near; AF1–AF3 là far. Mọi ngày được đối chiếu với 12 slot local chính và 5 slot VPS. Roll chỉ khi check-in &lt; crawl date; lead time 0 hợp lệ.</x:v>
      </x:c>
      <x:c r="N2" s="36" t="str">
        <x:v>AN1–AN9 là near; AF1–AF3 là far. Mọi ngày được đối chiếu với 12 slot local chính và 5 slot VPS. Roll chỉ khi check-in &lt; crawl date; lead time 0 hợp lệ.</x:v>
      </x:c>
      <x:c r="O2" s="36" t="str">
        <x:v>AN1–AN9 là near; AF1–AF3 là far. Mọi ngày được đối chiếu với 12 slot local chính và 5 slot VPS. Roll chỉ khi check-in &lt; crawl date; lead time 0 hợp lệ.</x:v>
      </x:c>
      <x:c r="P2" s="36" t="str">
        <x:v>AN1–AN9 là near; AF1–AF3 là far. Mọi ngày được đối chiếu với 12 slot local chính và 5 slot VPS. Roll chỉ khi check-in &lt; crawl date; lead time 0 hợp lệ.</x:v>
      </x:c>
      <x:c r="Q2" s="36" t="str">
        <x:v>AN1–AN9 là near; AF1–AF3 là far. Mọi ngày được đối chiếu với 12 slot local chính và 5 slot VPS. Roll chỉ khi check-in &lt; crawl date; lead time 0 hợp lệ.</x:v>
      </x:c>
      <x:c r="R2" s="36" t="str">
        <x:v>AN1–AN9 là near; AF1–AF3 là far. Mọi ngày được đối chiếu với 12 slot local chính và 5 slot VPS. Roll chỉ khi check-in &lt; crawl date; lead time 0 hợp lệ.</x:v>
      </x:c>
      <x:c r="S2" s="36" t="str">
        <x:v>AN1–AN9 là near; AF1–AF3 là far. Mọi ngày được đối chiếu với 12 slot local chính và 5 slot VPS. Roll chỉ khi check-in &lt; crawl date; lead time 0 hợp lệ.</x:v>
      </x:c>
      <x:c r="T2" s="36" t="str">
        <x:v>AN1–AN9 là near; AF1–AF3 là far. Mọi ngày được đối chiếu với 12 slot local chính và 5 slot VPS. Roll chỉ khi check-in &lt; crawl date; lead time 0 hợp lệ.</x:v>
      </x:c>
      <x:c r="U2" s="36" t="str">
        <x:v>AN1–AN9 là near; AF1–AF3 là far. Mọi ngày được đối chiếu với 12 slot local chính và 5 slot VPS. Roll chỉ khi check-in &lt; crawl date; lead time 0 hợp lệ.</x:v>
      </x:c>
      <x:c r="V2" s="36" t="str">
        <x:v>AN1–AN9 là near; AF1–AF3 là far. Mọi ngày được đối chiếu với 12 slot local chính và 5 slot VPS. Roll chỉ khi check-in &lt; crawl date; lead time 0 hợp lệ.</x:v>
      </x:c>
      <x:c r="W2" s="36" t="str">
        <x:v>AN1–AN9 là near; AF1–AF3 là far. Mọi ngày được đối chiếu với 12 slot local chính và 5 slot VPS. Roll chỉ khi check-in &lt; crawl date; lead time 0 hợp lệ.</x:v>
      </x:c>
      <x:c r="X2" s="36" t="str">
        <x:v>AN1–AN9 là near; AF1–AF3 là far. Mọi ngày được đối chiếu với 12 slot local chính và 5 slot VPS. Roll chỉ khi check-in &lt; crawl date; lead time 0 hợp lệ.</x:v>
      </x:c>
    </x:row>
    <x:row r="3" ht="30" customHeight="1">
      <x:c r="A3" s="9" t="str">
        <x:v>Crawl date</x:v>
      </x:c>
      <x:c r="B3" s="9" t="str">
        <x:v>Thứ</x:v>
      </x:c>
      <x:c r="C3" s="9" t="str">
        <x:v>Phase</x:v>
      </x:c>
      <x:c r="D3" s="9" t="str">
        <x:v>Start time (ICT)</x:v>
      </x:c>
      <x:c r="E3" s="9" t="str">
        <x:v>AN1</x:v>
      </x:c>
      <x:c r="F3" s="9" t="str">
        <x:v>AN2</x:v>
      </x:c>
      <x:c r="G3" s="9" t="str">
        <x:v>AN3</x:v>
      </x:c>
      <x:c r="H3" s="9" t="str">
        <x:v>AN4</x:v>
      </x:c>
      <x:c r="I3" s="9" t="str">
        <x:v>AN5</x:v>
      </x:c>
      <x:c r="J3" s="9" t="str">
        <x:v>AN6</x:v>
      </x:c>
      <x:c r="K3" s="9" t="str">
        <x:v>AN7</x:v>
      </x:c>
      <x:c r="L3" s="9" t="str">
        <x:v>AN8</x:v>
      </x:c>
      <x:c r="M3" s="9" t="str">
        <x:v>AN9</x:v>
      </x:c>
      <x:c r="N3" s="9" t="str">
        <x:v>AF1</x:v>
      </x:c>
      <x:c r="O3" s="9" t="str">
        <x:v>AF2</x:v>
      </x:c>
      <x:c r="P3" s="9" t="str">
        <x:v>AF3</x:v>
      </x:c>
      <x:c r="Q3" s="9" t="str">
        <x:v>Min lead</x:v>
      </x:c>
      <x:c r="R3" s="9" t="str">
        <x:v>Max lead</x:v>
      </x:c>
      <x:c r="S3" s="9" t="str">
        <x:v>12 ngày hợp lệ</x:v>
      </x:c>
      <x:c r="T3" s="9" t="str">
        <x:v>Không trùng local</x:v>
      </x:c>
      <x:c r="U3" s="9" t="str">
        <x:v>Không trùng VPS</x:v>
      </x:c>
      <x:c r="V3" s="9" t="str">
        <x:v>Không trùng nội bộ</x:v>
      </x:c>
      <x:c r="W3" s="9" t="str">
        <x:v>Crawl status</x:v>
      </x:c>
      <x:c r="X3" s="9" t="str">
        <x:v>Sampling note</x:v>
      </x:c>
    </x:row>
    <x:row r="4">
      <x:c r="A4" s="76" t="n">
        <x:v>46267</x:v>
      </x:c>
      <x:c r="B4" s="77" t="str">
        <x:v>Thứ Tư</x:v>
      </x:c>
      <x:c r="C4" s="77" t="str">
        <x:v>Official</x:v>
      </x:c>
      <x:c r="D4" s="77" t="str">
        <x:v>00:30</x:v>
      </x:c>
      <x:c r="E4" s="78" t="n">
        <x:f>'SLOT_RULES'!$D$4+IF($A4&lt;='SLOT_RULES'!$D$4,0,INT(($A4-'SLOT_RULES'!$D$4-1)/'SLOT_RULES'!$E$4)+1)*'SLOT_RULES'!$E$4</x:f>
        <x:v>46269</x:v>
      </x:c>
      <x:c r="F4" s="78" t="n">
        <x:f>'SLOT_RULES'!$D$5+IF($A4&lt;='SLOT_RULES'!$D$5,0,INT(($A4-'SLOT_RULES'!$D$5-1)/'SLOT_RULES'!$E$5)+1)*'SLOT_RULES'!$E$5</x:f>
        <x:v>46276</x:v>
      </x:c>
      <x:c r="G4" s="78" t="n">
        <x:f>'SLOT_RULES'!$D$6+IF($A4&lt;='SLOT_RULES'!$D$6,0,INT(($A4-'SLOT_RULES'!$D$6-1)/'SLOT_RULES'!$E$6)+1)*'SLOT_RULES'!$E$6</x:f>
        <x:v>46283</x:v>
      </x:c>
      <x:c r="H4" s="78" t="n">
        <x:f>'SLOT_RULES'!$D$7+IF($A4&lt;='SLOT_RULES'!$D$7,0,INT(($A4-'SLOT_RULES'!$D$7-1)/'SLOT_RULES'!$E$7)+1)*'SLOT_RULES'!$E$7</x:f>
        <x:v>46290</x:v>
      </x:c>
      <x:c r="I4" s="78" t="n">
        <x:f>'SLOT_RULES'!$D$8+IF($A4&lt;='SLOT_RULES'!$D$8,0,INT(($A4-'SLOT_RULES'!$D$8-1)/'SLOT_RULES'!$E$8)+1)*'SLOT_RULES'!$E$8</x:f>
        <x:v>46272</x:v>
      </x:c>
      <x:c r="J4" s="78" t="n">
        <x:f>'SLOT_RULES'!$D$9+IF($A4&lt;='SLOT_RULES'!$D$9,0,INT(($A4-'SLOT_RULES'!$D$9-1)/'SLOT_RULES'!$E$9)+1)*'SLOT_RULES'!$E$9</x:f>
        <x:v>46286</x:v>
      </x:c>
      <x:c r="K4" s="78" t="n">
        <x:f>'SLOT_RULES'!$D$10+IF($A4&lt;='SLOT_RULES'!$D$10,0,INT(($A4-'SLOT_RULES'!$D$10-1)/'SLOT_RULES'!$E$10)+1)*'SLOT_RULES'!$E$10</x:f>
        <x:v>46273</x:v>
      </x:c>
      <x:c r="L4" s="78" t="n">
        <x:f>'SLOT_RULES'!$D$11+IF($A4&lt;='SLOT_RULES'!$D$11,0,INT(($A4-'SLOT_RULES'!$D$11-1)/'SLOT_RULES'!$E$11)+1)*'SLOT_RULES'!$E$11</x:f>
        <x:v>46280</x:v>
      </x:c>
      <x:c r="M4" s="78" t="n">
        <x:f>'SLOT_RULES'!$D$12+IF($A4&lt;='SLOT_RULES'!$D$12,0,INT(($A4-'SLOT_RULES'!$D$12-1)/'SLOT_RULES'!$E$12)+1)*'SLOT_RULES'!$E$12</x:f>
        <x:v>46285</x:v>
      </x:c>
      <x:c r="N4" s="78" t="n">
        <x:f>'SLOT_RULES'!$D$13+IF($A4&lt;='SLOT_RULES'!$D$13,0,INT(($A4-'SLOT_RULES'!$D$13-1)/'SLOT_RULES'!$E$13)+1)*'SLOT_RULES'!$E$13</x:f>
        <x:v>46321</x:v>
      </x:c>
      <x:c r="O4" s="78" t="n">
        <x:f>'SLOT_RULES'!$D$14+IF($A4&lt;='SLOT_RULES'!$D$14,0,INT(($A4-'SLOT_RULES'!$D$14-1)/'SLOT_RULES'!$E$14)+1)*'SLOT_RULES'!$E$14</x:f>
        <x:v>46350</x:v>
      </x:c>
      <x:c r="P4" s="78" t="n">
        <x:f>'SLOT_RULES'!$D$15+IF($A4&lt;='SLOT_RULES'!$D$15,0,INT(($A4-'SLOT_RULES'!$D$15-1)/'SLOT_RULES'!$E$15)+1)*'SLOT_RULES'!$E$15</x:f>
        <x:v>46422</x:v>
      </x:c>
      <x:c r="Q4" s="79" t="n">
        <x:f>MIN(E4:P4)-A4</x:f>
        <x:v>2</x:v>
      </x:c>
      <x:c r="R4" s="79" t="n">
        <x:f>MAX(E4:P4)-A4</x:f>
        <x:v>155</x:v>
      </x:c>
      <x:c r="S4" s="80" t="str">
        <x:f>IF(AND(COUNT(E4:P4)=12,MIN(E4:P4)&gt;=A4),"PASS","FAIL")</x:f>
        <x:v>PASS</x:v>
      </x:c>
      <x:c r="T4" s="80" t="str">
        <x: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x:f>
        <x:v>PASS</x:v>
      </x:c>
      <x:c r="U4" s="80" t="str">
        <x: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x:f>
        <x:v>PASS</x:v>
      </x:c>
      <x:c r="V4" s="80" t="str">
        <x: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x:f>
        <x:v>PASS</x:v>
      </x:c>
      <x:c r="W4" s="81" t="str">
        <x:f>'CRAWL_LOG'!B4</x:f>
        <x:v>Chưa chạy</x:v>
      </x:c>
      <x:c r="X4" s="94" t="str">
        <x:v>Aux-local complementary panel; benchmark gate pending</x:v>
      </x:c>
    </x:row>
    <x:row r="5">
      <x:c r="A5" s="82" t="n">
        <x:v>46268</x:v>
      </x:c>
      <x:c r="B5" s="83" t="str">
        <x:v>Thứ Năm</x:v>
      </x:c>
      <x:c r="C5" s="83" t="str">
        <x:v>Official</x:v>
      </x:c>
      <x:c r="D5" s="83" t="str">
        <x:v>00:30</x:v>
      </x:c>
      <x:c r="E5" s="84" t="n">
        <x:f>'SLOT_RULES'!$D$4+IF($A5&lt;='SLOT_RULES'!$D$4,0,INT(($A5-'SLOT_RULES'!$D$4-1)/'SLOT_RULES'!$E$4)+1)*'SLOT_RULES'!$E$4</x:f>
        <x:v>46269</x:v>
      </x:c>
      <x:c r="F5" s="84" t="n">
        <x:f>'SLOT_RULES'!$D$5+IF($A5&lt;='SLOT_RULES'!$D$5,0,INT(($A5-'SLOT_RULES'!$D$5-1)/'SLOT_RULES'!$E$5)+1)*'SLOT_RULES'!$E$5</x:f>
        <x:v>46276</x:v>
      </x:c>
      <x:c r="G5" s="84" t="n">
        <x:f>'SLOT_RULES'!$D$6+IF($A5&lt;='SLOT_RULES'!$D$6,0,INT(($A5-'SLOT_RULES'!$D$6-1)/'SLOT_RULES'!$E$6)+1)*'SLOT_RULES'!$E$6</x:f>
        <x:v>46283</x:v>
      </x:c>
      <x:c r="H5" s="84" t="n">
        <x:f>'SLOT_RULES'!$D$7+IF($A5&lt;='SLOT_RULES'!$D$7,0,INT(($A5-'SLOT_RULES'!$D$7-1)/'SLOT_RULES'!$E$7)+1)*'SLOT_RULES'!$E$7</x:f>
        <x:v>46290</x:v>
      </x:c>
      <x:c r="I5" s="84" t="n">
        <x:f>'SLOT_RULES'!$D$8+IF($A5&lt;='SLOT_RULES'!$D$8,0,INT(($A5-'SLOT_RULES'!$D$8-1)/'SLOT_RULES'!$E$8)+1)*'SLOT_RULES'!$E$8</x:f>
        <x:v>46272</x:v>
      </x:c>
      <x:c r="J5" s="84" t="n">
        <x:f>'SLOT_RULES'!$D$9+IF($A5&lt;='SLOT_RULES'!$D$9,0,INT(($A5-'SLOT_RULES'!$D$9-1)/'SLOT_RULES'!$E$9)+1)*'SLOT_RULES'!$E$9</x:f>
        <x:v>46286</x:v>
      </x:c>
      <x:c r="K5" s="84" t="n">
        <x:f>'SLOT_RULES'!$D$10+IF($A5&lt;='SLOT_RULES'!$D$10,0,INT(($A5-'SLOT_RULES'!$D$10-1)/'SLOT_RULES'!$E$10)+1)*'SLOT_RULES'!$E$10</x:f>
        <x:v>46273</x:v>
      </x:c>
      <x:c r="L5" s="84" t="n">
        <x:f>'SLOT_RULES'!$D$11+IF($A5&lt;='SLOT_RULES'!$D$11,0,INT(($A5-'SLOT_RULES'!$D$11-1)/'SLOT_RULES'!$E$11)+1)*'SLOT_RULES'!$E$11</x:f>
        <x:v>46280</x:v>
      </x:c>
      <x:c r="M5" s="84" t="n">
        <x:f>'SLOT_RULES'!$D$12+IF($A5&lt;='SLOT_RULES'!$D$12,0,INT(($A5-'SLOT_RULES'!$D$12-1)/'SLOT_RULES'!$E$12)+1)*'SLOT_RULES'!$E$12</x:f>
        <x:v>46285</x:v>
      </x:c>
      <x:c r="N5" s="84" t="n">
        <x:f>'SLOT_RULES'!$D$13+IF($A5&lt;='SLOT_RULES'!$D$13,0,INT(($A5-'SLOT_RULES'!$D$13-1)/'SLOT_RULES'!$E$13)+1)*'SLOT_RULES'!$E$13</x:f>
        <x:v>46321</x:v>
      </x:c>
      <x:c r="O5" s="84" t="n">
        <x:f>'SLOT_RULES'!$D$14+IF($A5&lt;='SLOT_RULES'!$D$14,0,INT(($A5-'SLOT_RULES'!$D$14-1)/'SLOT_RULES'!$E$14)+1)*'SLOT_RULES'!$E$14</x:f>
        <x:v>46350</x:v>
      </x:c>
      <x:c r="P5" s="84" t="n">
        <x:f>'SLOT_RULES'!$D$15+IF($A5&lt;='SLOT_RULES'!$D$15,0,INT(($A5-'SLOT_RULES'!$D$15-1)/'SLOT_RULES'!$E$15)+1)*'SLOT_RULES'!$E$15</x:f>
        <x:v>46422</x:v>
      </x:c>
      <x:c r="Q5" s="85" t="n">
        <x:f>MIN(E5:P5)-A5</x:f>
        <x:v>1</x:v>
      </x:c>
      <x:c r="R5" s="85" t="n">
        <x:f>MAX(E5:P5)-A5</x:f>
        <x:v>154</x:v>
      </x:c>
      <x:c r="S5" s="86" t="str">
        <x:f>IF(AND(COUNT(E5:P5)=12,MIN(E5:P5)&gt;=A5),"PASS","FAIL")</x:f>
        <x:v>PASS</x:v>
      </x:c>
      <x:c r="T5" s="86" t="str">
        <x:f>IF((COUNTIF('LOCAL_REFERENCE'!$D5:$O5,E5)+COUNTIF('LOCAL_REFERENCE'!$D5:$O5,F5)+COUNTIF('LOCAL_REFERENCE'!$D5:$O5,G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x:f>
        <x:v>PASS</x:v>
      </x:c>
      <x:c r="U5" s="86" t="str">
        <x:f>IF((COUNTIF('VPS_REFERENCE'!$D5:$H5,E5)+COUNTIF('VPS_REFERENCE'!$D5:$H5,F5)+COUNTIF('VPS_REFERENCE'!$D5:$H5,G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x:f>
        <x:v>PASS</x:v>
      </x:c>
      <x:c r="V5" s="86" t="str">
        <x:f>IF(OR(E5=F5,E5=G5,E5=H5,E5=I5,E5=J5,E5=K5,E5=L5,E5=M5,E5=N5,E5=O5,E5=P5,F5=G5,F5=H5,F5=I5,F5=J5,F5=K5,F5=L5,F5=M5,F5=N5,F5=O5,F5=P5,G5=H5,G5=I5,G5=J5,G5=K5,G5=L5,G5=M5,G5=N5,G5=O5,G5=P5,H5=I5,H5=J5,H5=K5,H5=L5,H5=M5,H5=N5,H5=O5,H5=P5,I5=J5,I5=K5,I5=L5,I5=M5,I5=N5,I5=O5,I5=P5,J5=K5,J5=L5,J5=M5,J5=N5,J5=O5,J5=P5,K5=L5,K5=M5,K5=N5,K5=O5,K5=P5,L5=M5,L5=N5,L5=O5,L5=P5,M5=N5,M5=O5,M5=P5,N5=O5,N5=P5,O5=P5),"FAIL","PASS")</x:f>
        <x:v>PASS</x:v>
      </x:c>
      <x:c r="W5" s="87" t="str">
        <x:f>'CRAWL_LOG'!B5</x:f>
        <x:v>Chưa chạy</x:v>
      </x:c>
      <x:c r="X5" s="95" t="str">
        <x:v>Aux-local complementary panel; benchmark gate pending</x:v>
      </x:c>
    </x:row>
    <x:row r="6">
      <x:c r="A6" s="82" t="n">
        <x:v>46269</x:v>
      </x:c>
      <x:c r="B6" s="83" t="str">
        <x:v>Thứ Sáu</x:v>
      </x:c>
      <x:c r="C6" s="83" t="str">
        <x:v>Official</x:v>
      </x:c>
      <x:c r="D6" s="83" t="str">
        <x:v>00:30</x:v>
      </x:c>
      <x:c r="E6" s="84" t="n">
        <x:f>'SLOT_RULES'!$D$4+IF($A6&lt;='SLOT_RULES'!$D$4,0,INT(($A6-'SLOT_RULES'!$D$4-1)/'SLOT_RULES'!$E$4)+1)*'SLOT_RULES'!$E$4</x:f>
        <x:v>46269</x:v>
      </x:c>
      <x:c r="F6" s="84" t="n">
        <x:f>'SLOT_RULES'!$D$5+IF($A6&lt;='SLOT_RULES'!$D$5,0,INT(($A6-'SLOT_RULES'!$D$5-1)/'SLOT_RULES'!$E$5)+1)*'SLOT_RULES'!$E$5</x:f>
        <x:v>46276</x:v>
      </x:c>
      <x:c r="G6" s="84" t="n">
        <x:f>'SLOT_RULES'!$D$6+IF($A6&lt;='SLOT_RULES'!$D$6,0,INT(($A6-'SLOT_RULES'!$D$6-1)/'SLOT_RULES'!$E$6)+1)*'SLOT_RULES'!$E$6</x:f>
        <x:v>46283</x:v>
      </x:c>
      <x:c r="H6" s="84" t="n">
        <x:f>'SLOT_RULES'!$D$7+IF($A6&lt;='SLOT_RULES'!$D$7,0,INT(($A6-'SLOT_RULES'!$D$7-1)/'SLOT_RULES'!$E$7)+1)*'SLOT_RULES'!$E$7</x:f>
        <x:v>46290</x:v>
      </x:c>
      <x:c r="I6" s="84" t="n">
        <x:f>'SLOT_RULES'!$D$8+IF($A6&lt;='SLOT_RULES'!$D$8,0,INT(($A6-'SLOT_RULES'!$D$8-1)/'SLOT_RULES'!$E$8)+1)*'SLOT_RULES'!$E$8</x:f>
        <x:v>46272</x:v>
      </x:c>
      <x:c r="J6" s="84" t="n">
        <x:f>'SLOT_RULES'!$D$9+IF($A6&lt;='SLOT_RULES'!$D$9,0,INT(($A6-'SLOT_RULES'!$D$9-1)/'SLOT_RULES'!$E$9)+1)*'SLOT_RULES'!$E$9</x:f>
        <x:v>46286</x:v>
      </x:c>
      <x:c r="K6" s="84" t="n">
        <x:f>'SLOT_RULES'!$D$10+IF($A6&lt;='SLOT_RULES'!$D$10,0,INT(($A6-'SLOT_RULES'!$D$10-1)/'SLOT_RULES'!$E$10)+1)*'SLOT_RULES'!$E$10</x:f>
        <x:v>46273</x:v>
      </x:c>
      <x:c r="L6" s="84" t="n">
        <x:f>'SLOT_RULES'!$D$11+IF($A6&lt;='SLOT_RULES'!$D$11,0,INT(($A6-'SLOT_RULES'!$D$11-1)/'SLOT_RULES'!$E$11)+1)*'SLOT_RULES'!$E$11</x:f>
        <x:v>46280</x:v>
      </x:c>
      <x:c r="M6" s="84" t="n">
        <x:f>'SLOT_RULES'!$D$12+IF($A6&lt;='SLOT_RULES'!$D$12,0,INT(($A6-'SLOT_RULES'!$D$12-1)/'SLOT_RULES'!$E$12)+1)*'SLOT_RULES'!$E$12</x:f>
        <x:v>46285</x:v>
      </x:c>
      <x:c r="N6" s="84" t="n">
        <x:f>'SLOT_RULES'!$D$13+IF($A6&lt;='SLOT_RULES'!$D$13,0,INT(($A6-'SLOT_RULES'!$D$13-1)/'SLOT_RULES'!$E$13)+1)*'SLOT_RULES'!$E$13</x:f>
        <x:v>46321</x:v>
      </x:c>
      <x:c r="O6" s="84" t="n">
        <x:f>'SLOT_RULES'!$D$14+IF($A6&lt;='SLOT_RULES'!$D$14,0,INT(($A6-'SLOT_RULES'!$D$14-1)/'SLOT_RULES'!$E$14)+1)*'SLOT_RULES'!$E$14</x:f>
        <x:v>46350</x:v>
      </x:c>
      <x:c r="P6" s="84" t="n">
        <x:f>'SLOT_RULES'!$D$15+IF($A6&lt;='SLOT_RULES'!$D$15,0,INT(($A6-'SLOT_RULES'!$D$15-1)/'SLOT_RULES'!$E$15)+1)*'SLOT_RULES'!$E$15</x:f>
        <x:v>46422</x:v>
      </x:c>
      <x:c r="Q6" s="85" t="n">
        <x:f>MIN(E6:P6)-A6</x:f>
        <x:v>0</x:v>
      </x:c>
      <x:c r="R6" s="85" t="n">
        <x:f>MAX(E6:P6)-A6</x:f>
        <x:v>153</x:v>
      </x:c>
      <x:c r="S6" s="86" t="str">
        <x:f>IF(AND(COUNT(E6:P6)=12,MIN(E6:P6)&gt;=A6),"PASS","FAIL")</x:f>
        <x:v>PASS</x:v>
      </x:c>
      <x:c r="T6" s="86" t="str">
        <x:f>IF((COUNTIF('LOCAL_REFERENCE'!$D6:$O6,E6)+COUNTIF('LOCAL_REFERENCE'!$D6:$O6,F6)+COUNTIF('LOCAL_REFERENCE'!$D6:$O6,G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x:f>
        <x:v>PASS</x:v>
      </x:c>
      <x:c r="U6" s="86" t="str">
        <x:f>IF((COUNTIF('VPS_REFERENCE'!$D6:$H6,E6)+COUNTIF('VPS_REFERENCE'!$D6:$H6,F6)+COUNTIF('VPS_REFERENCE'!$D6:$H6,G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x:f>
        <x:v>PASS</x:v>
      </x:c>
      <x:c r="V6" s="86" t="str">
        <x:f>IF(OR(E6=F6,E6=G6,E6=H6,E6=I6,E6=J6,E6=K6,E6=L6,E6=M6,E6=N6,E6=O6,E6=P6,F6=G6,F6=H6,F6=I6,F6=J6,F6=K6,F6=L6,F6=M6,F6=N6,F6=O6,F6=P6,G6=H6,G6=I6,G6=J6,G6=K6,G6=L6,G6=M6,G6=N6,G6=O6,G6=P6,H6=I6,H6=J6,H6=K6,H6=L6,H6=M6,H6=N6,H6=O6,H6=P6,I6=J6,I6=K6,I6=L6,I6=M6,I6=N6,I6=O6,I6=P6,J6=K6,J6=L6,J6=M6,J6=N6,J6=O6,J6=P6,K6=L6,K6=M6,K6=N6,K6=O6,K6=P6,L6=M6,L6=N6,L6=O6,L6=P6,M6=N6,M6=O6,M6=P6,N6=O6,N6=P6,O6=P6),"FAIL","PASS")</x:f>
        <x:v>PASS</x:v>
      </x:c>
      <x:c r="W6" s="87" t="str">
        <x:f>'CRAWL_LOG'!B6</x:f>
        <x:v>Chưa chạy</x:v>
      </x:c>
      <x:c r="X6" s="95" t="str">
        <x:v>Aux-local complementary panel; benchmark gate pending</x:v>
      </x:c>
    </x:row>
    <x:row r="7">
      <x:c r="A7" s="82" t="n">
        <x:v>46270</x:v>
      </x:c>
      <x:c r="B7" s="83" t="str">
        <x:v>Thứ Bảy</x:v>
      </x:c>
      <x:c r="C7" s="83" t="str">
        <x:v>Official</x:v>
      </x:c>
      <x:c r="D7" s="83" t="str">
        <x:v>00:30</x:v>
      </x:c>
      <x:c r="E7" s="84" t="n">
        <x:f>'SLOT_RULES'!$D$4+IF($A7&lt;='SLOT_RULES'!$D$4,0,INT(($A7-'SLOT_RULES'!$D$4-1)/'SLOT_RULES'!$E$4)+1)*'SLOT_RULES'!$E$4</x:f>
        <x:v>46297</x:v>
      </x:c>
      <x:c r="F7" s="84" t="n">
        <x:f>'SLOT_RULES'!$D$5+IF($A7&lt;='SLOT_RULES'!$D$5,0,INT(($A7-'SLOT_RULES'!$D$5-1)/'SLOT_RULES'!$E$5)+1)*'SLOT_RULES'!$E$5</x:f>
        <x:v>46276</x:v>
      </x:c>
      <x:c r="G7" s="84" t="n">
        <x:f>'SLOT_RULES'!$D$6+IF($A7&lt;='SLOT_RULES'!$D$6,0,INT(($A7-'SLOT_RULES'!$D$6-1)/'SLOT_RULES'!$E$6)+1)*'SLOT_RULES'!$E$6</x:f>
        <x:v>46283</x:v>
      </x:c>
      <x:c r="H7" s="84" t="n">
        <x:f>'SLOT_RULES'!$D$7+IF($A7&lt;='SLOT_RULES'!$D$7,0,INT(($A7-'SLOT_RULES'!$D$7-1)/'SLOT_RULES'!$E$7)+1)*'SLOT_RULES'!$E$7</x:f>
        <x:v>46290</x:v>
      </x:c>
      <x:c r="I7" s="84" t="n">
        <x:f>'SLOT_RULES'!$D$8+IF($A7&lt;='SLOT_RULES'!$D$8,0,INT(($A7-'SLOT_RULES'!$D$8-1)/'SLOT_RULES'!$E$8)+1)*'SLOT_RULES'!$E$8</x:f>
        <x:v>46272</x:v>
      </x:c>
      <x:c r="J7" s="84" t="n">
        <x:f>'SLOT_RULES'!$D$9+IF($A7&lt;='SLOT_RULES'!$D$9,0,INT(($A7-'SLOT_RULES'!$D$9-1)/'SLOT_RULES'!$E$9)+1)*'SLOT_RULES'!$E$9</x:f>
        <x:v>46286</x:v>
      </x:c>
      <x:c r="K7" s="84" t="n">
        <x:f>'SLOT_RULES'!$D$10+IF($A7&lt;='SLOT_RULES'!$D$10,0,INT(($A7-'SLOT_RULES'!$D$10-1)/'SLOT_RULES'!$E$10)+1)*'SLOT_RULES'!$E$10</x:f>
        <x:v>46273</x:v>
      </x:c>
      <x:c r="L7" s="84" t="n">
        <x:f>'SLOT_RULES'!$D$11+IF($A7&lt;='SLOT_RULES'!$D$11,0,INT(($A7-'SLOT_RULES'!$D$11-1)/'SLOT_RULES'!$E$11)+1)*'SLOT_RULES'!$E$11</x:f>
        <x:v>46280</x:v>
      </x:c>
      <x:c r="M7" s="84" t="n">
        <x:f>'SLOT_RULES'!$D$12+IF($A7&lt;='SLOT_RULES'!$D$12,0,INT(($A7-'SLOT_RULES'!$D$12-1)/'SLOT_RULES'!$E$12)+1)*'SLOT_RULES'!$E$12</x:f>
        <x:v>46285</x:v>
      </x:c>
      <x:c r="N7" s="84" t="n">
        <x:f>'SLOT_RULES'!$D$13+IF($A7&lt;='SLOT_RULES'!$D$13,0,INT(($A7-'SLOT_RULES'!$D$13-1)/'SLOT_RULES'!$E$13)+1)*'SLOT_RULES'!$E$13</x:f>
        <x:v>46321</x:v>
      </x:c>
      <x:c r="O7" s="84" t="n">
        <x:f>'SLOT_RULES'!$D$14+IF($A7&lt;='SLOT_RULES'!$D$14,0,INT(($A7-'SLOT_RULES'!$D$14-1)/'SLOT_RULES'!$E$14)+1)*'SLOT_RULES'!$E$14</x:f>
        <x:v>46350</x:v>
      </x:c>
      <x:c r="P7" s="84" t="n">
        <x:f>'SLOT_RULES'!$D$15+IF($A7&lt;='SLOT_RULES'!$D$15,0,INT(($A7-'SLOT_RULES'!$D$15-1)/'SLOT_RULES'!$E$15)+1)*'SLOT_RULES'!$E$15</x:f>
        <x:v>46422</x:v>
      </x:c>
      <x:c r="Q7" s="85" t="n">
        <x:f>MIN(E7:P7)-A7</x:f>
        <x:v>2</x:v>
      </x:c>
      <x:c r="R7" s="85" t="n">
        <x:f>MAX(E7:P7)-A7</x:f>
        <x:v>152</x:v>
      </x:c>
      <x:c r="S7" s="86" t="str">
        <x:f>IF(AND(COUNT(E7:P7)=12,MIN(E7:P7)&gt;=A7),"PASS","FAIL")</x:f>
        <x:v>PASS</x:v>
      </x:c>
      <x:c r="T7" s="86" t="str">
        <x:f>IF((COUNTIF('LOCAL_REFERENCE'!$D7:$O7,E7)+COUNTIF('LOCAL_REFERENCE'!$D7:$O7,F7)+COUNTIF('LOCAL_REFERENCE'!$D7:$O7,G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x:f>
        <x:v>PASS</x:v>
      </x:c>
      <x:c r="U7" s="86" t="str">
        <x:f>IF((COUNTIF('VPS_REFERENCE'!$D7:$H7,E7)+COUNTIF('VPS_REFERENCE'!$D7:$H7,F7)+COUNTIF('VPS_REFERENCE'!$D7:$H7,G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x:f>
        <x:v>PASS</x:v>
      </x:c>
      <x:c r="V7" s="86" t="str">
        <x:f>IF(OR(E7=F7,E7=G7,E7=H7,E7=I7,E7=J7,E7=K7,E7=L7,E7=M7,E7=N7,E7=O7,E7=P7,F7=G7,F7=H7,F7=I7,F7=J7,F7=K7,F7=L7,F7=M7,F7=N7,F7=O7,F7=P7,G7=H7,G7=I7,G7=J7,G7=K7,G7=L7,G7=M7,G7=N7,G7=O7,G7=P7,H7=I7,H7=J7,H7=K7,H7=L7,H7=M7,H7=N7,H7=O7,H7=P7,I7=J7,I7=K7,I7=L7,I7=M7,I7=N7,I7=O7,I7=P7,J7=K7,J7=L7,J7=M7,J7=N7,J7=O7,J7=P7,K7=L7,K7=M7,K7=N7,K7=O7,K7=P7,L7=M7,L7=N7,L7=O7,L7=P7,M7=N7,M7=O7,M7=P7,N7=O7,N7=P7,O7=P7),"FAIL","PASS")</x:f>
        <x:v>PASS</x:v>
      </x:c>
      <x:c r="W7" s="87" t="str">
        <x:f>'CRAWL_LOG'!B7</x:f>
        <x:v>Chưa chạy</x:v>
      </x:c>
      <x:c r="X7" s="95" t="str">
        <x:v>Aux-local complementary panel; benchmark gate pending</x:v>
      </x:c>
    </x:row>
    <x:row r="8">
      <x:c r="A8" s="82" t="n">
        <x:v>46271</x:v>
      </x:c>
      <x:c r="B8" s="83" t="str">
        <x:v>Chủ Nhật</x:v>
      </x:c>
      <x:c r="C8" s="83" t="str">
        <x:v>Official</x:v>
      </x:c>
      <x:c r="D8" s="83" t="str">
        <x:v>00:30</x:v>
      </x:c>
      <x:c r="E8" s="84" t="n">
        <x:f>'SLOT_RULES'!$D$4+IF($A8&lt;='SLOT_RULES'!$D$4,0,INT(($A8-'SLOT_RULES'!$D$4-1)/'SLOT_RULES'!$E$4)+1)*'SLOT_RULES'!$E$4</x:f>
        <x:v>46297</x:v>
      </x:c>
      <x:c r="F8" s="84" t="n">
        <x:f>'SLOT_RULES'!$D$5+IF($A8&lt;='SLOT_RULES'!$D$5,0,INT(($A8-'SLOT_RULES'!$D$5-1)/'SLOT_RULES'!$E$5)+1)*'SLOT_RULES'!$E$5</x:f>
        <x:v>46276</x:v>
      </x:c>
      <x:c r="G8" s="84" t="n">
        <x:f>'SLOT_RULES'!$D$6+IF($A8&lt;='SLOT_RULES'!$D$6,0,INT(($A8-'SLOT_RULES'!$D$6-1)/'SLOT_RULES'!$E$6)+1)*'SLOT_RULES'!$E$6</x:f>
        <x:v>46283</x:v>
      </x:c>
      <x:c r="H8" s="84" t="n">
        <x:f>'SLOT_RULES'!$D$7+IF($A8&lt;='SLOT_RULES'!$D$7,0,INT(($A8-'SLOT_RULES'!$D$7-1)/'SLOT_RULES'!$E$7)+1)*'SLOT_RULES'!$E$7</x:f>
        <x:v>46290</x:v>
      </x:c>
      <x:c r="I8" s="84" t="n">
        <x:f>'SLOT_RULES'!$D$8+IF($A8&lt;='SLOT_RULES'!$D$8,0,INT(($A8-'SLOT_RULES'!$D$8-1)/'SLOT_RULES'!$E$8)+1)*'SLOT_RULES'!$E$8</x:f>
        <x:v>46272</x:v>
      </x:c>
      <x:c r="J8" s="84" t="n">
        <x:f>'SLOT_RULES'!$D$9+IF($A8&lt;='SLOT_RULES'!$D$9,0,INT(($A8-'SLOT_RULES'!$D$9-1)/'SLOT_RULES'!$E$9)+1)*'SLOT_RULES'!$E$9</x:f>
        <x:v>46286</x:v>
      </x:c>
      <x:c r="K8" s="84" t="n">
        <x:f>'SLOT_RULES'!$D$10+IF($A8&lt;='SLOT_RULES'!$D$10,0,INT(($A8-'SLOT_RULES'!$D$10-1)/'SLOT_RULES'!$E$10)+1)*'SLOT_RULES'!$E$10</x:f>
        <x:v>46273</x:v>
      </x:c>
      <x:c r="L8" s="84" t="n">
        <x:f>'SLOT_RULES'!$D$11+IF($A8&lt;='SLOT_RULES'!$D$11,0,INT(($A8-'SLOT_RULES'!$D$11-1)/'SLOT_RULES'!$E$11)+1)*'SLOT_RULES'!$E$11</x:f>
        <x:v>46280</x:v>
      </x:c>
      <x:c r="M8" s="84" t="n">
        <x:f>'SLOT_RULES'!$D$12+IF($A8&lt;='SLOT_RULES'!$D$12,0,INT(($A8-'SLOT_RULES'!$D$12-1)/'SLOT_RULES'!$E$12)+1)*'SLOT_RULES'!$E$12</x:f>
        <x:v>46285</x:v>
      </x:c>
      <x:c r="N8" s="84" t="n">
        <x:f>'SLOT_RULES'!$D$13+IF($A8&lt;='SLOT_RULES'!$D$13,0,INT(($A8-'SLOT_RULES'!$D$13-1)/'SLOT_RULES'!$E$13)+1)*'SLOT_RULES'!$E$13</x:f>
        <x:v>46321</x:v>
      </x:c>
      <x:c r="O8" s="84" t="n">
        <x:f>'SLOT_RULES'!$D$14+IF($A8&lt;='SLOT_RULES'!$D$14,0,INT(($A8-'SLOT_RULES'!$D$14-1)/'SLOT_RULES'!$E$14)+1)*'SLOT_RULES'!$E$14</x:f>
        <x:v>46350</x:v>
      </x:c>
      <x:c r="P8" s="84" t="n">
        <x:f>'SLOT_RULES'!$D$15+IF($A8&lt;='SLOT_RULES'!$D$15,0,INT(($A8-'SLOT_RULES'!$D$15-1)/'SLOT_RULES'!$E$15)+1)*'SLOT_RULES'!$E$15</x:f>
        <x:v>46422</x:v>
      </x:c>
      <x:c r="Q8" s="85" t="n">
        <x:f>MIN(E8:P8)-A8</x:f>
        <x:v>1</x:v>
      </x:c>
      <x:c r="R8" s="85" t="n">
        <x:f>MAX(E8:P8)-A8</x:f>
        <x:v>151</x:v>
      </x:c>
      <x:c r="S8" s="86" t="str">
        <x:f>IF(AND(COUNT(E8:P8)=12,MIN(E8:P8)&gt;=A8),"PASS","FAIL")</x:f>
        <x:v>PASS</x:v>
      </x:c>
      <x:c r="T8" s="86" t="str">
        <x:f>IF((COUNTIF('LOCAL_REFERENCE'!$D8:$O8,E8)+COUNTIF('LOCAL_REFERENCE'!$D8:$O8,F8)+COUNTIF('LOCAL_REFERENCE'!$D8:$O8,G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x:f>
        <x:v>PASS</x:v>
      </x:c>
      <x:c r="U8" s="86" t="str">
        <x:f>IF((COUNTIF('VPS_REFERENCE'!$D8:$H8,E8)+COUNTIF('VPS_REFERENCE'!$D8:$H8,F8)+COUNTIF('VPS_REFERENCE'!$D8:$H8,G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x:f>
        <x:v>PASS</x:v>
      </x:c>
      <x:c r="V8" s="86" t="str">
        <x:f>IF(OR(E8=F8,E8=G8,E8=H8,E8=I8,E8=J8,E8=K8,E8=L8,E8=M8,E8=N8,E8=O8,E8=P8,F8=G8,F8=H8,F8=I8,F8=J8,F8=K8,F8=L8,F8=M8,F8=N8,F8=O8,F8=P8,G8=H8,G8=I8,G8=J8,G8=K8,G8=L8,G8=M8,G8=N8,G8=O8,G8=P8,H8=I8,H8=J8,H8=K8,H8=L8,H8=M8,H8=N8,H8=O8,H8=P8,I8=J8,I8=K8,I8=L8,I8=M8,I8=N8,I8=O8,I8=P8,J8=K8,J8=L8,J8=M8,J8=N8,J8=O8,J8=P8,K8=L8,K8=M8,K8=N8,K8=O8,K8=P8,L8=M8,L8=N8,L8=O8,L8=P8,M8=N8,M8=O8,M8=P8,N8=O8,N8=P8,O8=P8),"FAIL","PASS")</x:f>
        <x:v>PASS</x:v>
      </x:c>
      <x:c r="W8" s="87" t="str">
        <x:f>'CRAWL_LOG'!B8</x:f>
        <x:v>Chưa chạy</x:v>
      </x:c>
      <x:c r="X8" s="95" t="str">
        <x:v>Aux-local complementary panel; benchmark gate pending</x:v>
      </x:c>
    </x:row>
    <x:row r="9">
      <x:c r="A9" s="82" t="n">
        <x:v>46272</x:v>
      </x:c>
      <x:c r="B9" s="83" t="str">
        <x:v>Thứ Hai</x:v>
      </x:c>
      <x:c r="C9" s="83" t="str">
        <x:v>Official</x:v>
      </x:c>
      <x:c r="D9" s="83" t="str">
        <x:v>00:30</x:v>
      </x:c>
      <x:c r="E9" s="84" t="n">
        <x:f>'SLOT_RULES'!$D$4+IF($A9&lt;='SLOT_RULES'!$D$4,0,INT(($A9-'SLOT_RULES'!$D$4-1)/'SLOT_RULES'!$E$4)+1)*'SLOT_RULES'!$E$4</x:f>
        <x:v>46297</x:v>
      </x:c>
      <x:c r="F9" s="84" t="n">
        <x:f>'SLOT_RULES'!$D$5+IF($A9&lt;='SLOT_RULES'!$D$5,0,INT(($A9-'SLOT_RULES'!$D$5-1)/'SLOT_RULES'!$E$5)+1)*'SLOT_RULES'!$E$5</x:f>
        <x:v>46276</x:v>
      </x:c>
      <x:c r="G9" s="84" t="n">
        <x:f>'SLOT_RULES'!$D$6+IF($A9&lt;='SLOT_RULES'!$D$6,0,INT(($A9-'SLOT_RULES'!$D$6-1)/'SLOT_RULES'!$E$6)+1)*'SLOT_RULES'!$E$6</x:f>
        <x:v>46283</x:v>
      </x:c>
      <x:c r="H9" s="84" t="n">
        <x:f>'SLOT_RULES'!$D$7+IF($A9&lt;='SLOT_RULES'!$D$7,0,INT(($A9-'SLOT_RULES'!$D$7-1)/'SLOT_RULES'!$E$7)+1)*'SLOT_RULES'!$E$7</x:f>
        <x:v>46290</x:v>
      </x:c>
      <x:c r="I9" s="84" t="n">
        <x:f>'SLOT_RULES'!$D$8+IF($A9&lt;='SLOT_RULES'!$D$8,0,INT(($A9-'SLOT_RULES'!$D$8-1)/'SLOT_RULES'!$E$8)+1)*'SLOT_RULES'!$E$8</x:f>
        <x:v>46272</x:v>
      </x:c>
      <x:c r="J9" s="84" t="n">
        <x:f>'SLOT_RULES'!$D$9+IF($A9&lt;='SLOT_RULES'!$D$9,0,INT(($A9-'SLOT_RULES'!$D$9-1)/'SLOT_RULES'!$E$9)+1)*'SLOT_RULES'!$E$9</x:f>
        <x:v>46286</x:v>
      </x:c>
      <x:c r="K9" s="84" t="n">
        <x:f>'SLOT_RULES'!$D$10+IF($A9&lt;='SLOT_RULES'!$D$10,0,INT(($A9-'SLOT_RULES'!$D$10-1)/'SLOT_RULES'!$E$10)+1)*'SLOT_RULES'!$E$10</x:f>
        <x:v>46273</x:v>
      </x:c>
      <x:c r="L9" s="84" t="n">
        <x:f>'SLOT_RULES'!$D$11+IF($A9&lt;='SLOT_RULES'!$D$11,0,INT(($A9-'SLOT_RULES'!$D$11-1)/'SLOT_RULES'!$E$11)+1)*'SLOT_RULES'!$E$11</x:f>
        <x:v>46280</x:v>
      </x:c>
      <x:c r="M9" s="84" t="n">
        <x:f>'SLOT_RULES'!$D$12+IF($A9&lt;='SLOT_RULES'!$D$12,0,INT(($A9-'SLOT_RULES'!$D$12-1)/'SLOT_RULES'!$E$12)+1)*'SLOT_RULES'!$E$12</x:f>
        <x:v>46285</x:v>
      </x:c>
      <x:c r="N9" s="84" t="n">
        <x:f>'SLOT_RULES'!$D$13+IF($A9&lt;='SLOT_RULES'!$D$13,0,INT(($A9-'SLOT_RULES'!$D$13-1)/'SLOT_RULES'!$E$13)+1)*'SLOT_RULES'!$E$13</x:f>
        <x:v>46321</x:v>
      </x:c>
      <x:c r="O9" s="84" t="n">
        <x:f>'SLOT_RULES'!$D$14+IF($A9&lt;='SLOT_RULES'!$D$14,0,INT(($A9-'SLOT_RULES'!$D$14-1)/'SLOT_RULES'!$E$14)+1)*'SLOT_RULES'!$E$14</x:f>
        <x:v>46350</x:v>
      </x:c>
      <x:c r="P9" s="84" t="n">
        <x:f>'SLOT_RULES'!$D$15+IF($A9&lt;='SLOT_RULES'!$D$15,0,INT(($A9-'SLOT_RULES'!$D$15-1)/'SLOT_RULES'!$E$15)+1)*'SLOT_RULES'!$E$15</x:f>
        <x:v>46422</x:v>
      </x:c>
      <x:c r="Q9" s="85" t="n">
        <x:f>MIN(E9:P9)-A9</x:f>
        <x:v>0</x:v>
      </x:c>
      <x:c r="R9" s="85" t="n">
        <x:f>MAX(E9:P9)-A9</x:f>
        <x:v>150</x:v>
      </x:c>
      <x:c r="S9" s="86" t="str">
        <x:f>IF(AND(COUNT(E9:P9)=12,MIN(E9:P9)&gt;=A9),"PASS","FAIL")</x:f>
        <x:v>PASS</x:v>
      </x:c>
      <x:c r="T9" s="86" t="str">
        <x:f>IF((COUNTIF('LOCAL_REFERENCE'!$D9:$O9,E9)+COUNTIF('LOCAL_REFERENCE'!$D9:$O9,F9)+COUNTIF('LOCAL_REFERENCE'!$D9:$O9,G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x:f>
        <x:v>PASS</x:v>
      </x:c>
      <x:c r="U9" s="86" t="str">
        <x:f>IF((COUNTIF('VPS_REFERENCE'!$D9:$H9,E9)+COUNTIF('VPS_REFERENCE'!$D9:$H9,F9)+COUNTIF('VPS_REFERENCE'!$D9:$H9,G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x:f>
        <x:v>PASS</x:v>
      </x:c>
      <x:c r="V9" s="86" t="str">
        <x:f>IF(OR(E9=F9,E9=G9,E9=H9,E9=I9,E9=J9,E9=K9,E9=L9,E9=M9,E9=N9,E9=O9,E9=P9,F9=G9,F9=H9,F9=I9,F9=J9,F9=K9,F9=L9,F9=M9,F9=N9,F9=O9,F9=P9,G9=H9,G9=I9,G9=J9,G9=K9,G9=L9,G9=M9,G9=N9,G9=O9,G9=P9,H9=I9,H9=J9,H9=K9,H9=L9,H9=M9,H9=N9,H9=O9,H9=P9,I9=J9,I9=K9,I9=L9,I9=M9,I9=N9,I9=O9,I9=P9,J9=K9,J9=L9,J9=M9,J9=N9,J9=O9,J9=P9,K9=L9,K9=M9,K9=N9,K9=O9,K9=P9,L9=M9,L9=N9,L9=O9,L9=P9,M9=N9,M9=O9,M9=P9,N9=O9,N9=P9,O9=P9),"FAIL","PASS")</x:f>
        <x:v>PASS</x:v>
      </x:c>
      <x:c r="W9" s="87" t="str">
        <x:f>'CRAWL_LOG'!B9</x:f>
        <x:v>Chưa chạy</x:v>
      </x:c>
      <x:c r="X9" s="95" t="str">
        <x:v>Aux-local complementary panel; benchmark gate pending</x:v>
      </x:c>
    </x:row>
    <x:row r="10">
      <x:c r="A10" s="82" t="n">
        <x:v>46273</x:v>
      </x:c>
      <x:c r="B10" s="83" t="str">
        <x:v>Thứ Ba</x:v>
      </x:c>
      <x:c r="C10" s="83" t="str">
        <x:v>Official</x:v>
      </x:c>
      <x:c r="D10" s="83" t="str">
        <x:v>00:30</x:v>
      </x:c>
      <x:c r="E10" s="84" t="n">
        <x:f>'SLOT_RULES'!$D$4+IF($A10&lt;='SLOT_RULES'!$D$4,0,INT(($A10-'SLOT_RULES'!$D$4-1)/'SLOT_RULES'!$E$4)+1)*'SLOT_RULES'!$E$4</x:f>
        <x:v>46297</x:v>
      </x:c>
      <x:c r="F10" s="84" t="n">
        <x:f>'SLOT_RULES'!$D$5+IF($A10&lt;='SLOT_RULES'!$D$5,0,INT(($A10-'SLOT_RULES'!$D$5-1)/'SLOT_RULES'!$E$5)+1)*'SLOT_RULES'!$E$5</x:f>
        <x:v>46276</x:v>
      </x:c>
      <x:c r="G10" s="84" t="n">
        <x:f>'SLOT_RULES'!$D$6+IF($A10&lt;='SLOT_RULES'!$D$6,0,INT(($A10-'SLOT_RULES'!$D$6-1)/'SLOT_RULES'!$E$6)+1)*'SLOT_RULES'!$E$6</x:f>
        <x:v>46283</x:v>
      </x:c>
      <x:c r="H10" s="84" t="n">
        <x:f>'SLOT_RULES'!$D$7+IF($A10&lt;='SLOT_RULES'!$D$7,0,INT(($A10-'SLOT_RULES'!$D$7-1)/'SLOT_RULES'!$E$7)+1)*'SLOT_RULES'!$E$7</x:f>
        <x:v>46290</x:v>
      </x:c>
      <x:c r="I10" s="84" t="n">
        <x:f>'SLOT_RULES'!$D$8+IF($A10&lt;='SLOT_RULES'!$D$8,0,INT(($A10-'SLOT_RULES'!$D$8-1)/'SLOT_RULES'!$E$8)+1)*'SLOT_RULES'!$E$8</x:f>
        <x:v>46300</x:v>
      </x:c>
      <x:c r="J10" s="84" t="n">
        <x:f>'SLOT_RULES'!$D$9+IF($A10&lt;='SLOT_RULES'!$D$9,0,INT(($A10-'SLOT_RULES'!$D$9-1)/'SLOT_RULES'!$E$9)+1)*'SLOT_RULES'!$E$9</x:f>
        <x:v>46286</x:v>
      </x:c>
      <x:c r="K10" s="84" t="n">
        <x:f>'SLOT_RULES'!$D$10+IF($A10&lt;='SLOT_RULES'!$D$10,0,INT(($A10-'SLOT_RULES'!$D$10-1)/'SLOT_RULES'!$E$10)+1)*'SLOT_RULES'!$E$10</x:f>
        <x:v>46273</x:v>
      </x:c>
      <x:c r="L10" s="84" t="n">
        <x:f>'SLOT_RULES'!$D$11+IF($A10&lt;='SLOT_RULES'!$D$11,0,INT(($A10-'SLOT_RULES'!$D$11-1)/'SLOT_RULES'!$E$11)+1)*'SLOT_RULES'!$E$11</x:f>
        <x:v>46280</x:v>
      </x:c>
      <x:c r="M10" s="84" t="n">
        <x:f>'SLOT_RULES'!$D$12+IF($A10&lt;='SLOT_RULES'!$D$12,0,INT(($A10-'SLOT_RULES'!$D$12-1)/'SLOT_RULES'!$E$12)+1)*'SLOT_RULES'!$E$12</x:f>
        <x:v>46285</x:v>
      </x:c>
      <x:c r="N10" s="84" t="n">
        <x:f>'SLOT_RULES'!$D$13+IF($A10&lt;='SLOT_RULES'!$D$13,0,INT(($A10-'SLOT_RULES'!$D$13-1)/'SLOT_RULES'!$E$13)+1)*'SLOT_RULES'!$E$13</x:f>
        <x:v>46321</x:v>
      </x:c>
      <x:c r="O10" s="84" t="n">
        <x:f>'SLOT_RULES'!$D$14+IF($A10&lt;='SLOT_RULES'!$D$14,0,INT(($A10-'SLOT_RULES'!$D$14-1)/'SLOT_RULES'!$E$14)+1)*'SLOT_RULES'!$E$14</x:f>
        <x:v>46350</x:v>
      </x:c>
      <x:c r="P10" s="84" t="n">
        <x:f>'SLOT_RULES'!$D$15+IF($A10&lt;='SLOT_RULES'!$D$15,0,INT(($A10-'SLOT_RULES'!$D$15-1)/'SLOT_RULES'!$E$15)+1)*'SLOT_RULES'!$E$15</x:f>
        <x:v>46422</x:v>
      </x:c>
      <x:c r="Q10" s="85" t="n">
        <x:f>MIN(E10:P10)-A10</x:f>
        <x:v>0</x:v>
      </x:c>
      <x:c r="R10" s="85" t="n">
        <x:f>MAX(E10:P10)-A10</x:f>
        <x:v>149</x:v>
      </x:c>
      <x:c r="S10" s="86" t="str">
        <x:f>IF(AND(COUNT(E10:P10)=12,MIN(E10:P10)&gt;=A10),"PASS","FAIL")</x:f>
        <x:v>PASS</x:v>
      </x:c>
      <x:c r="T10" s="86" t="str">
        <x:f>IF((COUNTIF('LOCAL_REFERENCE'!$D10:$O10,E10)+COUNTIF('LOCAL_REFERENCE'!$D10:$O10,F10)+COUNTIF('LOCAL_REFERENCE'!$D10:$O10,G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x:f>
        <x:v>PASS</x:v>
      </x:c>
      <x:c r="U10" s="86" t="str">
        <x:f>IF((COUNTIF('VPS_REFERENCE'!$D10:$H10,E10)+COUNTIF('VPS_REFERENCE'!$D10:$H10,F10)+COUNTIF('VPS_REFERENCE'!$D10:$H10,G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x:f>
        <x:v>PASS</x:v>
      </x:c>
      <x:c r="V10" s="86" t="str">
        <x:f>IF(OR(E10=F10,E10=G10,E10=H10,E10=I10,E10=J10,E10=K10,E10=L10,E10=M10,E10=N10,E10=O10,E10=P10,F10=G10,F10=H10,F10=I10,F10=J10,F10=K10,F10=L10,F10=M10,F10=N10,F10=O10,F10=P10,G10=H10,G10=I10,G10=J10,G10=K10,G10=L10,G10=M10,G10=N10,G10=O10,G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x:f>
        <x:v>PASS</x:v>
      </x:c>
      <x:c r="W10" s="87" t="str">
        <x:f>'CRAWL_LOG'!B10</x:f>
        <x:v>Chưa chạy</x:v>
      </x:c>
      <x:c r="X10" s="95" t="str">
        <x:v>Aux-local complementary panel; benchmark gate pending</x:v>
      </x:c>
    </x:row>
    <x:row r="11">
      <x:c r="A11" s="82" t="n">
        <x:v>46274</x:v>
      </x:c>
      <x:c r="B11" s="83" t="str">
        <x:v>Thứ Tư</x:v>
      </x:c>
      <x:c r="C11" s="83" t="str">
        <x:v>Official</x:v>
      </x:c>
      <x:c r="D11" s="83" t="str">
        <x:v>00:30</x:v>
      </x:c>
      <x:c r="E11" s="84" t="n">
        <x:f>'SLOT_RULES'!$D$4+IF($A11&lt;='SLOT_RULES'!$D$4,0,INT(($A11-'SLOT_RULES'!$D$4-1)/'SLOT_RULES'!$E$4)+1)*'SLOT_RULES'!$E$4</x:f>
        <x:v>46297</x:v>
      </x:c>
      <x:c r="F11" s="84" t="n">
        <x:f>'SLOT_RULES'!$D$5+IF($A11&lt;='SLOT_RULES'!$D$5,0,INT(($A11-'SLOT_RULES'!$D$5-1)/'SLOT_RULES'!$E$5)+1)*'SLOT_RULES'!$E$5</x:f>
        <x:v>46276</x:v>
      </x:c>
      <x:c r="G11" s="84" t="n">
        <x:f>'SLOT_RULES'!$D$6+IF($A11&lt;='SLOT_RULES'!$D$6,0,INT(($A11-'SLOT_RULES'!$D$6-1)/'SLOT_RULES'!$E$6)+1)*'SLOT_RULES'!$E$6</x:f>
        <x:v>46283</x:v>
      </x:c>
      <x:c r="H11" s="84" t="n">
        <x:f>'SLOT_RULES'!$D$7+IF($A11&lt;='SLOT_RULES'!$D$7,0,INT(($A11-'SLOT_RULES'!$D$7-1)/'SLOT_RULES'!$E$7)+1)*'SLOT_RULES'!$E$7</x:f>
        <x:v>46290</x:v>
      </x:c>
      <x:c r="I11" s="84" t="n">
        <x:f>'SLOT_RULES'!$D$8+IF($A11&lt;='SLOT_RULES'!$D$8,0,INT(($A11-'SLOT_RULES'!$D$8-1)/'SLOT_RULES'!$E$8)+1)*'SLOT_RULES'!$E$8</x:f>
        <x:v>46300</x:v>
      </x:c>
      <x:c r="J11" s="84" t="n">
        <x:f>'SLOT_RULES'!$D$9+IF($A11&lt;='SLOT_RULES'!$D$9,0,INT(($A11-'SLOT_RULES'!$D$9-1)/'SLOT_RULES'!$E$9)+1)*'SLOT_RULES'!$E$9</x:f>
        <x:v>46286</x:v>
      </x:c>
      <x:c r="K11" s="84" t="n">
        <x:f>'SLOT_RULES'!$D$10+IF($A11&lt;='SLOT_RULES'!$D$10,0,INT(($A11-'SLOT_RULES'!$D$10-1)/'SLOT_RULES'!$E$10)+1)*'SLOT_RULES'!$E$10</x:f>
        <x:v>46301</x:v>
      </x:c>
      <x:c r="L11" s="84" t="n">
        <x:f>'SLOT_RULES'!$D$11+IF($A11&lt;='SLOT_RULES'!$D$11,0,INT(($A11-'SLOT_RULES'!$D$11-1)/'SLOT_RULES'!$E$11)+1)*'SLOT_RULES'!$E$11</x:f>
        <x:v>46280</x:v>
      </x:c>
      <x:c r="M11" s="84" t="n">
        <x:f>'SLOT_RULES'!$D$12+IF($A11&lt;='SLOT_RULES'!$D$12,0,INT(($A11-'SLOT_RULES'!$D$12-1)/'SLOT_RULES'!$E$12)+1)*'SLOT_RULES'!$E$12</x:f>
        <x:v>46285</x:v>
      </x:c>
      <x:c r="N11" s="84" t="n">
        <x:f>'SLOT_RULES'!$D$13+IF($A11&lt;='SLOT_RULES'!$D$13,0,INT(($A11-'SLOT_RULES'!$D$13-1)/'SLOT_RULES'!$E$13)+1)*'SLOT_RULES'!$E$13</x:f>
        <x:v>46321</x:v>
      </x:c>
      <x:c r="O11" s="84" t="n">
        <x:f>'SLOT_RULES'!$D$14+IF($A11&lt;='SLOT_RULES'!$D$14,0,INT(($A11-'SLOT_RULES'!$D$14-1)/'SLOT_RULES'!$E$14)+1)*'SLOT_RULES'!$E$14</x:f>
        <x:v>46350</x:v>
      </x:c>
      <x:c r="P11" s="84" t="n">
        <x:f>'SLOT_RULES'!$D$15+IF($A11&lt;='SLOT_RULES'!$D$15,0,INT(($A11-'SLOT_RULES'!$D$15-1)/'SLOT_RULES'!$E$15)+1)*'SLOT_RULES'!$E$15</x:f>
        <x:v>46422</x:v>
      </x:c>
      <x:c r="Q11" s="85" t="n">
        <x:f>MIN(E11:P11)-A11</x:f>
        <x:v>2</x:v>
      </x:c>
      <x:c r="R11" s="85" t="n">
        <x:f>MAX(E11:P11)-A11</x:f>
        <x:v>148</x:v>
      </x:c>
      <x:c r="S11" s="86" t="str">
        <x:f>IF(AND(COUNT(E11:P11)=12,MIN(E11:P11)&gt;=A11),"PASS","FAIL")</x:f>
        <x:v>PASS</x:v>
      </x:c>
      <x:c r="T11" s="86" t="str">
        <x:f>IF((COUNTIF('LOCAL_REFERENCE'!$D11:$O11,E11)+COUNTIF('LOCAL_REFERENCE'!$D11:$O11,F11)+COUNTIF('LOCAL_REFERENCE'!$D11:$O11,G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x:f>
        <x:v>PASS</x:v>
      </x:c>
      <x:c r="U11" s="86" t="str">
        <x:f>IF((COUNTIF('VPS_REFERENCE'!$D11:$H11,E11)+COUNTIF('VPS_REFERENCE'!$D11:$H11,F11)+COUNTIF('VPS_REFERENCE'!$D11:$H11,G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x:f>
        <x:v>PASS</x:v>
      </x:c>
      <x:c r="V11" s="86" t="str">
        <x:f>IF(OR(E11=F11,E11=G11,E11=H11,E11=I11,E11=J11,E11=K11,E11=L11,E11=M11,E11=N11,E11=O11,E11=P11,F11=G11,F11=H11,F11=I11,F11=J11,F11=K11,F11=L11,F11=M11,F11=N11,F11=O11,F11=P11,G11=H11,G11=I11,G11=J11,G11=K11,G11=L11,G11=M11,G11=N11,G11=O11,G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x:f>
        <x:v>PASS</x:v>
      </x:c>
      <x:c r="W11" s="87" t="str">
        <x:f>'CRAWL_LOG'!B11</x:f>
        <x:v>Chưa chạy</x:v>
      </x:c>
      <x:c r="X11" s="95" t="str">
        <x:v>Aux-local complementary panel; benchmark gate pending</x:v>
      </x:c>
    </x:row>
    <x:row r="12">
      <x:c r="A12" s="82" t="n">
        <x:v>46275</x:v>
      </x:c>
      <x:c r="B12" s="83" t="str">
        <x:v>Thứ Năm</x:v>
      </x:c>
      <x:c r="C12" s="83" t="str">
        <x:v>Official</x:v>
      </x:c>
      <x:c r="D12" s="83" t="str">
        <x:v>00:30</x:v>
      </x:c>
      <x:c r="E12" s="84" t="n">
        <x:f>'SLOT_RULES'!$D$4+IF($A12&lt;='SLOT_RULES'!$D$4,0,INT(($A12-'SLOT_RULES'!$D$4-1)/'SLOT_RULES'!$E$4)+1)*'SLOT_RULES'!$E$4</x:f>
        <x:v>46297</x:v>
      </x:c>
      <x:c r="F12" s="84" t="n">
        <x:f>'SLOT_RULES'!$D$5+IF($A12&lt;='SLOT_RULES'!$D$5,0,INT(($A12-'SLOT_RULES'!$D$5-1)/'SLOT_RULES'!$E$5)+1)*'SLOT_RULES'!$E$5</x:f>
        <x:v>46276</x:v>
      </x:c>
      <x:c r="G12" s="84" t="n">
        <x:f>'SLOT_RULES'!$D$6+IF($A12&lt;='SLOT_RULES'!$D$6,0,INT(($A12-'SLOT_RULES'!$D$6-1)/'SLOT_RULES'!$E$6)+1)*'SLOT_RULES'!$E$6</x:f>
        <x:v>46283</x:v>
      </x:c>
      <x:c r="H12" s="84" t="n">
        <x:f>'SLOT_RULES'!$D$7+IF($A12&lt;='SLOT_RULES'!$D$7,0,INT(($A12-'SLOT_RULES'!$D$7-1)/'SLOT_RULES'!$E$7)+1)*'SLOT_RULES'!$E$7</x:f>
        <x:v>46290</x:v>
      </x:c>
      <x:c r="I12" s="84" t="n">
        <x:f>'SLOT_RULES'!$D$8+IF($A12&lt;='SLOT_RULES'!$D$8,0,INT(($A12-'SLOT_RULES'!$D$8-1)/'SLOT_RULES'!$E$8)+1)*'SLOT_RULES'!$E$8</x:f>
        <x:v>46300</x:v>
      </x:c>
      <x:c r="J12" s="84" t="n">
        <x:f>'SLOT_RULES'!$D$9+IF($A12&lt;='SLOT_RULES'!$D$9,0,INT(($A12-'SLOT_RULES'!$D$9-1)/'SLOT_RULES'!$E$9)+1)*'SLOT_RULES'!$E$9</x:f>
        <x:v>46286</x:v>
      </x:c>
      <x:c r="K12" s="84" t="n">
        <x:f>'SLOT_RULES'!$D$10+IF($A12&lt;='SLOT_RULES'!$D$10,0,INT(($A12-'SLOT_RULES'!$D$10-1)/'SLOT_RULES'!$E$10)+1)*'SLOT_RULES'!$E$10</x:f>
        <x:v>46301</x:v>
      </x:c>
      <x:c r="L12" s="84" t="n">
        <x:f>'SLOT_RULES'!$D$11+IF($A12&lt;='SLOT_RULES'!$D$11,0,INT(($A12-'SLOT_RULES'!$D$11-1)/'SLOT_RULES'!$E$11)+1)*'SLOT_RULES'!$E$11</x:f>
        <x:v>46280</x:v>
      </x:c>
      <x:c r="M12" s="84" t="n">
        <x:f>'SLOT_RULES'!$D$12+IF($A12&lt;='SLOT_RULES'!$D$12,0,INT(($A12-'SLOT_RULES'!$D$12-1)/'SLOT_RULES'!$E$12)+1)*'SLOT_RULES'!$E$12</x:f>
        <x:v>46285</x:v>
      </x:c>
      <x:c r="N12" s="84" t="n">
        <x:f>'SLOT_RULES'!$D$13+IF($A12&lt;='SLOT_RULES'!$D$13,0,INT(($A12-'SLOT_RULES'!$D$13-1)/'SLOT_RULES'!$E$13)+1)*'SLOT_RULES'!$E$13</x:f>
        <x:v>46321</x:v>
      </x:c>
      <x:c r="O12" s="84" t="n">
        <x:f>'SLOT_RULES'!$D$14+IF($A12&lt;='SLOT_RULES'!$D$14,0,INT(($A12-'SLOT_RULES'!$D$14-1)/'SLOT_RULES'!$E$14)+1)*'SLOT_RULES'!$E$14</x:f>
        <x:v>46350</x:v>
      </x:c>
      <x:c r="P12" s="84" t="n">
        <x:f>'SLOT_RULES'!$D$15+IF($A12&lt;='SLOT_RULES'!$D$15,0,INT(($A12-'SLOT_RULES'!$D$15-1)/'SLOT_RULES'!$E$15)+1)*'SLOT_RULES'!$E$15</x:f>
        <x:v>46422</x:v>
      </x:c>
      <x:c r="Q12" s="85" t="n">
        <x:f>MIN(E12:P12)-A12</x:f>
        <x:v>1</x:v>
      </x:c>
      <x:c r="R12" s="85" t="n">
        <x:f>MAX(E12:P12)-A12</x:f>
        <x:v>147</x:v>
      </x:c>
      <x:c r="S12" s="86" t="str">
        <x:f>IF(AND(COUNT(E12:P12)=12,MIN(E12:P12)&gt;=A12),"PASS","FAIL")</x:f>
        <x:v>PASS</x:v>
      </x:c>
      <x:c r="T12" s="86" t="str">
        <x:f>IF((COUNTIF('LOCAL_REFERENCE'!$D12:$O12,E12)+COUNTIF('LOCAL_REFERENCE'!$D12:$O12,F12)+COUNTIF('LOCAL_REFERENCE'!$D12:$O12,G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x:f>
        <x:v>PASS</x:v>
      </x:c>
      <x:c r="U12" s="86" t="str">
        <x:f>IF((COUNTIF('VPS_REFERENCE'!$D12:$H12,E12)+COUNTIF('VPS_REFERENCE'!$D12:$H12,F12)+COUNTIF('VPS_REFERENCE'!$D12:$H12,G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x:f>
        <x:v>PASS</x:v>
      </x:c>
      <x:c r="V12" s="86" t="str">
        <x:f>IF(OR(E12=F12,E12=G12,E12=H12,E12=I12,E12=J12,E12=K12,E12=L12,E12=M12,E12=N12,E12=O12,E12=P12,F12=G12,F12=H12,F12=I12,F12=J12,F12=K12,F12=L12,F12=M12,F12=N12,F12=O12,F12=P12,G12=H12,G12=I12,G12=J12,G12=K12,G12=L12,G12=M12,G12=N12,G12=O12,G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x:f>
        <x:v>PASS</x:v>
      </x:c>
      <x:c r="W12" s="87" t="str">
        <x:f>'CRAWL_LOG'!B12</x:f>
        <x:v>Chưa chạy</x:v>
      </x:c>
      <x:c r="X12" s="95" t="str">
        <x:v>Aux-local complementary panel; benchmark gate pending</x:v>
      </x:c>
    </x:row>
    <x:row r="13">
      <x:c r="A13" s="82" t="n">
        <x:v>46276</x:v>
      </x:c>
      <x:c r="B13" s="83" t="str">
        <x:v>Thứ Sáu</x:v>
      </x:c>
      <x:c r="C13" s="83" t="str">
        <x:v>Official</x:v>
      </x:c>
      <x:c r="D13" s="83" t="str">
        <x:v>00:30</x:v>
      </x:c>
      <x:c r="E13" s="84" t="n">
        <x:f>'SLOT_RULES'!$D$4+IF($A13&lt;='SLOT_RULES'!$D$4,0,INT(($A13-'SLOT_RULES'!$D$4-1)/'SLOT_RULES'!$E$4)+1)*'SLOT_RULES'!$E$4</x:f>
        <x:v>46297</x:v>
      </x:c>
      <x:c r="F13" s="84" t="n">
        <x:f>'SLOT_RULES'!$D$5+IF($A13&lt;='SLOT_RULES'!$D$5,0,INT(($A13-'SLOT_RULES'!$D$5-1)/'SLOT_RULES'!$E$5)+1)*'SLOT_RULES'!$E$5</x:f>
        <x:v>46276</x:v>
      </x:c>
      <x:c r="G13" s="84" t="n">
        <x:f>'SLOT_RULES'!$D$6+IF($A13&lt;='SLOT_RULES'!$D$6,0,INT(($A13-'SLOT_RULES'!$D$6-1)/'SLOT_RULES'!$E$6)+1)*'SLOT_RULES'!$E$6</x:f>
        <x:v>46283</x:v>
      </x:c>
      <x:c r="H13" s="84" t="n">
        <x:f>'SLOT_RULES'!$D$7+IF($A13&lt;='SLOT_RULES'!$D$7,0,INT(($A13-'SLOT_RULES'!$D$7-1)/'SLOT_RULES'!$E$7)+1)*'SLOT_RULES'!$E$7</x:f>
        <x:v>46290</x:v>
      </x:c>
      <x:c r="I13" s="84" t="n">
        <x:f>'SLOT_RULES'!$D$8+IF($A13&lt;='SLOT_RULES'!$D$8,0,INT(($A13-'SLOT_RULES'!$D$8-1)/'SLOT_RULES'!$E$8)+1)*'SLOT_RULES'!$E$8</x:f>
        <x:v>46300</x:v>
      </x:c>
      <x:c r="J13" s="84" t="n">
        <x:f>'SLOT_RULES'!$D$9+IF($A13&lt;='SLOT_RULES'!$D$9,0,INT(($A13-'SLOT_RULES'!$D$9-1)/'SLOT_RULES'!$E$9)+1)*'SLOT_RULES'!$E$9</x:f>
        <x:v>46286</x:v>
      </x:c>
      <x:c r="K13" s="84" t="n">
        <x:f>'SLOT_RULES'!$D$10+IF($A13&lt;='SLOT_RULES'!$D$10,0,INT(($A13-'SLOT_RULES'!$D$10-1)/'SLOT_RULES'!$E$10)+1)*'SLOT_RULES'!$E$10</x:f>
        <x:v>46301</x:v>
      </x:c>
      <x:c r="L13" s="84" t="n">
        <x:f>'SLOT_RULES'!$D$11+IF($A13&lt;='SLOT_RULES'!$D$11,0,INT(($A13-'SLOT_RULES'!$D$11-1)/'SLOT_RULES'!$E$11)+1)*'SLOT_RULES'!$E$11</x:f>
        <x:v>46280</x:v>
      </x:c>
      <x:c r="M13" s="84" t="n">
        <x:f>'SLOT_RULES'!$D$12+IF($A13&lt;='SLOT_RULES'!$D$12,0,INT(($A13-'SLOT_RULES'!$D$12-1)/'SLOT_RULES'!$E$12)+1)*'SLOT_RULES'!$E$12</x:f>
        <x:v>46285</x:v>
      </x:c>
      <x:c r="N13" s="84" t="n">
        <x:f>'SLOT_RULES'!$D$13+IF($A13&lt;='SLOT_RULES'!$D$13,0,INT(($A13-'SLOT_RULES'!$D$13-1)/'SLOT_RULES'!$E$13)+1)*'SLOT_RULES'!$E$13</x:f>
        <x:v>46321</x:v>
      </x:c>
      <x:c r="O13" s="84" t="n">
        <x:f>'SLOT_RULES'!$D$14+IF($A13&lt;='SLOT_RULES'!$D$14,0,INT(($A13-'SLOT_RULES'!$D$14-1)/'SLOT_RULES'!$E$14)+1)*'SLOT_RULES'!$E$14</x:f>
        <x:v>46350</x:v>
      </x:c>
      <x:c r="P13" s="84" t="n">
        <x:f>'SLOT_RULES'!$D$15+IF($A13&lt;='SLOT_RULES'!$D$15,0,INT(($A13-'SLOT_RULES'!$D$15-1)/'SLOT_RULES'!$E$15)+1)*'SLOT_RULES'!$E$15</x:f>
        <x:v>46422</x:v>
      </x:c>
      <x:c r="Q13" s="85" t="n">
        <x:f>MIN(E13:P13)-A13</x:f>
        <x:v>0</x:v>
      </x:c>
      <x:c r="R13" s="85" t="n">
        <x:f>MAX(E13:P13)-A13</x:f>
        <x:v>146</x:v>
      </x:c>
      <x:c r="S13" s="86" t="str">
        <x:f>IF(AND(COUNT(E13:P13)=12,MIN(E13:P13)&gt;=A13),"PASS","FAIL")</x:f>
        <x:v>PASS</x:v>
      </x:c>
      <x:c r="T13" s="86" t="str">
        <x:f>IF((COUNTIF('LOCAL_REFERENCE'!$D13:$O13,E13)+COUNTIF('LOCAL_REFERENCE'!$D13:$O13,F13)+COUNTIF('LOCAL_REFERENCE'!$D13:$O13,G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x:f>
        <x:v>PASS</x:v>
      </x:c>
      <x:c r="U13" s="86" t="str">
        <x:f>IF((COUNTIF('VPS_REFERENCE'!$D13:$H13,E13)+COUNTIF('VPS_REFERENCE'!$D13:$H13,F13)+COUNTIF('VPS_REFERENCE'!$D13:$H13,G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x:f>
        <x:v>PASS</x:v>
      </x:c>
      <x:c r="V13" s="86" t="str">
        <x:f>IF(OR(E13=F13,E13=G13,E13=H13,E13=I13,E13=J13,E13=K13,E13=L13,E13=M13,E13=N13,E13=O13,E13=P13,F13=G13,F13=H13,F13=I13,F13=J13,F13=K13,F13=L13,F13=M13,F13=N13,F13=O13,F13=P13,G13=H13,G13=I13,G13=J13,G13=K13,G13=L13,G13=M13,G13=N13,G13=O13,G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x:f>
        <x:v>PASS</x:v>
      </x:c>
      <x:c r="W13" s="87" t="str">
        <x:f>'CRAWL_LOG'!B13</x:f>
        <x:v>Chưa chạy</x:v>
      </x:c>
      <x:c r="X13" s="95" t="str">
        <x:v>Aux-local complementary panel; benchmark gate pending</x:v>
      </x:c>
    </x:row>
    <x:row r="14">
      <x:c r="A14" s="82" t="n">
        <x:v>46277</x:v>
      </x:c>
      <x:c r="B14" s="83" t="str">
        <x:v>Thứ Bảy</x:v>
      </x:c>
      <x:c r="C14" s="83" t="str">
        <x:v>Official</x:v>
      </x:c>
      <x:c r="D14" s="83" t="str">
        <x:v>00:30</x:v>
      </x:c>
      <x:c r="E14" s="84" t="n">
        <x:f>'SLOT_RULES'!$D$4+IF($A14&lt;='SLOT_RULES'!$D$4,0,INT(($A14-'SLOT_RULES'!$D$4-1)/'SLOT_RULES'!$E$4)+1)*'SLOT_RULES'!$E$4</x:f>
        <x:v>46297</x:v>
      </x:c>
      <x:c r="F14" s="84" t="n">
        <x:f>'SLOT_RULES'!$D$5+IF($A14&lt;='SLOT_RULES'!$D$5,0,INT(($A14-'SLOT_RULES'!$D$5-1)/'SLOT_RULES'!$E$5)+1)*'SLOT_RULES'!$E$5</x:f>
        <x:v>46304</x:v>
      </x:c>
      <x:c r="G14" s="84" t="n">
        <x:f>'SLOT_RULES'!$D$6+IF($A14&lt;='SLOT_RULES'!$D$6,0,INT(($A14-'SLOT_RULES'!$D$6-1)/'SLOT_RULES'!$E$6)+1)*'SLOT_RULES'!$E$6</x:f>
        <x:v>46283</x:v>
      </x:c>
      <x:c r="H14" s="84" t="n">
        <x:f>'SLOT_RULES'!$D$7+IF($A14&lt;='SLOT_RULES'!$D$7,0,INT(($A14-'SLOT_RULES'!$D$7-1)/'SLOT_RULES'!$E$7)+1)*'SLOT_RULES'!$E$7</x:f>
        <x:v>46290</x:v>
      </x:c>
      <x:c r="I14" s="84" t="n">
        <x:f>'SLOT_RULES'!$D$8+IF($A14&lt;='SLOT_RULES'!$D$8,0,INT(($A14-'SLOT_RULES'!$D$8-1)/'SLOT_RULES'!$E$8)+1)*'SLOT_RULES'!$E$8</x:f>
        <x:v>46300</x:v>
      </x:c>
      <x:c r="J14" s="84" t="n">
        <x:f>'SLOT_RULES'!$D$9+IF($A14&lt;='SLOT_RULES'!$D$9,0,INT(($A14-'SLOT_RULES'!$D$9-1)/'SLOT_RULES'!$E$9)+1)*'SLOT_RULES'!$E$9</x:f>
        <x:v>46286</x:v>
      </x:c>
      <x:c r="K14" s="84" t="n">
        <x:f>'SLOT_RULES'!$D$10+IF($A14&lt;='SLOT_RULES'!$D$10,0,INT(($A14-'SLOT_RULES'!$D$10-1)/'SLOT_RULES'!$E$10)+1)*'SLOT_RULES'!$E$10</x:f>
        <x:v>46301</x:v>
      </x:c>
      <x:c r="L14" s="84" t="n">
        <x:f>'SLOT_RULES'!$D$11+IF($A14&lt;='SLOT_RULES'!$D$11,0,INT(($A14-'SLOT_RULES'!$D$11-1)/'SLOT_RULES'!$E$11)+1)*'SLOT_RULES'!$E$11</x:f>
        <x:v>46280</x:v>
      </x:c>
      <x:c r="M14" s="84" t="n">
        <x:f>'SLOT_RULES'!$D$12+IF($A14&lt;='SLOT_RULES'!$D$12,0,INT(($A14-'SLOT_RULES'!$D$12-1)/'SLOT_RULES'!$E$12)+1)*'SLOT_RULES'!$E$12</x:f>
        <x:v>46285</x:v>
      </x:c>
      <x:c r="N14" s="84" t="n">
        <x:f>'SLOT_RULES'!$D$13+IF($A14&lt;='SLOT_RULES'!$D$13,0,INT(($A14-'SLOT_RULES'!$D$13-1)/'SLOT_RULES'!$E$13)+1)*'SLOT_RULES'!$E$13</x:f>
        <x:v>46321</x:v>
      </x:c>
      <x:c r="O14" s="84" t="n">
        <x:f>'SLOT_RULES'!$D$14+IF($A14&lt;='SLOT_RULES'!$D$14,0,INT(($A14-'SLOT_RULES'!$D$14-1)/'SLOT_RULES'!$E$14)+1)*'SLOT_RULES'!$E$14</x:f>
        <x:v>46350</x:v>
      </x:c>
      <x:c r="P14" s="84" t="n">
        <x:f>'SLOT_RULES'!$D$15+IF($A14&lt;='SLOT_RULES'!$D$15,0,INT(($A14-'SLOT_RULES'!$D$15-1)/'SLOT_RULES'!$E$15)+1)*'SLOT_RULES'!$E$15</x:f>
        <x:v>46422</x:v>
      </x:c>
      <x:c r="Q14" s="85" t="n">
        <x:f>MIN(E14:P14)-A14</x:f>
        <x:v>3</x:v>
      </x:c>
      <x:c r="R14" s="85" t="n">
        <x:f>MAX(E14:P14)-A14</x:f>
        <x:v>145</x:v>
      </x:c>
      <x:c r="S14" s="86" t="str">
        <x:f>IF(AND(COUNT(E14:P14)=12,MIN(E14:P14)&gt;=A14),"PASS","FAIL")</x:f>
        <x:v>PASS</x:v>
      </x:c>
      <x:c r="T14" s="86" t="str">
        <x:f>IF((COUNTIF('LOCAL_REFERENCE'!$D14:$O14,E14)+COUNTIF('LOCAL_REFERENCE'!$D14:$O14,F14)+COUNTIF('LOCAL_REFERENCE'!$D14:$O14,G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x:f>
        <x:v>PASS</x:v>
      </x:c>
      <x:c r="U14" s="86" t="str">
        <x:f>IF((COUNTIF('VPS_REFERENCE'!$D14:$H14,E14)+COUNTIF('VPS_REFERENCE'!$D14:$H14,F14)+COUNTIF('VPS_REFERENCE'!$D14:$H14,G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x:f>
        <x:v>PASS</x:v>
      </x:c>
      <x:c r="V14" s="86" t="str">
        <x:f>IF(OR(E14=F14,E14=G14,E14=H14,E14=I14,E14=J14,E14=K14,E14=L14,E14=M14,E14=N14,E14=O14,E14=P14,F14=G14,F14=H14,F14=I14,F14=J14,F14=K14,F14=L14,F14=M14,F14=N14,F14=O14,F14=P14,G14=H14,G14=I14,G14=J14,G14=K14,G14=L14,G14=M14,G14=N14,G14=O14,G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x:f>
        <x:v>PASS</x:v>
      </x:c>
      <x:c r="W14" s="87" t="str">
        <x:f>'CRAWL_LOG'!B14</x:f>
        <x:v>Chưa chạy</x:v>
      </x:c>
      <x:c r="X14" s="95" t="str">
        <x:v>Aux-local complementary panel; benchmark gate pending</x:v>
      </x:c>
    </x:row>
    <x:row r="15">
      <x:c r="A15" s="82" t="n">
        <x:v>46278</x:v>
      </x:c>
      <x:c r="B15" s="83" t="str">
        <x:v>Chủ Nhật</x:v>
      </x:c>
      <x:c r="C15" s="83" t="str">
        <x:v>Official</x:v>
      </x:c>
      <x:c r="D15" s="83" t="str">
        <x:v>00:30</x:v>
      </x:c>
      <x:c r="E15" s="84" t="n">
        <x:f>'SLOT_RULES'!$D$4+IF($A15&lt;='SLOT_RULES'!$D$4,0,INT(($A15-'SLOT_RULES'!$D$4-1)/'SLOT_RULES'!$E$4)+1)*'SLOT_RULES'!$E$4</x:f>
        <x:v>46297</x:v>
      </x:c>
      <x:c r="F15" s="84" t="n">
        <x:f>'SLOT_RULES'!$D$5+IF($A15&lt;='SLOT_RULES'!$D$5,0,INT(($A15-'SLOT_RULES'!$D$5-1)/'SLOT_RULES'!$E$5)+1)*'SLOT_RULES'!$E$5</x:f>
        <x:v>46304</x:v>
      </x:c>
      <x:c r="G15" s="84" t="n">
        <x:f>'SLOT_RULES'!$D$6+IF($A15&lt;='SLOT_RULES'!$D$6,0,INT(($A15-'SLOT_RULES'!$D$6-1)/'SLOT_RULES'!$E$6)+1)*'SLOT_RULES'!$E$6</x:f>
        <x:v>46283</x:v>
      </x:c>
      <x:c r="H15" s="84" t="n">
        <x:f>'SLOT_RULES'!$D$7+IF($A15&lt;='SLOT_RULES'!$D$7,0,INT(($A15-'SLOT_RULES'!$D$7-1)/'SLOT_RULES'!$E$7)+1)*'SLOT_RULES'!$E$7</x:f>
        <x:v>46290</x:v>
      </x:c>
      <x:c r="I15" s="84" t="n">
        <x:f>'SLOT_RULES'!$D$8+IF($A15&lt;='SLOT_RULES'!$D$8,0,INT(($A15-'SLOT_RULES'!$D$8-1)/'SLOT_RULES'!$E$8)+1)*'SLOT_RULES'!$E$8</x:f>
        <x:v>46300</x:v>
      </x:c>
      <x:c r="J15" s="84" t="n">
        <x:f>'SLOT_RULES'!$D$9+IF($A15&lt;='SLOT_RULES'!$D$9,0,INT(($A15-'SLOT_RULES'!$D$9-1)/'SLOT_RULES'!$E$9)+1)*'SLOT_RULES'!$E$9</x:f>
        <x:v>46286</x:v>
      </x:c>
      <x:c r="K15" s="84" t="n">
        <x:f>'SLOT_RULES'!$D$10+IF($A15&lt;='SLOT_RULES'!$D$10,0,INT(($A15-'SLOT_RULES'!$D$10-1)/'SLOT_RULES'!$E$10)+1)*'SLOT_RULES'!$E$10</x:f>
        <x:v>46301</x:v>
      </x:c>
      <x:c r="L15" s="84" t="n">
        <x:f>'SLOT_RULES'!$D$11+IF($A15&lt;='SLOT_RULES'!$D$11,0,INT(($A15-'SLOT_RULES'!$D$11-1)/'SLOT_RULES'!$E$11)+1)*'SLOT_RULES'!$E$11</x:f>
        <x:v>46280</x:v>
      </x:c>
      <x:c r="M15" s="84" t="n">
        <x:f>'SLOT_RULES'!$D$12+IF($A15&lt;='SLOT_RULES'!$D$12,0,INT(($A15-'SLOT_RULES'!$D$12-1)/'SLOT_RULES'!$E$12)+1)*'SLOT_RULES'!$E$12</x:f>
        <x:v>46285</x:v>
      </x:c>
      <x:c r="N15" s="84" t="n">
        <x:f>'SLOT_RULES'!$D$13+IF($A15&lt;='SLOT_RULES'!$D$13,0,INT(($A15-'SLOT_RULES'!$D$13-1)/'SLOT_RULES'!$E$13)+1)*'SLOT_RULES'!$E$13</x:f>
        <x:v>46321</x:v>
      </x:c>
      <x:c r="O15" s="84" t="n">
        <x:f>'SLOT_RULES'!$D$14+IF($A15&lt;='SLOT_RULES'!$D$14,0,INT(($A15-'SLOT_RULES'!$D$14-1)/'SLOT_RULES'!$E$14)+1)*'SLOT_RULES'!$E$14</x:f>
        <x:v>46350</x:v>
      </x:c>
      <x:c r="P15" s="84" t="n">
        <x:f>'SLOT_RULES'!$D$15+IF($A15&lt;='SLOT_RULES'!$D$15,0,INT(($A15-'SLOT_RULES'!$D$15-1)/'SLOT_RULES'!$E$15)+1)*'SLOT_RULES'!$E$15</x:f>
        <x:v>46422</x:v>
      </x:c>
      <x:c r="Q15" s="85" t="n">
        <x:f>MIN(E15:P15)-A15</x:f>
        <x:v>2</x:v>
      </x:c>
      <x:c r="R15" s="85" t="n">
        <x:f>MAX(E15:P15)-A15</x:f>
        <x:v>144</x:v>
      </x:c>
      <x:c r="S15" s="86" t="str">
        <x:f>IF(AND(COUNT(E15:P15)=12,MIN(E15:P15)&gt;=A15),"PASS","FAIL")</x:f>
        <x:v>PASS</x:v>
      </x:c>
      <x:c r="T15" s="86" t="str">
        <x:f>IF((COUNTIF('LOCAL_REFERENCE'!$D15:$O15,E15)+COUNTIF('LOCAL_REFERENCE'!$D15:$O15,F15)+COUNTIF('LOCAL_REFERENCE'!$D15:$O15,G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x:f>
        <x:v>PASS</x:v>
      </x:c>
      <x:c r="U15" s="86" t="str">
        <x:f>IF((COUNTIF('VPS_REFERENCE'!$D15:$H15,E15)+COUNTIF('VPS_REFERENCE'!$D15:$H15,F15)+COUNTIF('VPS_REFERENCE'!$D15:$H15,G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x:f>
        <x:v>PASS</x:v>
      </x:c>
      <x:c r="V15" s="86" t="str">
        <x:f>IF(OR(E15=F15,E15=G15,E15=H15,E15=I15,E15=J15,E15=K15,E15=L15,E15=M15,E15=N15,E15=O15,E15=P15,F15=G15,F15=H15,F15=I15,F15=J15,F15=K15,F15=L15,F15=M15,F15=N15,F15=O15,F15=P15,G15=H15,G15=I15,G15=J15,G15=K15,G15=L15,G15=M15,G15=N15,G15=O15,G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x:f>
        <x:v>PASS</x:v>
      </x:c>
      <x:c r="W15" s="87" t="str">
        <x:f>'CRAWL_LOG'!B15</x:f>
        <x:v>Chưa chạy</x:v>
      </x:c>
      <x:c r="X15" s="95" t="str">
        <x:v>Aux-local complementary panel; benchmark gate pending</x:v>
      </x:c>
    </x:row>
    <x:row r="16">
      <x:c r="A16" s="82" t="n">
        <x:v>46279</x:v>
      </x:c>
      <x:c r="B16" s="83" t="str">
        <x:v>Thứ Hai</x:v>
      </x:c>
      <x:c r="C16" s="83" t="str">
        <x:v>Official</x:v>
      </x:c>
      <x:c r="D16" s="83" t="str">
        <x:v>00:30</x:v>
      </x:c>
      <x:c r="E16" s="84" t="n">
        <x:f>'SLOT_RULES'!$D$4+IF($A16&lt;='SLOT_RULES'!$D$4,0,INT(($A16-'SLOT_RULES'!$D$4-1)/'SLOT_RULES'!$E$4)+1)*'SLOT_RULES'!$E$4</x:f>
        <x:v>46297</x:v>
      </x:c>
      <x:c r="F16" s="84" t="n">
        <x:f>'SLOT_RULES'!$D$5+IF($A16&lt;='SLOT_RULES'!$D$5,0,INT(($A16-'SLOT_RULES'!$D$5-1)/'SLOT_RULES'!$E$5)+1)*'SLOT_RULES'!$E$5</x:f>
        <x:v>46304</x:v>
      </x:c>
      <x:c r="G16" s="84" t="n">
        <x:f>'SLOT_RULES'!$D$6+IF($A16&lt;='SLOT_RULES'!$D$6,0,INT(($A16-'SLOT_RULES'!$D$6-1)/'SLOT_RULES'!$E$6)+1)*'SLOT_RULES'!$E$6</x:f>
        <x:v>46283</x:v>
      </x:c>
      <x:c r="H16" s="84" t="n">
        <x:f>'SLOT_RULES'!$D$7+IF($A16&lt;='SLOT_RULES'!$D$7,0,INT(($A16-'SLOT_RULES'!$D$7-1)/'SLOT_RULES'!$E$7)+1)*'SLOT_RULES'!$E$7</x:f>
        <x:v>46290</x:v>
      </x:c>
      <x:c r="I16" s="84" t="n">
        <x:f>'SLOT_RULES'!$D$8+IF($A16&lt;='SLOT_RULES'!$D$8,0,INT(($A16-'SLOT_RULES'!$D$8-1)/'SLOT_RULES'!$E$8)+1)*'SLOT_RULES'!$E$8</x:f>
        <x:v>46300</x:v>
      </x:c>
      <x:c r="J16" s="84" t="n">
        <x:f>'SLOT_RULES'!$D$9+IF($A16&lt;='SLOT_RULES'!$D$9,0,INT(($A16-'SLOT_RULES'!$D$9-1)/'SLOT_RULES'!$E$9)+1)*'SLOT_RULES'!$E$9</x:f>
        <x:v>46286</x:v>
      </x:c>
      <x:c r="K16" s="84" t="n">
        <x:f>'SLOT_RULES'!$D$10+IF($A16&lt;='SLOT_RULES'!$D$10,0,INT(($A16-'SLOT_RULES'!$D$10-1)/'SLOT_RULES'!$E$10)+1)*'SLOT_RULES'!$E$10</x:f>
        <x:v>46301</x:v>
      </x:c>
      <x:c r="L16" s="84" t="n">
        <x:f>'SLOT_RULES'!$D$11+IF($A16&lt;='SLOT_RULES'!$D$11,0,INT(($A16-'SLOT_RULES'!$D$11-1)/'SLOT_RULES'!$E$11)+1)*'SLOT_RULES'!$E$11</x:f>
        <x:v>46280</x:v>
      </x:c>
      <x:c r="M16" s="84" t="n">
        <x:f>'SLOT_RULES'!$D$12+IF($A16&lt;='SLOT_RULES'!$D$12,0,INT(($A16-'SLOT_RULES'!$D$12-1)/'SLOT_RULES'!$E$12)+1)*'SLOT_RULES'!$E$12</x:f>
        <x:v>46285</x:v>
      </x:c>
      <x:c r="N16" s="84" t="n">
        <x:f>'SLOT_RULES'!$D$13+IF($A16&lt;='SLOT_RULES'!$D$13,0,INT(($A16-'SLOT_RULES'!$D$13-1)/'SLOT_RULES'!$E$13)+1)*'SLOT_RULES'!$E$13</x:f>
        <x:v>46321</x:v>
      </x:c>
      <x:c r="O16" s="84" t="n">
        <x:f>'SLOT_RULES'!$D$14+IF($A16&lt;='SLOT_RULES'!$D$14,0,INT(($A16-'SLOT_RULES'!$D$14-1)/'SLOT_RULES'!$E$14)+1)*'SLOT_RULES'!$E$14</x:f>
        <x:v>46350</x:v>
      </x:c>
      <x:c r="P16" s="84" t="n">
        <x:f>'SLOT_RULES'!$D$15+IF($A16&lt;='SLOT_RULES'!$D$15,0,INT(($A16-'SLOT_RULES'!$D$15-1)/'SLOT_RULES'!$E$15)+1)*'SLOT_RULES'!$E$15</x:f>
        <x:v>46422</x:v>
      </x:c>
      <x:c r="Q16" s="85" t="n">
        <x:f>MIN(E16:P16)-A16</x:f>
        <x:v>1</x:v>
      </x:c>
      <x:c r="R16" s="85" t="n">
        <x:f>MAX(E16:P16)-A16</x:f>
        <x:v>143</x:v>
      </x:c>
      <x:c r="S16" s="86" t="str">
        <x:f>IF(AND(COUNT(E16:P16)=12,MIN(E16:P16)&gt;=A16),"PASS","FAIL")</x:f>
        <x:v>PASS</x:v>
      </x:c>
      <x:c r="T16" s="86" t="str">
        <x:f>IF((COUNTIF('LOCAL_REFERENCE'!$D16:$O16,E16)+COUNTIF('LOCAL_REFERENCE'!$D16:$O16,F16)+COUNTIF('LOCAL_REFERENCE'!$D16:$O16,G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x:f>
        <x:v>PASS</x:v>
      </x:c>
      <x:c r="U16" s="86" t="str">
        <x:f>IF((COUNTIF('VPS_REFERENCE'!$D16:$H16,E16)+COUNTIF('VPS_REFERENCE'!$D16:$H16,F16)+COUNTIF('VPS_REFERENCE'!$D16:$H16,G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x:f>
        <x:v>PASS</x:v>
      </x:c>
      <x:c r="V16" s="86" t="str">
        <x:f>IF(OR(E16=F16,E16=G16,E16=H16,E16=I16,E16=J16,E16=K16,E16=L16,E16=M16,E16=N16,E16=O16,E16=P16,F16=G16,F16=H16,F16=I16,F16=J16,F16=K16,F16=L16,F16=M16,F16=N16,F16=O16,F16=P16,G16=H16,G16=I16,G16=J16,G16=K16,G16=L16,G16=M16,G16=N16,G16=O16,G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x:f>
        <x:v>PASS</x:v>
      </x:c>
      <x:c r="W16" s="87" t="str">
        <x:f>'CRAWL_LOG'!B16</x:f>
        <x:v>Chưa chạy</x:v>
      </x:c>
      <x:c r="X16" s="95" t="str">
        <x:v>Aux-local complementary panel; benchmark gate pending</x:v>
      </x:c>
    </x:row>
    <x:row r="17">
      <x:c r="A17" s="82" t="n">
        <x:v>46280</x:v>
      </x:c>
      <x:c r="B17" s="83" t="str">
        <x:v>Thứ Ba</x:v>
      </x:c>
      <x:c r="C17" s="83" t="str">
        <x:v>Official</x:v>
      </x:c>
      <x:c r="D17" s="83" t="str">
        <x:v>00:30</x:v>
      </x:c>
      <x:c r="E17" s="84" t="n">
        <x:f>'SLOT_RULES'!$D$4+IF($A17&lt;='SLOT_RULES'!$D$4,0,INT(($A17-'SLOT_RULES'!$D$4-1)/'SLOT_RULES'!$E$4)+1)*'SLOT_RULES'!$E$4</x:f>
        <x:v>46297</x:v>
      </x:c>
      <x:c r="F17" s="84" t="n">
        <x:f>'SLOT_RULES'!$D$5+IF($A17&lt;='SLOT_RULES'!$D$5,0,INT(($A17-'SLOT_RULES'!$D$5-1)/'SLOT_RULES'!$E$5)+1)*'SLOT_RULES'!$E$5</x:f>
        <x:v>46304</x:v>
      </x:c>
      <x:c r="G17" s="84" t="n">
        <x:f>'SLOT_RULES'!$D$6+IF($A17&lt;='SLOT_RULES'!$D$6,0,INT(($A17-'SLOT_RULES'!$D$6-1)/'SLOT_RULES'!$E$6)+1)*'SLOT_RULES'!$E$6</x:f>
        <x:v>46283</x:v>
      </x:c>
      <x:c r="H17" s="84" t="n">
        <x:f>'SLOT_RULES'!$D$7+IF($A17&lt;='SLOT_RULES'!$D$7,0,INT(($A17-'SLOT_RULES'!$D$7-1)/'SLOT_RULES'!$E$7)+1)*'SLOT_RULES'!$E$7</x:f>
        <x:v>46290</x:v>
      </x:c>
      <x:c r="I17" s="84" t="n">
        <x:f>'SLOT_RULES'!$D$8+IF($A17&lt;='SLOT_RULES'!$D$8,0,INT(($A17-'SLOT_RULES'!$D$8-1)/'SLOT_RULES'!$E$8)+1)*'SLOT_RULES'!$E$8</x:f>
        <x:v>46300</x:v>
      </x:c>
      <x:c r="J17" s="84" t="n">
        <x:f>'SLOT_RULES'!$D$9+IF($A17&lt;='SLOT_RULES'!$D$9,0,INT(($A17-'SLOT_RULES'!$D$9-1)/'SLOT_RULES'!$E$9)+1)*'SLOT_RULES'!$E$9</x:f>
        <x:v>46286</x:v>
      </x:c>
      <x:c r="K17" s="84" t="n">
        <x:f>'SLOT_RULES'!$D$10+IF($A17&lt;='SLOT_RULES'!$D$10,0,INT(($A17-'SLOT_RULES'!$D$10-1)/'SLOT_RULES'!$E$10)+1)*'SLOT_RULES'!$E$10</x:f>
        <x:v>46301</x:v>
      </x:c>
      <x:c r="L17" s="84" t="n">
        <x:f>'SLOT_RULES'!$D$11+IF($A17&lt;='SLOT_RULES'!$D$11,0,INT(($A17-'SLOT_RULES'!$D$11-1)/'SLOT_RULES'!$E$11)+1)*'SLOT_RULES'!$E$11</x:f>
        <x:v>46280</x:v>
      </x:c>
      <x:c r="M17" s="84" t="n">
        <x:f>'SLOT_RULES'!$D$12+IF($A17&lt;='SLOT_RULES'!$D$12,0,INT(($A17-'SLOT_RULES'!$D$12-1)/'SLOT_RULES'!$E$12)+1)*'SLOT_RULES'!$E$12</x:f>
        <x:v>46285</x:v>
      </x:c>
      <x:c r="N17" s="84" t="n">
        <x:f>'SLOT_RULES'!$D$13+IF($A17&lt;='SLOT_RULES'!$D$13,0,INT(($A17-'SLOT_RULES'!$D$13-1)/'SLOT_RULES'!$E$13)+1)*'SLOT_RULES'!$E$13</x:f>
        <x:v>46321</x:v>
      </x:c>
      <x:c r="O17" s="84" t="n">
        <x:f>'SLOT_RULES'!$D$14+IF($A17&lt;='SLOT_RULES'!$D$14,0,INT(($A17-'SLOT_RULES'!$D$14-1)/'SLOT_RULES'!$E$14)+1)*'SLOT_RULES'!$E$14</x:f>
        <x:v>46350</x:v>
      </x:c>
      <x:c r="P17" s="84" t="n">
        <x:f>'SLOT_RULES'!$D$15+IF($A17&lt;='SLOT_RULES'!$D$15,0,INT(($A17-'SLOT_RULES'!$D$15-1)/'SLOT_RULES'!$E$15)+1)*'SLOT_RULES'!$E$15</x:f>
        <x:v>46422</x:v>
      </x:c>
      <x:c r="Q17" s="85" t="n">
        <x:f>MIN(E17:P17)-A17</x:f>
        <x:v>0</x:v>
      </x:c>
      <x:c r="R17" s="85" t="n">
        <x:f>MAX(E17:P17)-A17</x:f>
        <x:v>142</x:v>
      </x:c>
      <x:c r="S17" s="86" t="str">
        <x:f>IF(AND(COUNT(E17:P17)=12,MIN(E17:P17)&gt;=A17),"PASS","FAIL")</x:f>
        <x:v>PASS</x:v>
      </x:c>
      <x:c r="T17" s="86" t="str">
        <x:f>IF((COUNTIF('LOCAL_REFERENCE'!$D17:$O17,E17)+COUNTIF('LOCAL_REFERENCE'!$D17:$O17,F17)+COUNTIF('LOCAL_REFERENCE'!$D17:$O17,G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x:f>
        <x:v>PASS</x:v>
      </x:c>
      <x:c r="U17" s="86" t="str">
        <x:f>IF((COUNTIF('VPS_REFERENCE'!$D17:$H17,E17)+COUNTIF('VPS_REFERENCE'!$D17:$H17,F17)+COUNTIF('VPS_REFERENCE'!$D17:$H17,G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x:f>
        <x:v>PASS</x:v>
      </x:c>
      <x:c r="V17" s="86" t="str">
        <x:f>IF(OR(E17=F17,E17=G17,E17=H17,E17=I17,E17=J17,E17=K17,E17=L17,E17=M17,E17=N17,E17=O17,E17=P17,F17=G17,F17=H17,F17=I17,F17=J17,F17=K17,F17=L17,F17=M17,F17=N17,F17=O17,F17=P17,G17=H17,G17=I17,G17=J17,G17=K17,G17=L17,G17=M17,G17=N17,G17=O17,G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x:f>
        <x:v>PASS</x:v>
      </x:c>
      <x:c r="W17" s="87" t="str">
        <x:f>'CRAWL_LOG'!B17</x:f>
        <x:v>Chưa chạy</x:v>
      </x:c>
      <x:c r="X17" s="95" t="str">
        <x:v>Aux-local complementary panel; benchmark gate pending</x:v>
      </x:c>
    </x:row>
    <x:row r="18">
      <x:c r="A18" s="82" t="n">
        <x:v>46281</x:v>
      </x:c>
      <x:c r="B18" s="83" t="str">
        <x:v>Thứ Tư</x:v>
      </x:c>
      <x:c r="C18" s="83" t="str">
        <x:v>Official</x:v>
      </x:c>
      <x:c r="D18" s="83" t="str">
        <x:v>00:30</x:v>
      </x:c>
      <x:c r="E18" s="84" t="n">
        <x:f>'SLOT_RULES'!$D$4+IF($A18&lt;='SLOT_RULES'!$D$4,0,INT(($A18-'SLOT_RULES'!$D$4-1)/'SLOT_RULES'!$E$4)+1)*'SLOT_RULES'!$E$4</x:f>
        <x:v>46297</x:v>
      </x:c>
      <x:c r="F18" s="84" t="n">
        <x:f>'SLOT_RULES'!$D$5+IF($A18&lt;='SLOT_RULES'!$D$5,0,INT(($A18-'SLOT_RULES'!$D$5-1)/'SLOT_RULES'!$E$5)+1)*'SLOT_RULES'!$E$5</x:f>
        <x:v>46304</x:v>
      </x:c>
      <x:c r="G18" s="84" t="n">
        <x:f>'SLOT_RULES'!$D$6+IF($A18&lt;='SLOT_RULES'!$D$6,0,INT(($A18-'SLOT_RULES'!$D$6-1)/'SLOT_RULES'!$E$6)+1)*'SLOT_RULES'!$E$6</x:f>
        <x:v>46283</x:v>
      </x:c>
      <x:c r="H18" s="84" t="n">
        <x:f>'SLOT_RULES'!$D$7+IF($A18&lt;='SLOT_RULES'!$D$7,0,INT(($A18-'SLOT_RULES'!$D$7-1)/'SLOT_RULES'!$E$7)+1)*'SLOT_RULES'!$E$7</x:f>
        <x:v>46290</x:v>
      </x:c>
      <x:c r="I18" s="84" t="n">
        <x:f>'SLOT_RULES'!$D$8+IF($A18&lt;='SLOT_RULES'!$D$8,0,INT(($A18-'SLOT_RULES'!$D$8-1)/'SLOT_RULES'!$E$8)+1)*'SLOT_RULES'!$E$8</x:f>
        <x:v>46300</x:v>
      </x:c>
      <x:c r="J18" s="84" t="n">
        <x:f>'SLOT_RULES'!$D$9+IF($A18&lt;='SLOT_RULES'!$D$9,0,INT(($A18-'SLOT_RULES'!$D$9-1)/'SLOT_RULES'!$E$9)+1)*'SLOT_RULES'!$E$9</x:f>
        <x:v>46286</x:v>
      </x:c>
      <x:c r="K18" s="84" t="n">
        <x:f>'SLOT_RULES'!$D$10+IF($A18&lt;='SLOT_RULES'!$D$10,0,INT(($A18-'SLOT_RULES'!$D$10-1)/'SLOT_RULES'!$E$10)+1)*'SLOT_RULES'!$E$10</x:f>
        <x:v>46301</x:v>
      </x:c>
      <x:c r="L18" s="84" t="n">
        <x:f>'SLOT_RULES'!$D$11+IF($A18&lt;='SLOT_RULES'!$D$11,0,INT(($A18-'SLOT_RULES'!$D$11-1)/'SLOT_RULES'!$E$11)+1)*'SLOT_RULES'!$E$11</x:f>
        <x:v>46308</x:v>
      </x:c>
      <x:c r="M18" s="84" t="n">
        <x:f>'SLOT_RULES'!$D$12+IF($A18&lt;='SLOT_RULES'!$D$12,0,INT(($A18-'SLOT_RULES'!$D$12-1)/'SLOT_RULES'!$E$12)+1)*'SLOT_RULES'!$E$12</x:f>
        <x:v>46285</x:v>
      </x:c>
      <x:c r="N18" s="84" t="n">
        <x:f>'SLOT_RULES'!$D$13+IF($A18&lt;='SLOT_RULES'!$D$13,0,INT(($A18-'SLOT_RULES'!$D$13-1)/'SLOT_RULES'!$E$13)+1)*'SLOT_RULES'!$E$13</x:f>
        <x:v>46321</x:v>
      </x:c>
      <x:c r="O18" s="84" t="n">
        <x:f>'SLOT_RULES'!$D$14+IF($A18&lt;='SLOT_RULES'!$D$14,0,INT(($A18-'SLOT_RULES'!$D$14-1)/'SLOT_RULES'!$E$14)+1)*'SLOT_RULES'!$E$14</x:f>
        <x:v>46350</x:v>
      </x:c>
      <x:c r="P18" s="84" t="n">
        <x:f>'SLOT_RULES'!$D$15+IF($A18&lt;='SLOT_RULES'!$D$15,0,INT(($A18-'SLOT_RULES'!$D$15-1)/'SLOT_RULES'!$E$15)+1)*'SLOT_RULES'!$E$15</x:f>
        <x:v>46422</x:v>
      </x:c>
      <x:c r="Q18" s="85" t="n">
        <x:f>MIN(E18:P18)-A18</x:f>
        <x:v>2</x:v>
      </x:c>
      <x:c r="R18" s="85" t="n">
        <x:f>MAX(E18:P18)-A18</x:f>
        <x:v>141</x:v>
      </x:c>
      <x:c r="S18" s="86" t="str">
        <x:f>IF(AND(COUNT(E18:P18)=12,MIN(E18:P18)&gt;=A18),"PASS","FAIL")</x:f>
        <x:v>PASS</x:v>
      </x:c>
      <x:c r="T18" s="86" t="str">
        <x:f>IF((COUNTIF('LOCAL_REFERENCE'!$D18:$O18,E18)+COUNTIF('LOCAL_REFERENCE'!$D18:$O18,F18)+COUNTIF('LOCAL_REFERENCE'!$D18:$O18,G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x:f>
        <x:v>PASS</x:v>
      </x:c>
      <x:c r="U18" s="86" t="str">
        <x:f>IF((COUNTIF('VPS_REFERENCE'!$D18:$H18,E18)+COUNTIF('VPS_REFERENCE'!$D18:$H18,F18)+COUNTIF('VPS_REFERENCE'!$D18:$H18,G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x:f>
        <x:v>PASS</x:v>
      </x:c>
      <x:c r="V18" s="86" t="str">
        <x:f>IF(OR(E18=F18,E18=G18,E18=H18,E18=I18,E18=J18,E18=K18,E18=L18,E18=M18,E18=N18,E18=O18,E18=P18,F18=G18,F18=H18,F18=I18,F18=J18,F18=K18,F18=L18,F18=M18,F18=N18,F18=O18,F18=P18,G18=H18,G18=I18,G18=J18,G18=K18,G18=L18,G18=M18,G18=N18,G18=O18,G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x:f>
        <x:v>PASS</x:v>
      </x:c>
      <x:c r="W18" s="87" t="str">
        <x:f>'CRAWL_LOG'!B18</x:f>
        <x:v>Chưa chạy</x:v>
      </x:c>
      <x:c r="X18" s="95" t="str">
        <x:v>Aux-local complementary panel; benchmark gate pending</x:v>
      </x:c>
    </x:row>
    <x:row r="19">
      <x:c r="A19" s="82" t="n">
        <x:v>46282</x:v>
      </x:c>
      <x:c r="B19" s="83" t="str">
        <x:v>Thứ Năm</x:v>
      </x:c>
      <x:c r="C19" s="83" t="str">
        <x:v>Official</x:v>
      </x:c>
      <x:c r="D19" s="83" t="str">
        <x:v>00:30</x:v>
      </x:c>
      <x:c r="E19" s="84" t="n">
        <x:f>'SLOT_RULES'!$D$4+IF($A19&lt;='SLOT_RULES'!$D$4,0,INT(($A19-'SLOT_RULES'!$D$4-1)/'SLOT_RULES'!$E$4)+1)*'SLOT_RULES'!$E$4</x:f>
        <x:v>46297</x:v>
      </x:c>
      <x:c r="F19" s="84" t="n">
        <x:f>'SLOT_RULES'!$D$5+IF($A19&lt;='SLOT_RULES'!$D$5,0,INT(($A19-'SLOT_RULES'!$D$5-1)/'SLOT_RULES'!$E$5)+1)*'SLOT_RULES'!$E$5</x:f>
        <x:v>46304</x:v>
      </x:c>
      <x:c r="G19" s="84" t="n">
        <x:f>'SLOT_RULES'!$D$6+IF($A19&lt;='SLOT_RULES'!$D$6,0,INT(($A19-'SLOT_RULES'!$D$6-1)/'SLOT_RULES'!$E$6)+1)*'SLOT_RULES'!$E$6</x:f>
        <x:v>46283</x:v>
      </x:c>
      <x:c r="H19" s="84" t="n">
        <x:f>'SLOT_RULES'!$D$7+IF($A19&lt;='SLOT_RULES'!$D$7,0,INT(($A19-'SLOT_RULES'!$D$7-1)/'SLOT_RULES'!$E$7)+1)*'SLOT_RULES'!$E$7</x:f>
        <x:v>46290</x:v>
      </x:c>
      <x:c r="I19" s="84" t="n">
        <x:f>'SLOT_RULES'!$D$8+IF($A19&lt;='SLOT_RULES'!$D$8,0,INT(($A19-'SLOT_RULES'!$D$8-1)/'SLOT_RULES'!$E$8)+1)*'SLOT_RULES'!$E$8</x:f>
        <x:v>46300</x:v>
      </x:c>
      <x:c r="J19" s="84" t="n">
        <x:f>'SLOT_RULES'!$D$9+IF($A19&lt;='SLOT_RULES'!$D$9,0,INT(($A19-'SLOT_RULES'!$D$9-1)/'SLOT_RULES'!$E$9)+1)*'SLOT_RULES'!$E$9</x:f>
        <x:v>46286</x:v>
      </x:c>
      <x:c r="K19" s="84" t="n">
        <x:f>'SLOT_RULES'!$D$10+IF($A19&lt;='SLOT_RULES'!$D$10,0,INT(($A19-'SLOT_RULES'!$D$10-1)/'SLOT_RULES'!$E$10)+1)*'SLOT_RULES'!$E$10</x:f>
        <x:v>46301</x:v>
      </x:c>
      <x:c r="L19" s="84" t="n">
        <x:f>'SLOT_RULES'!$D$11+IF($A19&lt;='SLOT_RULES'!$D$11,0,INT(($A19-'SLOT_RULES'!$D$11-1)/'SLOT_RULES'!$E$11)+1)*'SLOT_RULES'!$E$11</x:f>
        <x:v>46308</x:v>
      </x:c>
      <x:c r="M19" s="84" t="n">
        <x:f>'SLOT_RULES'!$D$12+IF($A19&lt;='SLOT_RULES'!$D$12,0,INT(($A19-'SLOT_RULES'!$D$12-1)/'SLOT_RULES'!$E$12)+1)*'SLOT_RULES'!$E$12</x:f>
        <x:v>46285</x:v>
      </x:c>
      <x:c r="N19" s="84" t="n">
        <x:f>'SLOT_RULES'!$D$13+IF($A19&lt;='SLOT_RULES'!$D$13,0,INT(($A19-'SLOT_RULES'!$D$13-1)/'SLOT_RULES'!$E$13)+1)*'SLOT_RULES'!$E$13</x:f>
        <x:v>46321</x:v>
      </x:c>
      <x:c r="O19" s="84" t="n">
        <x:f>'SLOT_RULES'!$D$14+IF($A19&lt;='SLOT_RULES'!$D$14,0,INT(($A19-'SLOT_RULES'!$D$14-1)/'SLOT_RULES'!$E$14)+1)*'SLOT_RULES'!$E$14</x:f>
        <x:v>46350</x:v>
      </x:c>
      <x:c r="P19" s="84" t="n">
        <x:f>'SLOT_RULES'!$D$15+IF($A19&lt;='SLOT_RULES'!$D$15,0,INT(($A19-'SLOT_RULES'!$D$15-1)/'SLOT_RULES'!$E$15)+1)*'SLOT_RULES'!$E$15</x:f>
        <x:v>46422</x:v>
      </x:c>
      <x:c r="Q19" s="85" t="n">
        <x:f>MIN(E19:P19)-A19</x:f>
        <x:v>1</x:v>
      </x:c>
      <x:c r="R19" s="85" t="n">
        <x:f>MAX(E19:P19)-A19</x:f>
        <x:v>140</x:v>
      </x:c>
      <x:c r="S19" s="86" t="str">
        <x:f>IF(AND(COUNT(E19:P19)=12,MIN(E19:P19)&gt;=A19),"PASS","FAIL")</x:f>
        <x:v>PASS</x:v>
      </x:c>
      <x:c r="T19" s="86" t="str">
        <x:f>IF((COUNTIF('LOCAL_REFERENCE'!$D19:$O19,E19)+COUNTIF('LOCAL_REFERENCE'!$D19:$O19,F19)+COUNTIF('LOCAL_REFERENCE'!$D19:$O19,G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x:f>
        <x:v>PASS</x:v>
      </x:c>
      <x:c r="U19" s="86" t="str">
        <x:f>IF((COUNTIF('VPS_REFERENCE'!$D19:$H19,E19)+COUNTIF('VPS_REFERENCE'!$D19:$H19,F19)+COUNTIF('VPS_REFERENCE'!$D19:$H19,G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x:f>
        <x:v>PASS</x:v>
      </x:c>
      <x:c r="V19" s="86" t="str">
        <x:f>IF(OR(E19=F19,E19=G19,E19=H19,E19=I19,E19=J19,E19=K19,E19=L19,E19=M19,E19=N19,E19=O19,E19=P19,F19=G19,F19=H19,F19=I19,F19=J19,F19=K19,F19=L19,F19=M19,F19=N19,F19=O19,F19=P19,G19=H19,G19=I19,G19=J19,G19=K19,G19=L19,G19=M19,G19=N19,G19=O19,G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x:f>
        <x:v>PASS</x:v>
      </x:c>
      <x:c r="W19" s="87" t="str">
        <x:f>'CRAWL_LOG'!B19</x:f>
        <x:v>Chưa chạy</x:v>
      </x:c>
      <x:c r="X19" s="95" t="str">
        <x:v>Aux-local complementary panel; benchmark gate pending</x:v>
      </x:c>
    </x:row>
    <x:row r="20">
      <x:c r="A20" s="82" t="n">
        <x:v>46283</x:v>
      </x:c>
      <x:c r="B20" s="83" t="str">
        <x:v>Thứ Sáu</x:v>
      </x:c>
      <x:c r="C20" s="83" t="str">
        <x:v>Official</x:v>
      </x:c>
      <x:c r="D20" s="83" t="str">
        <x:v>00:30</x:v>
      </x:c>
      <x:c r="E20" s="84" t="n">
        <x:f>'SLOT_RULES'!$D$4+IF($A20&lt;='SLOT_RULES'!$D$4,0,INT(($A20-'SLOT_RULES'!$D$4-1)/'SLOT_RULES'!$E$4)+1)*'SLOT_RULES'!$E$4</x:f>
        <x:v>46297</x:v>
      </x:c>
      <x:c r="F20" s="84" t="n">
        <x:f>'SLOT_RULES'!$D$5+IF($A20&lt;='SLOT_RULES'!$D$5,0,INT(($A20-'SLOT_RULES'!$D$5-1)/'SLOT_RULES'!$E$5)+1)*'SLOT_RULES'!$E$5</x:f>
        <x:v>46304</x:v>
      </x:c>
      <x:c r="G20" s="84" t="n">
        <x:f>'SLOT_RULES'!$D$6+IF($A20&lt;='SLOT_RULES'!$D$6,0,INT(($A20-'SLOT_RULES'!$D$6-1)/'SLOT_RULES'!$E$6)+1)*'SLOT_RULES'!$E$6</x:f>
        <x:v>46283</x:v>
      </x:c>
      <x:c r="H20" s="84" t="n">
        <x:f>'SLOT_RULES'!$D$7+IF($A20&lt;='SLOT_RULES'!$D$7,0,INT(($A20-'SLOT_RULES'!$D$7-1)/'SLOT_RULES'!$E$7)+1)*'SLOT_RULES'!$E$7</x:f>
        <x:v>46290</x:v>
      </x:c>
      <x:c r="I20" s="84" t="n">
        <x:f>'SLOT_RULES'!$D$8+IF($A20&lt;='SLOT_RULES'!$D$8,0,INT(($A20-'SLOT_RULES'!$D$8-1)/'SLOT_RULES'!$E$8)+1)*'SLOT_RULES'!$E$8</x:f>
        <x:v>46300</x:v>
      </x:c>
      <x:c r="J20" s="84" t="n">
        <x:f>'SLOT_RULES'!$D$9+IF($A20&lt;='SLOT_RULES'!$D$9,0,INT(($A20-'SLOT_RULES'!$D$9-1)/'SLOT_RULES'!$E$9)+1)*'SLOT_RULES'!$E$9</x:f>
        <x:v>46286</x:v>
      </x:c>
      <x:c r="K20" s="84" t="n">
        <x:f>'SLOT_RULES'!$D$10+IF($A20&lt;='SLOT_RULES'!$D$10,0,INT(($A20-'SLOT_RULES'!$D$10-1)/'SLOT_RULES'!$E$10)+1)*'SLOT_RULES'!$E$10</x:f>
        <x:v>46301</x:v>
      </x:c>
      <x:c r="L20" s="84" t="n">
        <x:f>'SLOT_RULES'!$D$11+IF($A20&lt;='SLOT_RULES'!$D$11,0,INT(($A20-'SLOT_RULES'!$D$11-1)/'SLOT_RULES'!$E$11)+1)*'SLOT_RULES'!$E$11</x:f>
        <x:v>46308</x:v>
      </x:c>
      <x:c r="M20" s="84" t="n">
        <x:f>'SLOT_RULES'!$D$12+IF($A20&lt;='SLOT_RULES'!$D$12,0,INT(($A20-'SLOT_RULES'!$D$12-1)/'SLOT_RULES'!$E$12)+1)*'SLOT_RULES'!$E$12</x:f>
        <x:v>46285</x:v>
      </x:c>
      <x:c r="N20" s="84" t="n">
        <x:f>'SLOT_RULES'!$D$13+IF($A20&lt;='SLOT_RULES'!$D$13,0,INT(($A20-'SLOT_RULES'!$D$13-1)/'SLOT_RULES'!$E$13)+1)*'SLOT_RULES'!$E$13</x:f>
        <x:v>46321</x:v>
      </x:c>
      <x:c r="O20" s="84" t="n">
        <x:f>'SLOT_RULES'!$D$14+IF($A20&lt;='SLOT_RULES'!$D$14,0,INT(($A20-'SLOT_RULES'!$D$14-1)/'SLOT_RULES'!$E$14)+1)*'SLOT_RULES'!$E$14</x:f>
        <x:v>46350</x:v>
      </x:c>
      <x:c r="P20" s="84" t="n">
        <x:f>'SLOT_RULES'!$D$15+IF($A20&lt;='SLOT_RULES'!$D$15,0,INT(($A20-'SLOT_RULES'!$D$15-1)/'SLOT_RULES'!$E$15)+1)*'SLOT_RULES'!$E$15</x:f>
        <x:v>46422</x:v>
      </x:c>
      <x:c r="Q20" s="85" t="n">
        <x:f>MIN(E20:P20)-A20</x:f>
        <x:v>0</x:v>
      </x:c>
      <x:c r="R20" s="85" t="n">
        <x:f>MAX(E20:P20)-A20</x:f>
        <x:v>139</x:v>
      </x:c>
      <x:c r="S20" s="86" t="str">
        <x:f>IF(AND(COUNT(E20:P20)=12,MIN(E20:P20)&gt;=A20),"PASS","FAIL")</x:f>
        <x:v>PASS</x:v>
      </x:c>
      <x:c r="T20" s="86" t="str">
        <x:f>IF((COUNTIF('LOCAL_REFERENCE'!$D20:$O20,E20)+COUNTIF('LOCAL_REFERENCE'!$D20:$O20,F20)+COUNTIF('LOCAL_REFERENCE'!$D20:$O20,G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x:f>
        <x:v>PASS</x:v>
      </x:c>
      <x:c r="U20" s="86" t="str">
        <x:f>IF((COUNTIF('VPS_REFERENCE'!$D20:$H20,E20)+COUNTIF('VPS_REFERENCE'!$D20:$H20,F20)+COUNTIF('VPS_REFERENCE'!$D20:$H20,G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x:f>
        <x:v>PASS</x:v>
      </x:c>
      <x:c r="V20" s="86" t="str">
        <x:f>IF(OR(E20=F20,E20=G20,E20=H20,E20=I20,E20=J20,E20=K20,E20=L20,E20=M20,E20=N20,E20=O20,E20=P20,F20=G20,F20=H20,F20=I20,F20=J20,F20=K20,F20=L20,F20=M20,F20=N20,F20=O20,F20=P20,G20=H20,G20=I20,G20=J20,G20=K20,G20=L20,G20=M20,G20=N20,G20=O20,G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x:f>
        <x:v>PASS</x:v>
      </x:c>
      <x:c r="W20" s="87" t="str">
        <x:f>'CRAWL_LOG'!B20</x:f>
        <x:v>Chưa chạy</x:v>
      </x:c>
      <x:c r="X20" s="95" t="str">
        <x:v>Aux-local complementary panel; benchmark gate pending</x:v>
      </x:c>
    </x:row>
    <x:row r="21">
      <x:c r="A21" s="82" t="n">
        <x:v>46284</x:v>
      </x:c>
      <x:c r="B21" s="83" t="str">
        <x:v>Thứ Bảy</x:v>
      </x:c>
      <x:c r="C21" s="83" t="str">
        <x:v>Official</x:v>
      </x:c>
      <x:c r="D21" s="83" t="str">
        <x:v>00:30</x:v>
      </x:c>
      <x:c r="E21" s="84" t="n">
        <x:f>'SLOT_RULES'!$D$4+IF($A21&lt;='SLOT_RULES'!$D$4,0,INT(($A21-'SLOT_RULES'!$D$4-1)/'SLOT_RULES'!$E$4)+1)*'SLOT_RULES'!$E$4</x:f>
        <x:v>46297</x:v>
      </x:c>
      <x:c r="F21" s="84" t="n">
        <x:f>'SLOT_RULES'!$D$5+IF($A21&lt;='SLOT_RULES'!$D$5,0,INT(($A21-'SLOT_RULES'!$D$5-1)/'SLOT_RULES'!$E$5)+1)*'SLOT_RULES'!$E$5</x:f>
        <x:v>46304</x:v>
      </x:c>
      <x:c r="G21" s="84" t="n">
        <x:f>'SLOT_RULES'!$D$6+IF($A21&lt;='SLOT_RULES'!$D$6,0,INT(($A21-'SLOT_RULES'!$D$6-1)/'SLOT_RULES'!$E$6)+1)*'SLOT_RULES'!$E$6</x:f>
        <x:v>46311</x:v>
      </x:c>
      <x:c r="H21" s="84" t="n">
        <x:f>'SLOT_RULES'!$D$7+IF($A21&lt;='SLOT_RULES'!$D$7,0,INT(($A21-'SLOT_RULES'!$D$7-1)/'SLOT_RULES'!$E$7)+1)*'SLOT_RULES'!$E$7</x:f>
        <x:v>46290</x:v>
      </x:c>
      <x:c r="I21" s="84" t="n">
        <x:f>'SLOT_RULES'!$D$8+IF($A21&lt;='SLOT_RULES'!$D$8,0,INT(($A21-'SLOT_RULES'!$D$8-1)/'SLOT_RULES'!$E$8)+1)*'SLOT_RULES'!$E$8</x:f>
        <x:v>46300</x:v>
      </x:c>
      <x:c r="J21" s="84" t="n">
        <x:f>'SLOT_RULES'!$D$9+IF($A21&lt;='SLOT_RULES'!$D$9,0,INT(($A21-'SLOT_RULES'!$D$9-1)/'SLOT_RULES'!$E$9)+1)*'SLOT_RULES'!$E$9</x:f>
        <x:v>46286</x:v>
      </x:c>
      <x:c r="K21" s="84" t="n">
        <x:f>'SLOT_RULES'!$D$10+IF($A21&lt;='SLOT_RULES'!$D$10,0,INT(($A21-'SLOT_RULES'!$D$10-1)/'SLOT_RULES'!$E$10)+1)*'SLOT_RULES'!$E$10</x:f>
        <x:v>46301</x:v>
      </x:c>
      <x:c r="L21" s="84" t="n">
        <x:f>'SLOT_RULES'!$D$11+IF($A21&lt;='SLOT_RULES'!$D$11,0,INT(($A21-'SLOT_RULES'!$D$11-1)/'SLOT_RULES'!$E$11)+1)*'SLOT_RULES'!$E$11</x:f>
        <x:v>46308</x:v>
      </x:c>
      <x:c r="M21" s="84" t="n">
        <x:f>'SLOT_RULES'!$D$12+IF($A21&lt;='SLOT_RULES'!$D$12,0,INT(($A21-'SLOT_RULES'!$D$12-1)/'SLOT_RULES'!$E$12)+1)*'SLOT_RULES'!$E$12</x:f>
        <x:v>46285</x:v>
      </x:c>
      <x:c r="N21" s="84" t="n">
        <x:f>'SLOT_RULES'!$D$13+IF($A21&lt;='SLOT_RULES'!$D$13,0,INT(($A21-'SLOT_RULES'!$D$13-1)/'SLOT_RULES'!$E$13)+1)*'SLOT_RULES'!$E$13</x:f>
        <x:v>46321</x:v>
      </x:c>
      <x:c r="O21" s="84" t="n">
        <x:f>'SLOT_RULES'!$D$14+IF($A21&lt;='SLOT_RULES'!$D$14,0,INT(($A21-'SLOT_RULES'!$D$14-1)/'SLOT_RULES'!$E$14)+1)*'SLOT_RULES'!$E$14</x:f>
        <x:v>46350</x:v>
      </x:c>
      <x:c r="P21" s="84" t="n">
        <x:f>'SLOT_RULES'!$D$15+IF($A21&lt;='SLOT_RULES'!$D$15,0,INT(($A21-'SLOT_RULES'!$D$15-1)/'SLOT_RULES'!$E$15)+1)*'SLOT_RULES'!$E$15</x:f>
        <x:v>46422</x:v>
      </x:c>
      <x:c r="Q21" s="85" t="n">
        <x:f>MIN(E21:P21)-A21</x:f>
        <x:v>1</x:v>
      </x:c>
      <x:c r="R21" s="85" t="n">
        <x:f>MAX(E21:P21)-A21</x:f>
        <x:v>138</x:v>
      </x:c>
      <x:c r="S21" s="86" t="str">
        <x:f>IF(AND(COUNT(E21:P21)=12,MIN(E21:P21)&gt;=A21),"PASS","FAIL")</x:f>
        <x:v>PASS</x:v>
      </x:c>
      <x:c r="T21" s="86" t="str">
        <x:f>IF((COUNTIF('LOCAL_REFERENCE'!$D21:$O21,E21)+COUNTIF('LOCAL_REFERENCE'!$D21:$O21,F21)+COUNTIF('LOCAL_REFERENCE'!$D21:$O21,G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x:f>
        <x:v>PASS</x:v>
      </x:c>
      <x:c r="U21" s="86" t="str">
        <x:f>IF((COUNTIF('VPS_REFERENCE'!$D21:$H21,E21)+COUNTIF('VPS_REFERENCE'!$D21:$H21,F21)+COUNTIF('VPS_REFERENCE'!$D21:$H21,G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x:f>
        <x:v>PASS</x:v>
      </x:c>
      <x:c r="V21" s="86" t="str">
        <x:f>IF(OR(E21=F21,E21=G21,E21=H21,E21=I21,E21=J21,E21=K21,E21=L21,E21=M21,E21=N21,E21=O21,E21=P21,F21=G21,F21=H21,F21=I21,F21=J21,F21=K21,F21=L21,F21=M21,F21=N21,F21=O21,F21=P21,G21=H21,G21=I21,G21=J21,G21=K21,G21=L21,G21=M21,G21=N21,G21=O21,G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x:f>
        <x:v>PASS</x:v>
      </x:c>
      <x:c r="W21" s="87" t="str">
        <x:f>'CRAWL_LOG'!B21</x:f>
        <x:v>Chưa chạy</x:v>
      </x:c>
      <x:c r="X21" s="95" t="str">
        <x:v>Aux-local complementary panel; benchmark gate pending</x:v>
      </x:c>
    </x:row>
    <x:row r="22">
      <x:c r="A22" s="82" t="n">
        <x:v>46285</x:v>
      </x:c>
      <x:c r="B22" s="83" t="str">
        <x:v>Chủ Nhật</x:v>
      </x:c>
      <x:c r="C22" s="83" t="str">
        <x:v>Official</x:v>
      </x:c>
      <x:c r="D22" s="83" t="str">
        <x:v>00:30</x:v>
      </x:c>
      <x:c r="E22" s="84" t="n">
        <x:f>'SLOT_RULES'!$D$4+IF($A22&lt;='SLOT_RULES'!$D$4,0,INT(($A22-'SLOT_RULES'!$D$4-1)/'SLOT_RULES'!$E$4)+1)*'SLOT_RULES'!$E$4</x:f>
        <x:v>46297</x:v>
      </x:c>
      <x:c r="F22" s="84" t="n">
        <x:f>'SLOT_RULES'!$D$5+IF($A22&lt;='SLOT_RULES'!$D$5,0,INT(($A22-'SLOT_RULES'!$D$5-1)/'SLOT_RULES'!$E$5)+1)*'SLOT_RULES'!$E$5</x:f>
        <x:v>46304</x:v>
      </x:c>
      <x:c r="G22" s="84" t="n">
        <x:f>'SLOT_RULES'!$D$6+IF($A22&lt;='SLOT_RULES'!$D$6,0,INT(($A22-'SLOT_RULES'!$D$6-1)/'SLOT_RULES'!$E$6)+1)*'SLOT_RULES'!$E$6</x:f>
        <x:v>46311</x:v>
      </x:c>
      <x:c r="H22" s="84" t="n">
        <x:f>'SLOT_RULES'!$D$7+IF($A22&lt;='SLOT_RULES'!$D$7,0,INT(($A22-'SLOT_RULES'!$D$7-1)/'SLOT_RULES'!$E$7)+1)*'SLOT_RULES'!$E$7</x:f>
        <x:v>46290</x:v>
      </x:c>
      <x:c r="I22" s="84" t="n">
        <x:f>'SLOT_RULES'!$D$8+IF($A22&lt;='SLOT_RULES'!$D$8,0,INT(($A22-'SLOT_RULES'!$D$8-1)/'SLOT_RULES'!$E$8)+1)*'SLOT_RULES'!$E$8</x:f>
        <x:v>46300</x:v>
      </x:c>
      <x:c r="J22" s="84" t="n">
        <x:f>'SLOT_RULES'!$D$9+IF($A22&lt;='SLOT_RULES'!$D$9,0,INT(($A22-'SLOT_RULES'!$D$9-1)/'SLOT_RULES'!$E$9)+1)*'SLOT_RULES'!$E$9</x:f>
        <x:v>46286</x:v>
      </x:c>
      <x:c r="K22" s="84" t="n">
        <x:f>'SLOT_RULES'!$D$10+IF($A22&lt;='SLOT_RULES'!$D$10,0,INT(($A22-'SLOT_RULES'!$D$10-1)/'SLOT_RULES'!$E$10)+1)*'SLOT_RULES'!$E$10</x:f>
        <x:v>46301</x:v>
      </x:c>
      <x:c r="L22" s="84" t="n">
        <x:f>'SLOT_RULES'!$D$11+IF($A22&lt;='SLOT_RULES'!$D$11,0,INT(($A22-'SLOT_RULES'!$D$11-1)/'SLOT_RULES'!$E$11)+1)*'SLOT_RULES'!$E$11</x:f>
        <x:v>46308</x:v>
      </x:c>
      <x:c r="M22" s="84" t="n">
        <x:f>'SLOT_RULES'!$D$12+IF($A22&lt;='SLOT_RULES'!$D$12,0,INT(($A22-'SLOT_RULES'!$D$12-1)/'SLOT_RULES'!$E$12)+1)*'SLOT_RULES'!$E$12</x:f>
        <x:v>46285</x:v>
      </x:c>
      <x:c r="N22" s="84" t="n">
        <x:f>'SLOT_RULES'!$D$13+IF($A22&lt;='SLOT_RULES'!$D$13,0,INT(($A22-'SLOT_RULES'!$D$13-1)/'SLOT_RULES'!$E$13)+1)*'SLOT_RULES'!$E$13</x:f>
        <x:v>46321</x:v>
      </x:c>
      <x:c r="O22" s="84" t="n">
        <x:f>'SLOT_RULES'!$D$14+IF($A22&lt;='SLOT_RULES'!$D$14,0,INT(($A22-'SLOT_RULES'!$D$14-1)/'SLOT_RULES'!$E$14)+1)*'SLOT_RULES'!$E$14</x:f>
        <x:v>46350</x:v>
      </x:c>
      <x:c r="P22" s="84" t="n">
        <x:f>'SLOT_RULES'!$D$15+IF($A22&lt;='SLOT_RULES'!$D$15,0,INT(($A22-'SLOT_RULES'!$D$15-1)/'SLOT_RULES'!$E$15)+1)*'SLOT_RULES'!$E$15</x:f>
        <x:v>46422</x:v>
      </x:c>
      <x:c r="Q22" s="85" t="n">
        <x:f>MIN(E22:P22)-A22</x:f>
        <x:v>0</x:v>
      </x:c>
      <x:c r="R22" s="85" t="n">
        <x:f>MAX(E22:P22)-A22</x:f>
        <x:v>137</x:v>
      </x:c>
      <x:c r="S22" s="86" t="str">
        <x:f>IF(AND(COUNT(E22:P22)=12,MIN(E22:P22)&gt;=A22),"PASS","FAIL")</x:f>
        <x:v>PASS</x:v>
      </x:c>
      <x:c r="T22" s="86" t="str">
        <x:f>IF((COUNTIF('LOCAL_REFERENCE'!$D22:$O22,E22)+COUNTIF('LOCAL_REFERENCE'!$D22:$O22,F22)+COUNTIF('LOCAL_REFERENCE'!$D22:$O22,G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x:f>
        <x:v>PASS</x:v>
      </x:c>
      <x:c r="U22" s="86" t="str">
        <x:f>IF((COUNTIF('VPS_REFERENCE'!$D22:$H22,E22)+COUNTIF('VPS_REFERENCE'!$D22:$H22,F22)+COUNTIF('VPS_REFERENCE'!$D22:$H22,G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x:f>
        <x:v>PASS</x:v>
      </x:c>
      <x:c r="V22" s="86" t="str">
        <x:f>IF(OR(E22=F22,E22=G22,E22=H22,E22=I22,E22=J22,E22=K22,E22=L22,E22=M22,E22=N22,E22=O22,E22=P22,F22=G22,F22=H22,F22=I22,F22=J22,F22=K22,F22=L22,F22=M22,F22=N22,F22=O22,F22=P22,G22=H22,G22=I22,G22=J22,G22=K22,G22=L22,G22=M22,G22=N22,G22=O22,G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x:f>
        <x:v>PASS</x:v>
      </x:c>
      <x:c r="W22" s="87" t="str">
        <x:f>'CRAWL_LOG'!B22</x:f>
        <x:v>Chưa chạy</x:v>
      </x:c>
      <x:c r="X22" s="95" t="str">
        <x:v>Aux-local complementary panel; benchmark gate pending</x:v>
      </x:c>
    </x:row>
    <x:row r="23">
      <x:c r="A23" s="82" t="n">
        <x:v>46286</x:v>
      </x:c>
      <x:c r="B23" s="83" t="str">
        <x:v>Thứ Hai</x:v>
      </x:c>
      <x:c r="C23" s="83" t="str">
        <x:v>Official</x:v>
      </x:c>
      <x:c r="D23" s="83" t="str">
        <x:v>00:30</x:v>
      </x:c>
      <x:c r="E23" s="84" t="n">
        <x:f>'SLOT_RULES'!$D$4+IF($A23&lt;='SLOT_RULES'!$D$4,0,INT(($A23-'SLOT_RULES'!$D$4-1)/'SLOT_RULES'!$E$4)+1)*'SLOT_RULES'!$E$4</x:f>
        <x:v>46297</x:v>
      </x:c>
      <x:c r="F23" s="84" t="n">
        <x:f>'SLOT_RULES'!$D$5+IF($A23&lt;='SLOT_RULES'!$D$5,0,INT(($A23-'SLOT_RULES'!$D$5-1)/'SLOT_RULES'!$E$5)+1)*'SLOT_RULES'!$E$5</x:f>
        <x:v>46304</x:v>
      </x:c>
      <x:c r="G23" s="84" t="n">
        <x:f>'SLOT_RULES'!$D$6+IF($A23&lt;='SLOT_RULES'!$D$6,0,INT(($A23-'SLOT_RULES'!$D$6-1)/'SLOT_RULES'!$E$6)+1)*'SLOT_RULES'!$E$6</x:f>
        <x:v>46311</x:v>
      </x:c>
      <x:c r="H23" s="84" t="n">
        <x:f>'SLOT_RULES'!$D$7+IF($A23&lt;='SLOT_RULES'!$D$7,0,INT(($A23-'SLOT_RULES'!$D$7-1)/'SLOT_RULES'!$E$7)+1)*'SLOT_RULES'!$E$7</x:f>
        <x:v>46290</x:v>
      </x:c>
      <x:c r="I23" s="84" t="n">
        <x:f>'SLOT_RULES'!$D$8+IF($A23&lt;='SLOT_RULES'!$D$8,0,INT(($A23-'SLOT_RULES'!$D$8-1)/'SLOT_RULES'!$E$8)+1)*'SLOT_RULES'!$E$8</x:f>
        <x:v>46300</x:v>
      </x:c>
      <x:c r="J23" s="84" t="n">
        <x:f>'SLOT_RULES'!$D$9+IF($A23&lt;='SLOT_RULES'!$D$9,0,INT(($A23-'SLOT_RULES'!$D$9-1)/'SLOT_RULES'!$E$9)+1)*'SLOT_RULES'!$E$9</x:f>
        <x:v>46286</x:v>
      </x:c>
      <x:c r="K23" s="84" t="n">
        <x:f>'SLOT_RULES'!$D$10+IF($A23&lt;='SLOT_RULES'!$D$10,0,INT(($A23-'SLOT_RULES'!$D$10-1)/'SLOT_RULES'!$E$10)+1)*'SLOT_RULES'!$E$10</x:f>
        <x:v>46301</x:v>
      </x:c>
      <x:c r="L23" s="84" t="n">
        <x:f>'SLOT_RULES'!$D$11+IF($A23&lt;='SLOT_RULES'!$D$11,0,INT(($A23-'SLOT_RULES'!$D$11-1)/'SLOT_RULES'!$E$11)+1)*'SLOT_RULES'!$E$11</x:f>
        <x:v>46308</x:v>
      </x:c>
      <x:c r="M23" s="84" t="n">
        <x:f>'SLOT_RULES'!$D$12+IF($A23&lt;='SLOT_RULES'!$D$12,0,INT(($A23-'SLOT_RULES'!$D$12-1)/'SLOT_RULES'!$E$12)+1)*'SLOT_RULES'!$E$12</x:f>
        <x:v>46313</x:v>
      </x:c>
      <x:c r="N23" s="84" t="n">
        <x:f>'SLOT_RULES'!$D$13+IF($A23&lt;='SLOT_RULES'!$D$13,0,INT(($A23-'SLOT_RULES'!$D$13-1)/'SLOT_RULES'!$E$13)+1)*'SLOT_RULES'!$E$13</x:f>
        <x:v>46321</x:v>
      </x:c>
      <x:c r="O23" s="84" t="n">
        <x:f>'SLOT_RULES'!$D$14+IF($A23&lt;='SLOT_RULES'!$D$14,0,INT(($A23-'SLOT_RULES'!$D$14-1)/'SLOT_RULES'!$E$14)+1)*'SLOT_RULES'!$E$14</x:f>
        <x:v>46350</x:v>
      </x:c>
      <x:c r="P23" s="84" t="n">
        <x:f>'SLOT_RULES'!$D$15+IF($A23&lt;='SLOT_RULES'!$D$15,0,INT(($A23-'SLOT_RULES'!$D$15-1)/'SLOT_RULES'!$E$15)+1)*'SLOT_RULES'!$E$15</x:f>
        <x:v>46422</x:v>
      </x:c>
      <x:c r="Q23" s="85" t="n">
        <x:f>MIN(E23:P23)-A23</x:f>
        <x:v>0</x:v>
      </x:c>
      <x:c r="R23" s="85" t="n">
        <x:f>MAX(E23:P23)-A23</x:f>
        <x:v>136</x:v>
      </x:c>
      <x:c r="S23" s="86" t="str">
        <x:f>IF(AND(COUNT(E23:P23)=12,MIN(E23:P23)&gt;=A23),"PASS","FAIL")</x:f>
        <x:v>PASS</x:v>
      </x:c>
      <x:c r="T23" s="86" t="str">
        <x:f>IF((COUNTIF('LOCAL_REFERENCE'!$D23:$O23,E23)+COUNTIF('LOCAL_REFERENCE'!$D23:$O23,F23)+COUNTIF('LOCAL_REFERENCE'!$D23:$O23,G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x:f>
        <x:v>PASS</x:v>
      </x:c>
      <x:c r="U23" s="86" t="str">
        <x:f>IF((COUNTIF('VPS_REFERENCE'!$D23:$H23,E23)+COUNTIF('VPS_REFERENCE'!$D23:$H23,F23)+COUNTIF('VPS_REFERENCE'!$D23:$H23,G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x:f>
        <x:v>PASS</x:v>
      </x:c>
      <x:c r="V23" s="86" t="str">
        <x:f>IF(OR(E23=F23,E23=G23,E23=H23,E23=I23,E23=J23,E23=K23,E23=L23,E23=M23,E23=N23,E23=O23,E23=P23,F23=G23,F23=H23,F23=I23,F23=J23,F23=K23,F23=L23,F23=M23,F23=N23,F23=O23,F23=P23,G23=H23,G23=I23,G23=J23,G23=K23,G23=L23,G23=M23,G23=N23,G23=O23,G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x:f>
        <x:v>PASS</x:v>
      </x:c>
      <x:c r="W23" s="87" t="str">
        <x:f>'CRAWL_LOG'!B23</x:f>
        <x:v>Chưa chạy</x:v>
      </x:c>
      <x:c r="X23" s="95" t="str">
        <x:v>Aux-local complementary panel; benchmark gate pending</x:v>
      </x:c>
    </x:row>
    <x:row r="24">
      <x:c r="A24" s="82" t="n">
        <x:v>46287</x:v>
      </x:c>
      <x:c r="B24" s="83" t="str">
        <x:v>Thứ Ba</x:v>
      </x:c>
      <x:c r="C24" s="83" t="str">
        <x:v>Official</x:v>
      </x:c>
      <x:c r="D24" s="83" t="str">
        <x:v>00:30</x:v>
      </x:c>
      <x:c r="E24" s="84" t="n">
        <x:f>'SLOT_RULES'!$D$4+IF($A24&lt;='SLOT_RULES'!$D$4,0,INT(($A24-'SLOT_RULES'!$D$4-1)/'SLOT_RULES'!$E$4)+1)*'SLOT_RULES'!$E$4</x:f>
        <x:v>46297</x:v>
      </x:c>
      <x:c r="F24" s="84" t="n">
        <x:f>'SLOT_RULES'!$D$5+IF($A24&lt;='SLOT_RULES'!$D$5,0,INT(($A24-'SLOT_RULES'!$D$5-1)/'SLOT_RULES'!$E$5)+1)*'SLOT_RULES'!$E$5</x:f>
        <x:v>46304</x:v>
      </x:c>
      <x:c r="G24" s="84" t="n">
        <x:f>'SLOT_RULES'!$D$6+IF($A24&lt;='SLOT_RULES'!$D$6,0,INT(($A24-'SLOT_RULES'!$D$6-1)/'SLOT_RULES'!$E$6)+1)*'SLOT_RULES'!$E$6</x:f>
        <x:v>46311</x:v>
      </x:c>
      <x:c r="H24" s="84" t="n">
        <x:f>'SLOT_RULES'!$D$7+IF($A24&lt;='SLOT_RULES'!$D$7,0,INT(($A24-'SLOT_RULES'!$D$7-1)/'SLOT_RULES'!$E$7)+1)*'SLOT_RULES'!$E$7</x:f>
        <x:v>46290</x:v>
      </x:c>
      <x:c r="I24" s="84" t="n">
        <x:f>'SLOT_RULES'!$D$8+IF($A24&lt;='SLOT_RULES'!$D$8,0,INT(($A24-'SLOT_RULES'!$D$8-1)/'SLOT_RULES'!$E$8)+1)*'SLOT_RULES'!$E$8</x:f>
        <x:v>46300</x:v>
      </x:c>
      <x:c r="J24" s="84" t="n">
        <x:f>'SLOT_RULES'!$D$9+IF($A24&lt;='SLOT_RULES'!$D$9,0,INT(($A24-'SLOT_RULES'!$D$9-1)/'SLOT_RULES'!$E$9)+1)*'SLOT_RULES'!$E$9</x:f>
        <x:v>46314</x:v>
      </x:c>
      <x:c r="K24" s="84" t="n">
        <x:f>'SLOT_RULES'!$D$10+IF($A24&lt;='SLOT_RULES'!$D$10,0,INT(($A24-'SLOT_RULES'!$D$10-1)/'SLOT_RULES'!$E$10)+1)*'SLOT_RULES'!$E$10</x:f>
        <x:v>46301</x:v>
      </x:c>
      <x:c r="L24" s="84" t="n">
        <x:f>'SLOT_RULES'!$D$11+IF($A24&lt;='SLOT_RULES'!$D$11,0,INT(($A24-'SLOT_RULES'!$D$11-1)/'SLOT_RULES'!$E$11)+1)*'SLOT_RULES'!$E$11</x:f>
        <x:v>46308</x:v>
      </x:c>
      <x:c r="M24" s="84" t="n">
        <x:f>'SLOT_RULES'!$D$12+IF($A24&lt;='SLOT_RULES'!$D$12,0,INT(($A24-'SLOT_RULES'!$D$12-1)/'SLOT_RULES'!$E$12)+1)*'SLOT_RULES'!$E$12</x:f>
        <x:v>46313</x:v>
      </x:c>
      <x:c r="N24" s="84" t="n">
        <x:f>'SLOT_RULES'!$D$13+IF($A24&lt;='SLOT_RULES'!$D$13,0,INT(($A24-'SLOT_RULES'!$D$13-1)/'SLOT_RULES'!$E$13)+1)*'SLOT_RULES'!$E$13</x:f>
        <x:v>46321</x:v>
      </x:c>
      <x:c r="O24" s="84" t="n">
        <x:f>'SLOT_RULES'!$D$14+IF($A24&lt;='SLOT_RULES'!$D$14,0,INT(($A24-'SLOT_RULES'!$D$14-1)/'SLOT_RULES'!$E$14)+1)*'SLOT_RULES'!$E$14</x:f>
        <x:v>46350</x:v>
      </x:c>
      <x:c r="P24" s="84" t="n">
        <x:f>'SLOT_RULES'!$D$15+IF($A24&lt;='SLOT_RULES'!$D$15,0,INT(($A24-'SLOT_RULES'!$D$15-1)/'SLOT_RULES'!$E$15)+1)*'SLOT_RULES'!$E$15</x:f>
        <x:v>46422</x:v>
      </x:c>
      <x:c r="Q24" s="85" t="n">
        <x:f>MIN(E24:P24)-A24</x:f>
        <x:v>3</x:v>
      </x:c>
      <x:c r="R24" s="85" t="n">
        <x:f>MAX(E24:P24)-A24</x:f>
        <x:v>135</x:v>
      </x:c>
      <x:c r="S24" s="86" t="str">
        <x:f>IF(AND(COUNT(E24:P24)=12,MIN(E24:P24)&gt;=A24),"PASS","FAIL")</x:f>
        <x:v>PASS</x:v>
      </x:c>
      <x:c r="T24" s="86" t="str">
        <x:f>IF((COUNTIF('LOCAL_REFERENCE'!$D24:$O24,E24)+COUNTIF('LOCAL_REFERENCE'!$D24:$O24,F24)+COUNTIF('LOCAL_REFERENCE'!$D24:$O24,G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x:f>
        <x:v>PASS</x:v>
      </x:c>
      <x:c r="U24" s="86" t="str">
        <x:f>IF((COUNTIF('VPS_REFERENCE'!$D24:$H24,E24)+COUNTIF('VPS_REFERENCE'!$D24:$H24,F24)+COUNTIF('VPS_REFERENCE'!$D24:$H24,G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x:f>
        <x:v>PASS</x:v>
      </x:c>
      <x:c r="V24" s="86" t="str">
        <x:f>IF(OR(E24=F24,E24=G24,E24=H24,E24=I24,E24=J24,E24=K24,E24=L24,E24=M24,E24=N24,E24=O24,E24=P24,F24=G24,F24=H24,F24=I24,F24=J24,F24=K24,F24=L24,F24=M24,F24=N24,F24=O24,F24=P24,G24=H24,G24=I24,G24=J24,G24=K24,G24=L24,G24=M24,G24=N24,G24=O24,G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x:f>
        <x:v>PASS</x:v>
      </x:c>
      <x:c r="W24" s="87" t="str">
        <x:f>'CRAWL_LOG'!B24</x:f>
        <x:v>Chưa chạy</x:v>
      </x:c>
      <x:c r="X24" s="95" t="str">
        <x:v>Aux-local complementary panel; benchmark gate pending</x:v>
      </x:c>
    </x:row>
    <x:row r="25">
      <x:c r="A25" s="82" t="n">
        <x:v>46288</x:v>
      </x:c>
      <x:c r="B25" s="83" t="str">
        <x:v>Thứ Tư</x:v>
      </x:c>
      <x:c r="C25" s="83" t="str">
        <x:v>Official</x:v>
      </x:c>
      <x:c r="D25" s="83" t="str">
        <x:v>00:30</x:v>
      </x:c>
      <x:c r="E25" s="84" t="n">
        <x:f>'SLOT_RULES'!$D$4+IF($A25&lt;='SLOT_RULES'!$D$4,0,INT(($A25-'SLOT_RULES'!$D$4-1)/'SLOT_RULES'!$E$4)+1)*'SLOT_RULES'!$E$4</x:f>
        <x:v>46297</x:v>
      </x:c>
      <x:c r="F25" s="84" t="n">
        <x:f>'SLOT_RULES'!$D$5+IF($A25&lt;='SLOT_RULES'!$D$5,0,INT(($A25-'SLOT_RULES'!$D$5-1)/'SLOT_RULES'!$E$5)+1)*'SLOT_RULES'!$E$5</x:f>
        <x:v>46304</x:v>
      </x:c>
      <x:c r="G25" s="84" t="n">
        <x:f>'SLOT_RULES'!$D$6+IF($A25&lt;='SLOT_RULES'!$D$6,0,INT(($A25-'SLOT_RULES'!$D$6-1)/'SLOT_RULES'!$E$6)+1)*'SLOT_RULES'!$E$6</x:f>
        <x:v>46311</x:v>
      </x:c>
      <x:c r="H25" s="84" t="n">
        <x:f>'SLOT_RULES'!$D$7+IF($A25&lt;='SLOT_RULES'!$D$7,0,INT(($A25-'SLOT_RULES'!$D$7-1)/'SLOT_RULES'!$E$7)+1)*'SLOT_RULES'!$E$7</x:f>
        <x:v>46290</x:v>
      </x:c>
      <x:c r="I25" s="84" t="n">
        <x:f>'SLOT_RULES'!$D$8+IF($A25&lt;='SLOT_RULES'!$D$8,0,INT(($A25-'SLOT_RULES'!$D$8-1)/'SLOT_RULES'!$E$8)+1)*'SLOT_RULES'!$E$8</x:f>
        <x:v>46300</x:v>
      </x:c>
      <x:c r="J25" s="84" t="n">
        <x:f>'SLOT_RULES'!$D$9+IF($A25&lt;='SLOT_RULES'!$D$9,0,INT(($A25-'SLOT_RULES'!$D$9-1)/'SLOT_RULES'!$E$9)+1)*'SLOT_RULES'!$E$9</x:f>
        <x:v>46314</x:v>
      </x:c>
      <x:c r="K25" s="84" t="n">
        <x:f>'SLOT_RULES'!$D$10+IF($A25&lt;='SLOT_RULES'!$D$10,0,INT(($A25-'SLOT_RULES'!$D$10-1)/'SLOT_RULES'!$E$10)+1)*'SLOT_RULES'!$E$10</x:f>
        <x:v>46301</x:v>
      </x:c>
      <x:c r="L25" s="84" t="n">
        <x:f>'SLOT_RULES'!$D$11+IF($A25&lt;='SLOT_RULES'!$D$11,0,INT(($A25-'SLOT_RULES'!$D$11-1)/'SLOT_RULES'!$E$11)+1)*'SLOT_RULES'!$E$11</x:f>
        <x:v>46308</x:v>
      </x:c>
      <x:c r="M25" s="84" t="n">
        <x:f>'SLOT_RULES'!$D$12+IF($A25&lt;='SLOT_RULES'!$D$12,0,INT(($A25-'SLOT_RULES'!$D$12-1)/'SLOT_RULES'!$E$12)+1)*'SLOT_RULES'!$E$12</x:f>
        <x:v>46313</x:v>
      </x:c>
      <x:c r="N25" s="84" t="n">
        <x:f>'SLOT_RULES'!$D$13+IF($A25&lt;='SLOT_RULES'!$D$13,0,INT(($A25-'SLOT_RULES'!$D$13-1)/'SLOT_RULES'!$E$13)+1)*'SLOT_RULES'!$E$13</x:f>
        <x:v>46321</x:v>
      </x:c>
      <x:c r="O25" s="84" t="n">
        <x:f>'SLOT_RULES'!$D$14+IF($A25&lt;='SLOT_RULES'!$D$14,0,INT(($A25-'SLOT_RULES'!$D$14-1)/'SLOT_RULES'!$E$14)+1)*'SLOT_RULES'!$E$14</x:f>
        <x:v>46350</x:v>
      </x:c>
      <x:c r="P25" s="84" t="n">
        <x:f>'SLOT_RULES'!$D$15+IF($A25&lt;='SLOT_RULES'!$D$15,0,INT(($A25-'SLOT_RULES'!$D$15-1)/'SLOT_RULES'!$E$15)+1)*'SLOT_RULES'!$E$15</x:f>
        <x:v>46422</x:v>
      </x:c>
      <x:c r="Q25" s="85" t="n">
        <x:f>MIN(E25:P25)-A25</x:f>
        <x:v>2</x:v>
      </x:c>
      <x:c r="R25" s="85" t="n">
        <x:f>MAX(E25:P25)-A25</x:f>
        <x:v>134</x:v>
      </x:c>
      <x:c r="S25" s="86" t="str">
        <x:f>IF(AND(COUNT(E25:P25)=12,MIN(E25:P25)&gt;=A25),"PASS","FAIL")</x:f>
        <x:v>PASS</x:v>
      </x:c>
      <x:c r="T25" s="86" t="str">
        <x:f>IF((COUNTIF('LOCAL_REFERENCE'!$D25:$O25,E25)+COUNTIF('LOCAL_REFERENCE'!$D25:$O25,F25)+COUNTIF('LOCAL_REFERENCE'!$D25:$O25,G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x:f>
        <x:v>PASS</x:v>
      </x:c>
      <x:c r="U25" s="86" t="str">
        <x:f>IF((COUNTIF('VPS_REFERENCE'!$D25:$H25,E25)+COUNTIF('VPS_REFERENCE'!$D25:$H25,F25)+COUNTIF('VPS_REFERENCE'!$D25:$H25,G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x:f>
        <x:v>PASS</x:v>
      </x:c>
      <x:c r="V25" s="86" t="str">
        <x:f>IF(OR(E25=F25,E25=G25,E25=H25,E25=I25,E25=J25,E25=K25,E25=L25,E25=M25,E25=N25,E25=O25,E25=P25,F25=G25,F25=H25,F25=I25,F25=J25,F25=K25,F25=L25,F25=M25,F25=N25,F25=O25,F25=P25,G25=H25,G25=I25,G25=J25,G25=K25,G25=L25,G25=M25,G25=N25,G25=O25,G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x:f>
        <x:v>PASS</x:v>
      </x:c>
      <x:c r="W25" s="87" t="str">
        <x:f>'CRAWL_LOG'!B25</x:f>
        <x:v>Chưa chạy</x:v>
      </x:c>
      <x:c r="X25" s="95" t="str">
        <x:v>Aux-local complementary panel; benchmark gate pending</x:v>
      </x:c>
    </x:row>
    <x:row r="26">
      <x:c r="A26" s="82" t="n">
        <x:v>46289</x:v>
      </x:c>
      <x:c r="B26" s="83" t="str">
        <x:v>Thứ Năm</x:v>
      </x:c>
      <x:c r="C26" s="83" t="str">
        <x:v>Official</x:v>
      </x:c>
      <x:c r="D26" s="83" t="str">
        <x:v>00:30</x:v>
      </x:c>
      <x:c r="E26" s="84" t="n">
        <x:f>'SLOT_RULES'!$D$4+IF($A26&lt;='SLOT_RULES'!$D$4,0,INT(($A26-'SLOT_RULES'!$D$4-1)/'SLOT_RULES'!$E$4)+1)*'SLOT_RULES'!$E$4</x:f>
        <x:v>46297</x:v>
      </x:c>
      <x:c r="F26" s="84" t="n">
        <x:f>'SLOT_RULES'!$D$5+IF($A26&lt;='SLOT_RULES'!$D$5,0,INT(($A26-'SLOT_RULES'!$D$5-1)/'SLOT_RULES'!$E$5)+1)*'SLOT_RULES'!$E$5</x:f>
        <x:v>46304</x:v>
      </x:c>
      <x:c r="G26" s="84" t="n">
        <x:f>'SLOT_RULES'!$D$6+IF($A26&lt;='SLOT_RULES'!$D$6,0,INT(($A26-'SLOT_RULES'!$D$6-1)/'SLOT_RULES'!$E$6)+1)*'SLOT_RULES'!$E$6</x:f>
        <x:v>46311</x:v>
      </x:c>
      <x:c r="H26" s="84" t="n">
        <x:f>'SLOT_RULES'!$D$7+IF($A26&lt;='SLOT_RULES'!$D$7,0,INT(($A26-'SLOT_RULES'!$D$7-1)/'SLOT_RULES'!$E$7)+1)*'SLOT_RULES'!$E$7</x:f>
        <x:v>46290</x:v>
      </x:c>
      <x:c r="I26" s="84" t="n">
        <x:f>'SLOT_RULES'!$D$8+IF($A26&lt;='SLOT_RULES'!$D$8,0,INT(($A26-'SLOT_RULES'!$D$8-1)/'SLOT_RULES'!$E$8)+1)*'SLOT_RULES'!$E$8</x:f>
        <x:v>46300</x:v>
      </x:c>
      <x:c r="J26" s="84" t="n">
        <x:f>'SLOT_RULES'!$D$9+IF($A26&lt;='SLOT_RULES'!$D$9,0,INT(($A26-'SLOT_RULES'!$D$9-1)/'SLOT_RULES'!$E$9)+1)*'SLOT_RULES'!$E$9</x:f>
        <x:v>46314</x:v>
      </x:c>
      <x:c r="K26" s="84" t="n">
        <x:f>'SLOT_RULES'!$D$10+IF($A26&lt;='SLOT_RULES'!$D$10,0,INT(($A26-'SLOT_RULES'!$D$10-1)/'SLOT_RULES'!$E$10)+1)*'SLOT_RULES'!$E$10</x:f>
        <x:v>46301</x:v>
      </x:c>
      <x:c r="L26" s="84" t="n">
        <x:f>'SLOT_RULES'!$D$11+IF($A26&lt;='SLOT_RULES'!$D$11,0,INT(($A26-'SLOT_RULES'!$D$11-1)/'SLOT_RULES'!$E$11)+1)*'SLOT_RULES'!$E$11</x:f>
        <x:v>46308</x:v>
      </x:c>
      <x:c r="M26" s="84" t="n">
        <x:f>'SLOT_RULES'!$D$12+IF($A26&lt;='SLOT_RULES'!$D$12,0,INT(($A26-'SLOT_RULES'!$D$12-1)/'SLOT_RULES'!$E$12)+1)*'SLOT_RULES'!$E$12</x:f>
        <x:v>46313</x:v>
      </x:c>
      <x:c r="N26" s="84" t="n">
        <x:f>'SLOT_RULES'!$D$13+IF($A26&lt;='SLOT_RULES'!$D$13,0,INT(($A26-'SLOT_RULES'!$D$13-1)/'SLOT_RULES'!$E$13)+1)*'SLOT_RULES'!$E$13</x:f>
        <x:v>46321</x:v>
      </x:c>
      <x:c r="O26" s="84" t="n">
        <x:f>'SLOT_RULES'!$D$14+IF($A26&lt;='SLOT_RULES'!$D$14,0,INT(($A26-'SLOT_RULES'!$D$14-1)/'SLOT_RULES'!$E$14)+1)*'SLOT_RULES'!$E$14</x:f>
        <x:v>46350</x:v>
      </x:c>
      <x:c r="P26" s="84" t="n">
        <x:f>'SLOT_RULES'!$D$15+IF($A26&lt;='SLOT_RULES'!$D$15,0,INT(($A26-'SLOT_RULES'!$D$15-1)/'SLOT_RULES'!$E$15)+1)*'SLOT_RULES'!$E$15</x:f>
        <x:v>46422</x:v>
      </x:c>
      <x:c r="Q26" s="85" t="n">
        <x:f>MIN(E26:P26)-A26</x:f>
        <x:v>1</x:v>
      </x:c>
      <x:c r="R26" s="85" t="n">
        <x:f>MAX(E26:P26)-A26</x:f>
        <x:v>133</x:v>
      </x:c>
      <x:c r="S26" s="86" t="str">
        <x:f>IF(AND(COUNT(E26:P26)=12,MIN(E26:P26)&gt;=A26),"PASS","FAIL")</x:f>
        <x:v>PASS</x:v>
      </x:c>
      <x:c r="T26" s="86" t="str">
        <x:f>IF((COUNTIF('LOCAL_REFERENCE'!$D26:$O26,E26)+COUNTIF('LOCAL_REFERENCE'!$D26:$O26,F26)+COUNTIF('LOCAL_REFERENCE'!$D26:$O26,G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x:f>
        <x:v>PASS</x:v>
      </x:c>
      <x:c r="U26" s="86" t="str">
        <x:f>IF((COUNTIF('VPS_REFERENCE'!$D26:$H26,E26)+COUNTIF('VPS_REFERENCE'!$D26:$H26,F26)+COUNTIF('VPS_REFERENCE'!$D26:$H26,G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x:f>
        <x:v>PASS</x:v>
      </x:c>
      <x:c r="V26" s="86" t="str">
        <x:f>IF(OR(E26=F26,E26=G26,E26=H26,E26=I26,E26=J26,E26=K26,E26=L26,E26=M26,E26=N26,E26=O26,E26=P26,F26=G26,F26=H26,F26=I26,F26=J26,F26=K26,F26=L26,F26=M26,F26=N26,F26=O26,F26=P26,G26=H26,G26=I26,G26=J26,G26=K26,G26=L26,G26=M26,G26=N26,G26=O26,G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x:f>
        <x:v>PASS</x:v>
      </x:c>
      <x:c r="W26" s="87" t="str">
        <x:f>'CRAWL_LOG'!B26</x:f>
        <x:v>Chưa chạy</x:v>
      </x:c>
      <x:c r="X26" s="95" t="str">
        <x:v>Aux-local complementary panel; benchmark gate pending</x:v>
      </x:c>
    </x:row>
    <x:row r="27">
      <x:c r="A27" s="82" t="n">
        <x:v>46290</x:v>
      </x:c>
      <x:c r="B27" s="83" t="str">
        <x:v>Thứ Sáu</x:v>
      </x:c>
      <x:c r="C27" s="83" t="str">
        <x:v>Official</x:v>
      </x:c>
      <x:c r="D27" s="83" t="str">
        <x:v>00:30</x:v>
      </x:c>
      <x:c r="E27" s="84" t="n">
        <x:f>'SLOT_RULES'!$D$4+IF($A27&lt;='SLOT_RULES'!$D$4,0,INT(($A27-'SLOT_RULES'!$D$4-1)/'SLOT_RULES'!$E$4)+1)*'SLOT_RULES'!$E$4</x:f>
        <x:v>46297</x:v>
      </x:c>
      <x:c r="F27" s="84" t="n">
        <x:f>'SLOT_RULES'!$D$5+IF($A27&lt;='SLOT_RULES'!$D$5,0,INT(($A27-'SLOT_RULES'!$D$5-1)/'SLOT_RULES'!$E$5)+1)*'SLOT_RULES'!$E$5</x:f>
        <x:v>46304</x:v>
      </x:c>
      <x:c r="G27" s="84" t="n">
        <x:f>'SLOT_RULES'!$D$6+IF($A27&lt;='SLOT_RULES'!$D$6,0,INT(($A27-'SLOT_RULES'!$D$6-1)/'SLOT_RULES'!$E$6)+1)*'SLOT_RULES'!$E$6</x:f>
        <x:v>46311</x:v>
      </x:c>
      <x:c r="H27" s="84" t="n">
        <x:f>'SLOT_RULES'!$D$7+IF($A27&lt;='SLOT_RULES'!$D$7,0,INT(($A27-'SLOT_RULES'!$D$7-1)/'SLOT_RULES'!$E$7)+1)*'SLOT_RULES'!$E$7</x:f>
        <x:v>46290</x:v>
      </x:c>
      <x:c r="I27" s="84" t="n">
        <x:f>'SLOT_RULES'!$D$8+IF($A27&lt;='SLOT_RULES'!$D$8,0,INT(($A27-'SLOT_RULES'!$D$8-1)/'SLOT_RULES'!$E$8)+1)*'SLOT_RULES'!$E$8</x:f>
        <x:v>46300</x:v>
      </x:c>
      <x:c r="J27" s="84" t="n">
        <x:f>'SLOT_RULES'!$D$9+IF($A27&lt;='SLOT_RULES'!$D$9,0,INT(($A27-'SLOT_RULES'!$D$9-1)/'SLOT_RULES'!$E$9)+1)*'SLOT_RULES'!$E$9</x:f>
        <x:v>46314</x:v>
      </x:c>
      <x:c r="K27" s="84" t="n">
        <x:f>'SLOT_RULES'!$D$10+IF($A27&lt;='SLOT_RULES'!$D$10,0,INT(($A27-'SLOT_RULES'!$D$10-1)/'SLOT_RULES'!$E$10)+1)*'SLOT_RULES'!$E$10</x:f>
        <x:v>46301</x:v>
      </x:c>
      <x:c r="L27" s="84" t="n">
        <x:f>'SLOT_RULES'!$D$11+IF($A27&lt;='SLOT_RULES'!$D$11,0,INT(($A27-'SLOT_RULES'!$D$11-1)/'SLOT_RULES'!$E$11)+1)*'SLOT_RULES'!$E$11</x:f>
        <x:v>46308</x:v>
      </x:c>
      <x:c r="M27" s="84" t="n">
        <x:f>'SLOT_RULES'!$D$12+IF($A27&lt;='SLOT_RULES'!$D$12,0,INT(($A27-'SLOT_RULES'!$D$12-1)/'SLOT_RULES'!$E$12)+1)*'SLOT_RULES'!$E$12</x:f>
        <x:v>46313</x:v>
      </x:c>
      <x:c r="N27" s="84" t="n">
        <x:f>'SLOT_RULES'!$D$13+IF($A27&lt;='SLOT_RULES'!$D$13,0,INT(($A27-'SLOT_RULES'!$D$13-1)/'SLOT_RULES'!$E$13)+1)*'SLOT_RULES'!$E$13</x:f>
        <x:v>46321</x:v>
      </x:c>
      <x:c r="O27" s="84" t="n">
        <x:f>'SLOT_RULES'!$D$14+IF($A27&lt;='SLOT_RULES'!$D$14,0,INT(($A27-'SLOT_RULES'!$D$14-1)/'SLOT_RULES'!$E$14)+1)*'SLOT_RULES'!$E$14</x:f>
        <x:v>46350</x:v>
      </x:c>
      <x:c r="P27" s="84" t="n">
        <x:f>'SLOT_RULES'!$D$15+IF($A27&lt;='SLOT_RULES'!$D$15,0,INT(($A27-'SLOT_RULES'!$D$15-1)/'SLOT_RULES'!$E$15)+1)*'SLOT_RULES'!$E$15</x:f>
        <x:v>46422</x:v>
      </x:c>
      <x:c r="Q27" s="85" t="n">
        <x:f>MIN(E27:P27)-A27</x:f>
        <x:v>0</x:v>
      </x:c>
      <x:c r="R27" s="85" t="n">
        <x:f>MAX(E27:P27)-A27</x:f>
        <x:v>132</x:v>
      </x:c>
      <x:c r="S27" s="86" t="str">
        <x:f>IF(AND(COUNT(E27:P27)=12,MIN(E27:P27)&gt;=A27),"PASS","FAIL")</x:f>
        <x:v>PASS</x:v>
      </x:c>
      <x:c r="T27" s="86" t="str">
        <x:f>IF((COUNTIF('LOCAL_REFERENCE'!$D27:$O27,E27)+COUNTIF('LOCAL_REFERENCE'!$D27:$O27,F27)+COUNTIF('LOCAL_REFERENCE'!$D27:$O27,G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x:f>
        <x:v>PASS</x:v>
      </x:c>
      <x:c r="U27" s="86" t="str">
        <x:f>IF((COUNTIF('VPS_REFERENCE'!$D27:$H27,E27)+COUNTIF('VPS_REFERENCE'!$D27:$H27,F27)+COUNTIF('VPS_REFERENCE'!$D27:$H27,G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x:f>
        <x:v>PASS</x:v>
      </x:c>
      <x:c r="V27" s="86" t="str">
        <x:f>IF(OR(E27=F27,E27=G27,E27=H27,E27=I27,E27=J27,E27=K27,E27=L27,E27=M27,E27=N27,E27=O27,E27=P27,F27=G27,F27=H27,F27=I27,F27=J27,F27=K27,F27=L27,F27=M27,F27=N27,F27=O27,F27=P27,G27=H27,G27=I27,G27=J27,G27=K27,G27=L27,G27=M27,G27=N27,G27=O27,G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x:f>
        <x:v>PASS</x:v>
      </x:c>
      <x:c r="W27" s="87" t="str">
        <x:f>'CRAWL_LOG'!B27</x:f>
        <x:v>Chưa chạy</x:v>
      </x:c>
      <x:c r="X27" s="95" t="str">
        <x:v>Aux-local complementary panel; benchmark gate pending</x:v>
      </x:c>
    </x:row>
    <x:row r="28">
      <x:c r="A28" s="82" t="n">
        <x:v>46291</x:v>
      </x:c>
      <x:c r="B28" s="83" t="str">
        <x:v>Thứ Bảy</x:v>
      </x:c>
      <x:c r="C28" s="83" t="str">
        <x:v>Official</x:v>
      </x:c>
      <x:c r="D28" s="83" t="str">
        <x:v>00:30</x:v>
      </x:c>
      <x:c r="E28" s="84" t="n">
        <x:f>'SLOT_RULES'!$D$4+IF($A28&lt;='SLOT_RULES'!$D$4,0,INT(($A28-'SLOT_RULES'!$D$4-1)/'SLOT_RULES'!$E$4)+1)*'SLOT_RULES'!$E$4</x:f>
        <x:v>46297</x:v>
      </x:c>
      <x:c r="F28" s="84" t="n">
        <x:f>'SLOT_RULES'!$D$5+IF($A28&lt;='SLOT_RULES'!$D$5,0,INT(($A28-'SLOT_RULES'!$D$5-1)/'SLOT_RULES'!$E$5)+1)*'SLOT_RULES'!$E$5</x:f>
        <x:v>46304</x:v>
      </x:c>
      <x:c r="G28" s="84" t="n">
        <x:f>'SLOT_RULES'!$D$6+IF($A28&lt;='SLOT_RULES'!$D$6,0,INT(($A28-'SLOT_RULES'!$D$6-1)/'SLOT_RULES'!$E$6)+1)*'SLOT_RULES'!$E$6</x:f>
        <x:v>46311</x:v>
      </x:c>
      <x:c r="H28" s="84" t="n">
        <x:f>'SLOT_RULES'!$D$7+IF($A28&lt;='SLOT_RULES'!$D$7,0,INT(($A28-'SLOT_RULES'!$D$7-1)/'SLOT_RULES'!$E$7)+1)*'SLOT_RULES'!$E$7</x:f>
        <x:v>46318</x:v>
      </x:c>
      <x:c r="I28" s="84" t="n">
        <x:f>'SLOT_RULES'!$D$8+IF($A28&lt;='SLOT_RULES'!$D$8,0,INT(($A28-'SLOT_RULES'!$D$8-1)/'SLOT_RULES'!$E$8)+1)*'SLOT_RULES'!$E$8</x:f>
        <x:v>46300</x:v>
      </x:c>
      <x:c r="J28" s="84" t="n">
        <x:f>'SLOT_RULES'!$D$9+IF($A28&lt;='SLOT_RULES'!$D$9,0,INT(($A28-'SLOT_RULES'!$D$9-1)/'SLOT_RULES'!$E$9)+1)*'SLOT_RULES'!$E$9</x:f>
        <x:v>46314</x:v>
      </x:c>
      <x:c r="K28" s="84" t="n">
        <x:f>'SLOT_RULES'!$D$10+IF($A28&lt;='SLOT_RULES'!$D$10,0,INT(($A28-'SLOT_RULES'!$D$10-1)/'SLOT_RULES'!$E$10)+1)*'SLOT_RULES'!$E$10</x:f>
        <x:v>46301</x:v>
      </x:c>
      <x:c r="L28" s="84" t="n">
        <x:f>'SLOT_RULES'!$D$11+IF($A28&lt;='SLOT_RULES'!$D$11,0,INT(($A28-'SLOT_RULES'!$D$11-1)/'SLOT_RULES'!$E$11)+1)*'SLOT_RULES'!$E$11</x:f>
        <x:v>46308</x:v>
      </x:c>
      <x:c r="M28" s="84" t="n">
        <x:f>'SLOT_RULES'!$D$12+IF($A28&lt;='SLOT_RULES'!$D$12,0,INT(($A28-'SLOT_RULES'!$D$12-1)/'SLOT_RULES'!$E$12)+1)*'SLOT_RULES'!$E$12</x:f>
        <x:v>46313</x:v>
      </x:c>
      <x:c r="N28" s="84" t="n">
        <x:f>'SLOT_RULES'!$D$13+IF($A28&lt;='SLOT_RULES'!$D$13,0,INT(($A28-'SLOT_RULES'!$D$13-1)/'SLOT_RULES'!$E$13)+1)*'SLOT_RULES'!$E$13</x:f>
        <x:v>46321</x:v>
      </x:c>
      <x:c r="O28" s="84" t="n">
        <x:f>'SLOT_RULES'!$D$14+IF($A28&lt;='SLOT_RULES'!$D$14,0,INT(($A28-'SLOT_RULES'!$D$14-1)/'SLOT_RULES'!$E$14)+1)*'SLOT_RULES'!$E$14</x:f>
        <x:v>46350</x:v>
      </x:c>
      <x:c r="P28" s="84" t="n">
        <x:f>'SLOT_RULES'!$D$15+IF($A28&lt;='SLOT_RULES'!$D$15,0,INT(($A28-'SLOT_RULES'!$D$15-1)/'SLOT_RULES'!$E$15)+1)*'SLOT_RULES'!$E$15</x:f>
        <x:v>46422</x:v>
      </x:c>
      <x:c r="Q28" s="85" t="n">
        <x:f>MIN(E28:P28)-A28</x:f>
        <x:v>6</x:v>
      </x:c>
      <x:c r="R28" s="85" t="n">
        <x:f>MAX(E28:P28)-A28</x:f>
        <x:v>131</x:v>
      </x:c>
      <x:c r="S28" s="86" t="str">
        <x:f>IF(AND(COUNT(E28:P28)=12,MIN(E28:P28)&gt;=A28),"PASS","FAIL")</x:f>
        <x:v>PASS</x:v>
      </x:c>
      <x:c r="T28" s="86" t="str">
        <x:f>IF((COUNTIF('LOCAL_REFERENCE'!$D28:$O28,E28)+COUNTIF('LOCAL_REFERENCE'!$D28:$O28,F28)+COUNTIF('LOCAL_REFERENCE'!$D28:$O28,G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x:f>
        <x:v>PASS</x:v>
      </x:c>
      <x:c r="U28" s="86" t="str">
        <x:f>IF((COUNTIF('VPS_REFERENCE'!$D28:$H28,E28)+COUNTIF('VPS_REFERENCE'!$D28:$H28,F28)+COUNTIF('VPS_REFERENCE'!$D28:$H28,G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x:f>
        <x:v>PASS</x:v>
      </x:c>
      <x:c r="V28" s="86" t="str">
        <x:f>IF(OR(E28=F28,E28=G28,E28=H28,E28=I28,E28=J28,E28=K28,E28=L28,E28=M28,E28=N28,E28=O28,E28=P28,F28=G28,F28=H28,F28=I28,F28=J28,F28=K28,F28=L28,F28=M28,F28=N28,F28=O28,F28=P28,G28=H28,G28=I28,G28=J28,G28=K28,G28=L28,G28=M28,G28=N28,G28=O28,G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x:f>
        <x:v>PASS</x:v>
      </x:c>
      <x:c r="W28" s="87" t="str">
        <x:f>'CRAWL_LOG'!B28</x:f>
        <x:v>Chưa chạy</x:v>
      </x:c>
      <x:c r="X28" s="95" t="str">
        <x:v>Aux-local complementary panel; benchmark gate pending</x:v>
      </x:c>
    </x:row>
    <x:row r="29">
      <x:c r="A29" s="82" t="n">
        <x:v>46292</x:v>
      </x:c>
      <x:c r="B29" s="83" t="str">
        <x:v>Chủ Nhật</x:v>
      </x:c>
      <x:c r="C29" s="83" t="str">
        <x:v>Official</x:v>
      </x:c>
      <x:c r="D29" s="83" t="str">
        <x:v>00:30</x:v>
      </x:c>
      <x:c r="E29" s="84" t="n">
        <x:f>'SLOT_RULES'!$D$4+IF($A29&lt;='SLOT_RULES'!$D$4,0,INT(($A29-'SLOT_RULES'!$D$4-1)/'SLOT_RULES'!$E$4)+1)*'SLOT_RULES'!$E$4</x:f>
        <x:v>46297</x:v>
      </x:c>
      <x:c r="F29" s="84" t="n">
        <x:f>'SLOT_RULES'!$D$5+IF($A29&lt;='SLOT_RULES'!$D$5,0,INT(($A29-'SLOT_RULES'!$D$5-1)/'SLOT_RULES'!$E$5)+1)*'SLOT_RULES'!$E$5</x:f>
        <x:v>46304</x:v>
      </x:c>
      <x:c r="G29" s="84" t="n">
        <x:f>'SLOT_RULES'!$D$6+IF($A29&lt;='SLOT_RULES'!$D$6,0,INT(($A29-'SLOT_RULES'!$D$6-1)/'SLOT_RULES'!$E$6)+1)*'SLOT_RULES'!$E$6</x:f>
        <x:v>46311</x:v>
      </x:c>
      <x:c r="H29" s="84" t="n">
        <x:f>'SLOT_RULES'!$D$7+IF($A29&lt;='SLOT_RULES'!$D$7,0,INT(($A29-'SLOT_RULES'!$D$7-1)/'SLOT_RULES'!$E$7)+1)*'SLOT_RULES'!$E$7</x:f>
        <x:v>46318</x:v>
      </x:c>
      <x:c r="I29" s="84" t="n">
        <x:f>'SLOT_RULES'!$D$8+IF($A29&lt;='SLOT_RULES'!$D$8,0,INT(($A29-'SLOT_RULES'!$D$8-1)/'SLOT_RULES'!$E$8)+1)*'SLOT_RULES'!$E$8</x:f>
        <x:v>46300</x:v>
      </x:c>
      <x:c r="J29" s="84" t="n">
        <x:f>'SLOT_RULES'!$D$9+IF($A29&lt;='SLOT_RULES'!$D$9,0,INT(($A29-'SLOT_RULES'!$D$9-1)/'SLOT_RULES'!$E$9)+1)*'SLOT_RULES'!$E$9</x:f>
        <x:v>46314</x:v>
      </x:c>
      <x:c r="K29" s="84" t="n">
        <x:f>'SLOT_RULES'!$D$10+IF($A29&lt;='SLOT_RULES'!$D$10,0,INT(($A29-'SLOT_RULES'!$D$10-1)/'SLOT_RULES'!$E$10)+1)*'SLOT_RULES'!$E$10</x:f>
        <x:v>46301</x:v>
      </x:c>
      <x:c r="L29" s="84" t="n">
        <x:f>'SLOT_RULES'!$D$11+IF($A29&lt;='SLOT_RULES'!$D$11,0,INT(($A29-'SLOT_RULES'!$D$11-1)/'SLOT_RULES'!$E$11)+1)*'SLOT_RULES'!$E$11</x:f>
        <x:v>46308</x:v>
      </x:c>
      <x:c r="M29" s="84" t="n">
        <x:f>'SLOT_RULES'!$D$12+IF($A29&lt;='SLOT_RULES'!$D$12,0,INT(($A29-'SLOT_RULES'!$D$12-1)/'SLOT_RULES'!$E$12)+1)*'SLOT_RULES'!$E$12</x:f>
        <x:v>46313</x:v>
      </x:c>
      <x:c r="N29" s="84" t="n">
        <x:f>'SLOT_RULES'!$D$13+IF($A29&lt;='SLOT_RULES'!$D$13,0,INT(($A29-'SLOT_RULES'!$D$13-1)/'SLOT_RULES'!$E$13)+1)*'SLOT_RULES'!$E$13</x:f>
        <x:v>46321</x:v>
      </x:c>
      <x:c r="O29" s="84" t="n">
        <x:f>'SLOT_RULES'!$D$14+IF($A29&lt;='SLOT_RULES'!$D$14,0,INT(($A29-'SLOT_RULES'!$D$14-1)/'SLOT_RULES'!$E$14)+1)*'SLOT_RULES'!$E$14</x:f>
        <x:v>46350</x:v>
      </x:c>
      <x:c r="P29" s="84" t="n">
        <x:f>'SLOT_RULES'!$D$15+IF($A29&lt;='SLOT_RULES'!$D$15,0,INT(($A29-'SLOT_RULES'!$D$15-1)/'SLOT_RULES'!$E$15)+1)*'SLOT_RULES'!$E$15</x:f>
        <x:v>46422</x:v>
      </x:c>
      <x:c r="Q29" s="85" t="n">
        <x:f>MIN(E29:P29)-A29</x:f>
        <x:v>5</x:v>
      </x:c>
      <x:c r="R29" s="85" t="n">
        <x:f>MAX(E29:P29)-A29</x:f>
        <x:v>130</x:v>
      </x:c>
      <x:c r="S29" s="86" t="str">
        <x:f>IF(AND(COUNT(E29:P29)=12,MIN(E29:P29)&gt;=A29),"PASS","FAIL")</x:f>
        <x:v>PASS</x:v>
      </x:c>
      <x:c r="T29" s="86" t="str">
        <x:f>IF((COUNTIF('LOCAL_REFERENCE'!$D29:$O29,E29)+COUNTIF('LOCAL_REFERENCE'!$D29:$O29,F29)+COUNTIF('LOCAL_REFERENCE'!$D29:$O29,G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x:f>
        <x:v>PASS</x:v>
      </x:c>
      <x:c r="U29" s="86" t="str">
        <x:f>IF((COUNTIF('VPS_REFERENCE'!$D29:$H29,E29)+COUNTIF('VPS_REFERENCE'!$D29:$H29,F29)+COUNTIF('VPS_REFERENCE'!$D29:$H29,G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x:f>
        <x:v>PASS</x:v>
      </x:c>
      <x:c r="V29" s="86" t="str">
        <x:f>IF(OR(E29=F29,E29=G29,E29=H29,E29=I29,E29=J29,E29=K29,E29=L29,E29=M29,E29=N29,E29=O29,E29=P29,F29=G29,F29=H29,F29=I29,F29=J29,F29=K29,F29=L29,F29=M29,F29=N29,F29=O29,F29=P29,G29=H29,G29=I29,G29=J29,G29=K29,G29=L29,G29=M29,G29=N29,G29=O29,G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x:f>
        <x:v>PASS</x:v>
      </x:c>
      <x:c r="W29" s="87" t="str">
        <x:f>'CRAWL_LOG'!B29</x:f>
        <x:v>Chưa chạy</x:v>
      </x:c>
      <x:c r="X29" s="95" t="str">
        <x:v>Aux-local complementary panel; benchmark gate pending</x:v>
      </x:c>
    </x:row>
    <x:row r="30">
      <x:c r="A30" s="82" t="n">
        <x:v>46293</x:v>
      </x:c>
      <x:c r="B30" s="83" t="str">
        <x:v>Thứ Hai</x:v>
      </x:c>
      <x:c r="C30" s="83" t="str">
        <x:v>Official</x:v>
      </x:c>
      <x:c r="D30" s="83" t="str">
        <x:v>00:30</x:v>
      </x:c>
      <x:c r="E30" s="84" t="n">
        <x:f>'SLOT_RULES'!$D$4+IF($A30&lt;='SLOT_RULES'!$D$4,0,INT(($A30-'SLOT_RULES'!$D$4-1)/'SLOT_RULES'!$E$4)+1)*'SLOT_RULES'!$E$4</x:f>
        <x:v>46297</x:v>
      </x:c>
      <x:c r="F30" s="84" t="n">
        <x:f>'SLOT_RULES'!$D$5+IF($A30&lt;='SLOT_RULES'!$D$5,0,INT(($A30-'SLOT_RULES'!$D$5-1)/'SLOT_RULES'!$E$5)+1)*'SLOT_RULES'!$E$5</x:f>
        <x:v>46304</x:v>
      </x:c>
      <x:c r="G30" s="84" t="n">
        <x:f>'SLOT_RULES'!$D$6+IF($A30&lt;='SLOT_RULES'!$D$6,0,INT(($A30-'SLOT_RULES'!$D$6-1)/'SLOT_RULES'!$E$6)+1)*'SLOT_RULES'!$E$6</x:f>
        <x:v>46311</x:v>
      </x:c>
      <x:c r="H30" s="84" t="n">
        <x:f>'SLOT_RULES'!$D$7+IF($A30&lt;='SLOT_RULES'!$D$7,0,INT(($A30-'SLOT_RULES'!$D$7-1)/'SLOT_RULES'!$E$7)+1)*'SLOT_RULES'!$E$7</x:f>
        <x:v>46318</x:v>
      </x:c>
      <x:c r="I30" s="84" t="n">
        <x:f>'SLOT_RULES'!$D$8+IF($A30&lt;='SLOT_RULES'!$D$8,0,INT(($A30-'SLOT_RULES'!$D$8-1)/'SLOT_RULES'!$E$8)+1)*'SLOT_RULES'!$E$8</x:f>
        <x:v>46300</x:v>
      </x:c>
      <x:c r="J30" s="84" t="n">
        <x:f>'SLOT_RULES'!$D$9+IF($A30&lt;='SLOT_RULES'!$D$9,0,INT(($A30-'SLOT_RULES'!$D$9-1)/'SLOT_RULES'!$E$9)+1)*'SLOT_RULES'!$E$9</x:f>
        <x:v>46314</x:v>
      </x:c>
      <x:c r="K30" s="84" t="n">
        <x:f>'SLOT_RULES'!$D$10+IF($A30&lt;='SLOT_RULES'!$D$10,0,INT(($A30-'SLOT_RULES'!$D$10-1)/'SLOT_RULES'!$E$10)+1)*'SLOT_RULES'!$E$10</x:f>
        <x:v>46301</x:v>
      </x:c>
      <x:c r="L30" s="84" t="n">
        <x:f>'SLOT_RULES'!$D$11+IF($A30&lt;='SLOT_RULES'!$D$11,0,INT(($A30-'SLOT_RULES'!$D$11-1)/'SLOT_RULES'!$E$11)+1)*'SLOT_RULES'!$E$11</x:f>
        <x:v>46308</x:v>
      </x:c>
      <x:c r="M30" s="84" t="n">
        <x:f>'SLOT_RULES'!$D$12+IF($A30&lt;='SLOT_RULES'!$D$12,0,INT(($A30-'SLOT_RULES'!$D$12-1)/'SLOT_RULES'!$E$12)+1)*'SLOT_RULES'!$E$12</x:f>
        <x:v>46313</x:v>
      </x:c>
      <x:c r="N30" s="84" t="n">
        <x:f>'SLOT_RULES'!$D$13+IF($A30&lt;='SLOT_RULES'!$D$13,0,INT(($A30-'SLOT_RULES'!$D$13-1)/'SLOT_RULES'!$E$13)+1)*'SLOT_RULES'!$E$13</x:f>
        <x:v>46321</x:v>
      </x:c>
      <x:c r="O30" s="84" t="n">
        <x:f>'SLOT_RULES'!$D$14+IF($A30&lt;='SLOT_RULES'!$D$14,0,INT(($A30-'SLOT_RULES'!$D$14-1)/'SLOT_RULES'!$E$14)+1)*'SLOT_RULES'!$E$14</x:f>
        <x:v>46350</x:v>
      </x:c>
      <x:c r="P30" s="84" t="n">
        <x:f>'SLOT_RULES'!$D$15+IF($A30&lt;='SLOT_RULES'!$D$15,0,INT(($A30-'SLOT_RULES'!$D$15-1)/'SLOT_RULES'!$E$15)+1)*'SLOT_RULES'!$E$15</x:f>
        <x:v>46422</x:v>
      </x:c>
      <x:c r="Q30" s="85" t="n">
        <x:f>MIN(E30:P30)-A30</x:f>
        <x:v>4</x:v>
      </x:c>
      <x:c r="R30" s="85" t="n">
        <x:f>MAX(E30:P30)-A30</x:f>
        <x:v>129</x:v>
      </x:c>
      <x:c r="S30" s="86" t="str">
        <x:f>IF(AND(COUNT(E30:P30)=12,MIN(E30:P30)&gt;=A30),"PASS","FAIL")</x:f>
        <x:v>PASS</x:v>
      </x:c>
      <x:c r="T30" s="86" t="str">
        <x:f>IF((COUNTIF('LOCAL_REFERENCE'!$D30:$O30,E30)+COUNTIF('LOCAL_REFERENCE'!$D30:$O30,F30)+COUNTIF('LOCAL_REFERENCE'!$D30:$O30,G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x:f>
        <x:v>PASS</x:v>
      </x:c>
      <x:c r="U30" s="86" t="str">
        <x:f>IF((COUNTIF('VPS_REFERENCE'!$D30:$H30,E30)+COUNTIF('VPS_REFERENCE'!$D30:$H30,F30)+COUNTIF('VPS_REFERENCE'!$D30:$H30,G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x:f>
        <x:v>PASS</x:v>
      </x:c>
      <x:c r="V30" s="86" t="str">
        <x:f>IF(OR(E30=F30,E30=G30,E30=H30,E30=I30,E30=J30,E30=K30,E30=L30,E30=M30,E30=N30,E30=O30,E30=P30,F30=G30,F30=H30,F30=I30,F30=J30,F30=K30,F30=L30,F30=M30,F30=N30,F30=O30,F30=P30,G30=H30,G30=I30,G30=J30,G30=K30,G30=L30,G30=M30,G30=N30,G30=O30,G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x:f>
        <x:v>PASS</x:v>
      </x:c>
      <x:c r="W30" s="87" t="str">
        <x:f>'CRAWL_LOG'!B30</x:f>
        <x:v>Chưa chạy</x:v>
      </x:c>
      <x:c r="X30" s="95" t="str">
        <x:v>Aux-local complementary panel; benchmark gate pending</x:v>
      </x:c>
    </x:row>
    <x:row r="31">
      <x:c r="A31" s="82" t="n">
        <x:v>46294</x:v>
      </x:c>
      <x:c r="B31" s="83" t="str">
        <x:v>Thứ Ba</x:v>
      </x:c>
      <x:c r="C31" s="83" t="str">
        <x:v>Official</x:v>
      </x:c>
      <x:c r="D31" s="83" t="str">
        <x:v>00:30</x:v>
      </x:c>
      <x:c r="E31" s="84" t="n">
        <x:f>'SLOT_RULES'!$D$4+IF($A31&lt;='SLOT_RULES'!$D$4,0,INT(($A31-'SLOT_RULES'!$D$4-1)/'SLOT_RULES'!$E$4)+1)*'SLOT_RULES'!$E$4</x:f>
        <x:v>46297</x:v>
      </x:c>
      <x:c r="F31" s="84" t="n">
        <x:f>'SLOT_RULES'!$D$5+IF($A31&lt;='SLOT_RULES'!$D$5,0,INT(($A31-'SLOT_RULES'!$D$5-1)/'SLOT_RULES'!$E$5)+1)*'SLOT_RULES'!$E$5</x:f>
        <x:v>46304</x:v>
      </x:c>
      <x:c r="G31" s="84" t="n">
        <x:f>'SLOT_RULES'!$D$6+IF($A31&lt;='SLOT_RULES'!$D$6,0,INT(($A31-'SLOT_RULES'!$D$6-1)/'SLOT_RULES'!$E$6)+1)*'SLOT_RULES'!$E$6</x:f>
        <x:v>46311</x:v>
      </x:c>
      <x:c r="H31" s="84" t="n">
        <x:f>'SLOT_RULES'!$D$7+IF($A31&lt;='SLOT_RULES'!$D$7,0,INT(($A31-'SLOT_RULES'!$D$7-1)/'SLOT_RULES'!$E$7)+1)*'SLOT_RULES'!$E$7</x:f>
        <x:v>46318</x:v>
      </x:c>
      <x:c r="I31" s="84" t="n">
        <x:f>'SLOT_RULES'!$D$8+IF($A31&lt;='SLOT_RULES'!$D$8,0,INT(($A31-'SLOT_RULES'!$D$8-1)/'SLOT_RULES'!$E$8)+1)*'SLOT_RULES'!$E$8</x:f>
        <x:v>46300</x:v>
      </x:c>
      <x:c r="J31" s="84" t="n">
        <x:f>'SLOT_RULES'!$D$9+IF($A31&lt;='SLOT_RULES'!$D$9,0,INT(($A31-'SLOT_RULES'!$D$9-1)/'SLOT_RULES'!$E$9)+1)*'SLOT_RULES'!$E$9</x:f>
        <x:v>46314</x:v>
      </x:c>
      <x:c r="K31" s="84" t="n">
        <x:f>'SLOT_RULES'!$D$10+IF($A31&lt;='SLOT_RULES'!$D$10,0,INT(($A31-'SLOT_RULES'!$D$10-1)/'SLOT_RULES'!$E$10)+1)*'SLOT_RULES'!$E$10</x:f>
        <x:v>46301</x:v>
      </x:c>
      <x:c r="L31" s="84" t="n">
        <x:f>'SLOT_RULES'!$D$11+IF($A31&lt;='SLOT_RULES'!$D$11,0,INT(($A31-'SLOT_RULES'!$D$11-1)/'SLOT_RULES'!$E$11)+1)*'SLOT_RULES'!$E$11</x:f>
        <x:v>46308</x:v>
      </x:c>
      <x:c r="M31" s="84" t="n">
        <x:f>'SLOT_RULES'!$D$12+IF($A31&lt;='SLOT_RULES'!$D$12,0,INT(($A31-'SLOT_RULES'!$D$12-1)/'SLOT_RULES'!$E$12)+1)*'SLOT_RULES'!$E$12</x:f>
        <x:v>46313</x:v>
      </x:c>
      <x:c r="N31" s="84" t="n">
        <x:f>'SLOT_RULES'!$D$13+IF($A31&lt;='SLOT_RULES'!$D$13,0,INT(($A31-'SLOT_RULES'!$D$13-1)/'SLOT_RULES'!$E$13)+1)*'SLOT_RULES'!$E$13</x:f>
        <x:v>46321</x:v>
      </x:c>
      <x:c r="O31" s="84" t="n">
        <x:f>'SLOT_RULES'!$D$14+IF($A31&lt;='SLOT_RULES'!$D$14,0,INT(($A31-'SLOT_RULES'!$D$14-1)/'SLOT_RULES'!$E$14)+1)*'SLOT_RULES'!$E$14</x:f>
        <x:v>46350</x:v>
      </x:c>
      <x:c r="P31" s="84" t="n">
        <x:f>'SLOT_RULES'!$D$15+IF($A31&lt;='SLOT_RULES'!$D$15,0,INT(($A31-'SLOT_RULES'!$D$15-1)/'SLOT_RULES'!$E$15)+1)*'SLOT_RULES'!$E$15</x:f>
        <x:v>46422</x:v>
      </x:c>
      <x:c r="Q31" s="85" t="n">
        <x:f>MIN(E31:P31)-A31</x:f>
        <x:v>3</x:v>
      </x:c>
      <x:c r="R31" s="85" t="n">
        <x:f>MAX(E31:P31)-A31</x:f>
        <x:v>128</x:v>
      </x:c>
      <x:c r="S31" s="86" t="str">
        <x:f>IF(AND(COUNT(E31:P31)=12,MIN(E31:P31)&gt;=A31),"PASS","FAIL")</x:f>
        <x:v>PASS</x:v>
      </x:c>
      <x:c r="T31" s="86" t="str">
        <x:f>IF((COUNTIF('LOCAL_REFERENCE'!$D31:$O31,E31)+COUNTIF('LOCAL_REFERENCE'!$D31:$O31,F31)+COUNTIF('LOCAL_REFERENCE'!$D31:$O31,G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x:f>
        <x:v>PASS</x:v>
      </x:c>
      <x:c r="U31" s="86" t="str">
        <x:f>IF((COUNTIF('VPS_REFERENCE'!$D31:$H31,E31)+COUNTIF('VPS_REFERENCE'!$D31:$H31,F31)+COUNTIF('VPS_REFERENCE'!$D31:$H31,G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x:f>
        <x:v>PASS</x:v>
      </x:c>
      <x:c r="V31" s="86" t="str">
        <x:f>IF(OR(E31=F31,E31=G31,E31=H31,E31=I31,E31=J31,E31=K31,E31=L31,E31=M31,E31=N31,E31=O31,E31=P31,F31=G31,F31=H31,F31=I31,F31=J31,F31=K31,F31=L31,F31=M31,F31=N31,F31=O31,F31=P31,G31=H31,G31=I31,G31=J31,G31=K31,G31=L31,G31=M31,G31=N31,G31=O31,G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x:f>
        <x:v>PASS</x:v>
      </x:c>
      <x:c r="W31" s="87" t="str">
        <x:f>'CRAWL_LOG'!B31</x:f>
        <x:v>Chưa chạy</x:v>
      </x:c>
      <x:c r="X31" s="95" t="str">
        <x:v>Aux-local complementary panel; benchmark gate pending</x:v>
      </x:c>
    </x:row>
    <x:row r="32">
      <x:c r="A32" s="82" t="n">
        <x:v>46295</x:v>
      </x:c>
      <x:c r="B32" s="83" t="str">
        <x:v>Thứ Tư</x:v>
      </x:c>
      <x:c r="C32" s="83" t="str">
        <x:v>Official</x:v>
      </x:c>
      <x:c r="D32" s="83" t="str">
        <x:v>00:30</x:v>
      </x:c>
      <x:c r="E32" s="84" t="n">
        <x:f>'SLOT_RULES'!$D$4+IF($A32&lt;='SLOT_RULES'!$D$4,0,INT(($A32-'SLOT_RULES'!$D$4-1)/'SLOT_RULES'!$E$4)+1)*'SLOT_RULES'!$E$4</x:f>
        <x:v>46297</x:v>
      </x:c>
      <x:c r="F32" s="84" t="n">
        <x:f>'SLOT_RULES'!$D$5+IF($A32&lt;='SLOT_RULES'!$D$5,0,INT(($A32-'SLOT_RULES'!$D$5-1)/'SLOT_RULES'!$E$5)+1)*'SLOT_RULES'!$E$5</x:f>
        <x:v>46304</x:v>
      </x:c>
      <x:c r="G32" s="84" t="n">
        <x:f>'SLOT_RULES'!$D$6+IF($A32&lt;='SLOT_RULES'!$D$6,0,INT(($A32-'SLOT_RULES'!$D$6-1)/'SLOT_RULES'!$E$6)+1)*'SLOT_RULES'!$E$6</x:f>
        <x:v>46311</x:v>
      </x:c>
      <x:c r="H32" s="84" t="n">
        <x:f>'SLOT_RULES'!$D$7+IF($A32&lt;='SLOT_RULES'!$D$7,0,INT(($A32-'SLOT_RULES'!$D$7-1)/'SLOT_RULES'!$E$7)+1)*'SLOT_RULES'!$E$7</x:f>
        <x:v>46318</x:v>
      </x:c>
      <x:c r="I32" s="84" t="n">
        <x:f>'SLOT_RULES'!$D$8+IF($A32&lt;='SLOT_RULES'!$D$8,0,INT(($A32-'SLOT_RULES'!$D$8-1)/'SLOT_RULES'!$E$8)+1)*'SLOT_RULES'!$E$8</x:f>
        <x:v>46300</x:v>
      </x:c>
      <x:c r="J32" s="84" t="n">
        <x:f>'SLOT_RULES'!$D$9+IF($A32&lt;='SLOT_RULES'!$D$9,0,INT(($A32-'SLOT_RULES'!$D$9-1)/'SLOT_RULES'!$E$9)+1)*'SLOT_RULES'!$E$9</x:f>
        <x:v>46314</x:v>
      </x:c>
      <x:c r="K32" s="84" t="n">
        <x:f>'SLOT_RULES'!$D$10+IF($A32&lt;='SLOT_RULES'!$D$10,0,INT(($A32-'SLOT_RULES'!$D$10-1)/'SLOT_RULES'!$E$10)+1)*'SLOT_RULES'!$E$10</x:f>
        <x:v>46301</x:v>
      </x:c>
      <x:c r="L32" s="84" t="n">
        <x:f>'SLOT_RULES'!$D$11+IF($A32&lt;='SLOT_RULES'!$D$11,0,INT(($A32-'SLOT_RULES'!$D$11-1)/'SLOT_RULES'!$E$11)+1)*'SLOT_RULES'!$E$11</x:f>
        <x:v>46308</x:v>
      </x:c>
      <x:c r="M32" s="84" t="n">
        <x:f>'SLOT_RULES'!$D$12+IF($A32&lt;='SLOT_RULES'!$D$12,0,INT(($A32-'SLOT_RULES'!$D$12-1)/'SLOT_RULES'!$E$12)+1)*'SLOT_RULES'!$E$12</x:f>
        <x:v>46313</x:v>
      </x:c>
      <x:c r="N32" s="84" t="n">
        <x:f>'SLOT_RULES'!$D$13+IF($A32&lt;='SLOT_RULES'!$D$13,0,INT(($A32-'SLOT_RULES'!$D$13-1)/'SLOT_RULES'!$E$13)+1)*'SLOT_RULES'!$E$13</x:f>
        <x:v>46321</x:v>
      </x:c>
      <x:c r="O32" s="84" t="n">
        <x:f>'SLOT_RULES'!$D$14+IF($A32&lt;='SLOT_RULES'!$D$14,0,INT(($A32-'SLOT_RULES'!$D$14-1)/'SLOT_RULES'!$E$14)+1)*'SLOT_RULES'!$E$14</x:f>
        <x:v>46350</x:v>
      </x:c>
      <x:c r="P32" s="84" t="n">
        <x:f>'SLOT_RULES'!$D$15+IF($A32&lt;='SLOT_RULES'!$D$15,0,INT(($A32-'SLOT_RULES'!$D$15-1)/'SLOT_RULES'!$E$15)+1)*'SLOT_RULES'!$E$15</x:f>
        <x:v>46422</x:v>
      </x:c>
      <x:c r="Q32" s="85" t="n">
        <x:f>MIN(E32:P32)-A32</x:f>
        <x:v>2</x:v>
      </x:c>
      <x:c r="R32" s="85" t="n">
        <x:f>MAX(E32:P32)-A32</x:f>
        <x:v>127</x:v>
      </x:c>
      <x:c r="S32" s="86" t="str">
        <x:f>IF(AND(COUNT(E32:P32)=12,MIN(E32:P32)&gt;=A32),"PASS","FAIL")</x:f>
        <x:v>PASS</x:v>
      </x:c>
      <x:c r="T32" s="86" t="str">
        <x:f>IF((COUNTIF('LOCAL_REFERENCE'!$D32:$O32,E32)+COUNTIF('LOCAL_REFERENCE'!$D32:$O32,F32)+COUNTIF('LOCAL_REFERENCE'!$D32:$O32,G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x:f>
        <x:v>PASS</x:v>
      </x:c>
      <x:c r="U32" s="86" t="str">
        <x:f>IF((COUNTIF('VPS_REFERENCE'!$D32:$H32,E32)+COUNTIF('VPS_REFERENCE'!$D32:$H32,F32)+COUNTIF('VPS_REFERENCE'!$D32:$H32,G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x:f>
        <x:v>PASS</x:v>
      </x:c>
      <x:c r="V32" s="86" t="str">
        <x:f>IF(OR(E32=F32,E32=G32,E32=H32,E32=I32,E32=J32,E32=K32,E32=L32,E32=M32,E32=N32,E32=O32,E32=P32,F32=G32,F32=H32,F32=I32,F32=J32,F32=K32,F32=L32,F32=M32,F32=N32,F32=O32,F32=P32,G32=H32,G32=I32,G32=J32,G32=K32,G32=L32,G32=M32,G32=N32,G32=O32,G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x:f>
        <x:v>PASS</x:v>
      </x:c>
      <x:c r="W32" s="87" t="str">
        <x:f>'CRAWL_LOG'!B32</x:f>
        <x:v>Chưa chạy</x:v>
      </x:c>
      <x:c r="X32" s="95" t="str">
        <x:v>Aux-local complementary panel; benchmark gate pending</x:v>
      </x:c>
    </x:row>
    <x:row r="33">
      <x:c r="A33" s="82" t="n">
        <x:v>46296</x:v>
      </x:c>
      <x:c r="B33" s="83" t="str">
        <x:v>Thứ Năm</x:v>
      </x:c>
      <x:c r="C33" s="83" t="str">
        <x:v>Official</x:v>
      </x:c>
      <x:c r="D33" s="83" t="str">
        <x:v>00:30</x:v>
      </x:c>
      <x:c r="E33" s="84" t="n">
        <x:f>'SLOT_RULES'!$D$4+IF($A33&lt;='SLOT_RULES'!$D$4,0,INT(($A33-'SLOT_RULES'!$D$4-1)/'SLOT_RULES'!$E$4)+1)*'SLOT_RULES'!$E$4</x:f>
        <x:v>46297</x:v>
      </x:c>
      <x:c r="F33" s="84" t="n">
        <x:f>'SLOT_RULES'!$D$5+IF($A33&lt;='SLOT_RULES'!$D$5,0,INT(($A33-'SLOT_RULES'!$D$5-1)/'SLOT_RULES'!$E$5)+1)*'SLOT_RULES'!$E$5</x:f>
        <x:v>46304</x:v>
      </x:c>
      <x:c r="G33" s="84" t="n">
        <x:f>'SLOT_RULES'!$D$6+IF($A33&lt;='SLOT_RULES'!$D$6,0,INT(($A33-'SLOT_RULES'!$D$6-1)/'SLOT_RULES'!$E$6)+1)*'SLOT_RULES'!$E$6</x:f>
        <x:v>46311</x:v>
      </x:c>
      <x:c r="H33" s="84" t="n">
        <x:f>'SLOT_RULES'!$D$7+IF($A33&lt;='SLOT_RULES'!$D$7,0,INT(($A33-'SLOT_RULES'!$D$7-1)/'SLOT_RULES'!$E$7)+1)*'SLOT_RULES'!$E$7</x:f>
        <x:v>46318</x:v>
      </x:c>
      <x:c r="I33" s="84" t="n">
        <x:f>'SLOT_RULES'!$D$8+IF($A33&lt;='SLOT_RULES'!$D$8,0,INT(($A33-'SLOT_RULES'!$D$8-1)/'SLOT_RULES'!$E$8)+1)*'SLOT_RULES'!$E$8</x:f>
        <x:v>46300</x:v>
      </x:c>
      <x:c r="J33" s="84" t="n">
        <x:f>'SLOT_RULES'!$D$9+IF($A33&lt;='SLOT_RULES'!$D$9,0,INT(($A33-'SLOT_RULES'!$D$9-1)/'SLOT_RULES'!$E$9)+1)*'SLOT_RULES'!$E$9</x:f>
        <x:v>46314</x:v>
      </x:c>
      <x:c r="K33" s="84" t="n">
        <x:f>'SLOT_RULES'!$D$10+IF($A33&lt;='SLOT_RULES'!$D$10,0,INT(($A33-'SLOT_RULES'!$D$10-1)/'SLOT_RULES'!$E$10)+1)*'SLOT_RULES'!$E$10</x:f>
        <x:v>46301</x:v>
      </x:c>
      <x:c r="L33" s="84" t="n">
        <x:f>'SLOT_RULES'!$D$11+IF($A33&lt;='SLOT_RULES'!$D$11,0,INT(($A33-'SLOT_RULES'!$D$11-1)/'SLOT_RULES'!$E$11)+1)*'SLOT_RULES'!$E$11</x:f>
        <x:v>46308</x:v>
      </x:c>
      <x:c r="M33" s="84" t="n">
        <x:f>'SLOT_RULES'!$D$12+IF($A33&lt;='SLOT_RULES'!$D$12,0,INT(($A33-'SLOT_RULES'!$D$12-1)/'SLOT_RULES'!$E$12)+1)*'SLOT_RULES'!$E$12</x:f>
        <x:v>46313</x:v>
      </x:c>
      <x:c r="N33" s="84" t="n">
        <x:f>'SLOT_RULES'!$D$13+IF($A33&lt;='SLOT_RULES'!$D$13,0,INT(($A33-'SLOT_RULES'!$D$13-1)/'SLOT_RULES'!$E$13)+1)*'SLOT_RULES'!$E$13</x:f>
        <x:v>46321</x:v>
      </x:c>
      <x:c r="O33" s="84" t="n">
        <x:f>'SLOT_RULES'!$D$14+IF($A33&lt;='SLOT_RULES'!$D$14,0,INT(($A33-'SLOT_RULES'!$D$14-1)/'SLOT_RULES'!$E$14)+1)*'SLOT_RULES'!$E$14</x:f>
        <x:v>46350</x:v>
      </x:c>
      <x:c r="P33" s="84" t="n">
        <x:f>'SLOT_RULES'!$D$15+IF($A33&lt;='SLOT_RULES'!$D$15,0,INT(($A33-'SLOT_RULES'!$D$15-1)/'SLOT_RULES'!$E$15)+1)*'SLOT_RULES'!$E$15</x:f>
        <x:v>46422</x:v>
      </x:c>
      <x:c r="Q33" s="85" t="n">
        <x:f>MIN(E33:P33)-A33</x:f>
        <x:v>1</x:v>
      </x:c>
      <x:c r="R33" s="85" t="n">
        <x:f>MAX(E33:P33)-A33</x:f>
        <x:v>126</x:v>
      </x:c>
      <x:c r="S33" s="86" t="str">
        <x:f>IF(AND(COUNT(E33:P33)=12,MIN(E33:P33)&gt;=A33),"PASS","FAIL")</x:f>
        <x:v>PASS</x:v>
      </x:c>
      <x:c r="T33" s="86" t="str">
        <x:f>IF((COUNTIF('LOCAL_REFERENCE'!$D33:$O33,E33)+COUNTIF('LOCAL_REFERENCE'!$D33:$O33,F33)+COUNTIF('LOCAL_REFERENCE'!$D33:$O33,G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x:f>
        <x:v>PASS</x:v>
      </x:c>
      <x:c r="U33" s="86" t="str">
        <x:f>IF((COUNTIF('VPS_REFERENCE'!$D33:$H33,E33)+COUNTIF('VPS_REFERENCE'!$D33:$H33,F33)+COUNTIF('VPS_REFERENCE'!$D33:$H33,G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x:f>
        <x:v>PASS</x:v>
      </x:c>
      <x:c r="V33" s="86" t="str">
        <x:f>IF(OR(E33=F33,E33=G33,E33=H33,E33=I33,E33=J33,E33=K33,E33=L33,E33=M33,E33=N33,E33=O33,E33=P33,F33=G33,F33=H33,F33=I33,F33=J33,F33=K33,F33=L33,F33=M33,F33=N33,F33=O33,F33=P33,G33=H33,G33=I33,G33=J33,G33=K33,G33=L33,G33=M33,G33=N33,G33=O33,G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x:f>
        <x:v>PASS</x:v>
      </x:c>
      <x:c r="W33" s="87" t="str">
        <x:f>'CRAWL_LOG'!B33</x:f>
        <x:v>Chưa chạy</x:v>
      </x:c>
      <x:c r="X33" s="95" t="str">
        <x:v>Aux-local complementary panel; benchmark gate pending</x:v>
      </x:c>
    </x:row>
    <x:row r="34">
      <x:c r="A34" s="82" t="n">
        <x:v>46297</x:v>
      </x:c>
      <x:c r="B34" s="83" t="str">
        <x:v>Thứ Sáu</x:v>
      </x:c>
      <x:c r="C34" s="83" t="str">
        <x:v>Official</x:v>
      </x:c>
      <x:c r="D34" s="83" t="str">
        <x:v>00:30</x:v>
      </x:c>
      <x:c r="E34" s="84" t="n">
        <x:f>'SLOT_RULES'!$D$4+IF($A34&lt;='SLOT_RULES'!$D$4,0,INT(($A34-'SLOT_RULES'!$D$4-1)/'SLOT_RULES'!$E$4)+1)*'SLOT_RULES'!$E$4</x:f>
        <x:v>46297</x:v>
      </x:c>
      <x:c r="F34" s="84" t="n">
        <x:f>'SLOT_RULES'!$D$5+IF($A34&lt;='SLOT_RULES'!$D$5,0,INT(($A34-'SLOT_RULES'!$D$5-1)/'SLOT_RULES'!$E$5)+1)*'SLOT_RULES'!$E$5</x:f>
        <x:v>46304</x:v>
      </x:c>
      <x:c r="G34" s="84" t="n">
        <x:f>'SLOT_RULES'!$D$6+IF($A34&lt;='SLOT_RULES'!$D$6,0,INT(($A34-'SLOT_RULES'!$D$6-1)/'SLOT_RULES'!$E$6)+1)*'SLOT_RULES'!$E$6</x:f>
        <x:v>46311</x:v>
      </x:c>
      <x:c r="H34" s="84" t="n">
        <x:f>'SLOT_RULES'!$D$7+IF($A34&lt;='SLOT_RULES'!$D$7,0,INT(($A34-'SLOT_RULES'!$D$7-1)/'SLOT_RULES'!$E$7)+1)*'SLOT_RULES'!$E$7</x:f>
        <x:v>46318</x:v>
      </x:c>
      <x:c r="I34" s="84" t="n">
        <x:f>'SLOT_RULES'!$D$8+IF($A34&lt;='SLOT_RULES'!$D$8,0,INT(($A34-'SLOT_RULES'!$D$8-1)/'SLOT_RULES'!$E$8)+1)*'SLOT_RULES'!$E$8</x:f>
        <x:v>46300</x:v>
      </x:c>
      <x:c r="J34" s="84" t="n">
        <x:f>'SLOT_RULES'!$D$9+IF($A34&lt;='SLOT_RULES'!$D$9,0,INT(($A34-'SLOT_RULES'!$D$9-1)/'SLOT_RULES'!$E$9)+1)*'SLOT_RULES'!$E$9</x:f>
        <x:v>46314</x:v>
      </x:c>
      <x:c r="K34" s="84" t="n">
        <x:f>'SLOT_RULES'!$D$10+IF($A34&lt;='SLOT_RULES'!$D$10,0,INT(($A34-'SLOT_RULES'!$D$10-1)/'SLOT_RULES'!$E$10)+1)*'SLOT_RULES'!$E$10</x:f>
        <x:v>46301</x:v>
      </x:c>
      <x:c r="L34" s="84" t="n">
        <x:f>'SLOT_RULES'!$D$11+IF($A34&lt;='SLOT_RULES'!$D$11,0,INT(($A34-'SLOT_RULES'!$D$11-1)/'SLOT_RULES'!$E$11)+1)*'SLOT_RULES'!$E$11</x:f>
        <x:v>46308</x:v>
      </x:c>
      <x:c r="M34" s="84" t="n">
        <x:f>'SLOT_RULES'!$D$12+IF($A34&lt;='SLOT_RULES'!$D$12,0,INT(($A34-'SLOT_RULES'!$D$12-1)/'SLOT_RULES'!$E$12)+1)*'SLOT_RULES'!$E$12</x:f>
        <x:v>46313</x:v>
      </x:c>
      <x:c r="N34" s="84" t="n">
        <x:f>'SLOT_RULES'!$D$13+IF($A34&lt;='SLOT_RULES'!$D$13,0,INT(($A34-'SLOT_RULES'!$D$13-1)/'SLOT_RULES'!$E$13)+1)*'SLOT_RULES'!$E$13</x:f>
        <x:v>46321</x:v>
      </x:c>
      <x:c r="O34" s="84" t="n">
        <x:f>'SLOT_RULES'!$D$14+IF($A34&lt;='SLOT_RULES'!$D$14,0,INT(($A34-'SLOT_RULES'!$D$14-1)/'SLOT_RULES'!$E$14)+1)*'SLOT_RULES'!$E$14</x:f>
        <x:v>46350</x:v>
      </x:c>
      <x:c r="P34" s="84" t="n">
        <x:f>'SLOT_RULES'!$D$15+IF($A34&lt;='SLOT_RULES'!$D$15,0,INT(($A34-'SLOT_RULES'!$D$15-1)/'SLOT_RULES'!$E$15)+1)*'SLOT_RULES'!$E$15</x:f>
        <x:v>46422</x:v>
      </x:c>
      <x:c r="Q34" s="85" t="n">
        <x:f>MIN(E34:P34)-A34</x:f>
        <x:v>0</x:v>
      </x:c>
      <x:c r="R34" s="85" t="n">
        <x:f>MAX(E34:P34)-A34</x:f>
        <x:v>125</x:v>
      </x:c>
      <x:c r="S34" s="86" t="str">
        <x:f>IF(AND(COUNT(E34:P34)=12,MIN(E34:P34)&gt;=A34),"PASS","FAIL")</x:f>
        <x:v>PASS</x:v>
      </x:c>
      <x:c r="T34" s="86" t="str">
        <x:f>IF((COUNTIF('LOCAL_REFERENCE'!$D34:$O34,E34)+COUNTIF('LOCAL_REFERENCE'!$D34:$O34,F34)+COUNTIF('LOCAL_REFERENCE'!$D34:$O34,G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x:f>
        <x:v>PASS</x:v>
      </x:c>
      <x:c r="U34" s="86" t="str">
        <x:f>IF((COUNTIF('VPS_REFERENCE'!$D34:$H34,E34)+COUNTIF('VPS_REFERENCE'!$D34:$H34,F34)+COUNTIF('VPS_REFERENCE'!$D34:$H34,G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x:f>
        <x:v>PASS</x:v>
      </x:c>
      <x:c r="V34" s="86" t="str">
        <x:f>IF(OR(E34=F34,E34=G34,E34=H34,E34=I34,E34=J34,E34=K34,E34=L34,E34=M34,E34=N34,E34=O34,E34=P34,F34=G34,F34=H34,F34=I34,F34=J34,F34=K34,F34=L34,F34=M34,F34=N34,F34=O34,F34=P34,G34=H34,G34=I34,G34=J34,G34=K34,G34=L34,G34=M34,G34=N34,G34=O34,G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x:f>
        <x:v>PASS</x:v>
      </x:c>
      <x:c r="W34" s="87" t="str">
        <x:f>'CRAWL_LOG'!B34</x:f>
        <x:v>Chưa chạy</x:v>
      </x:c>
      <x:c r="X34" s="95" t="str">
        <x:v>Aux-local complementary panel; benchmark gate pending</x:v>
      </x:c>
    </x:row>
    <x:row r="35">
      <x:c r="A35" s="82" t="n">
        <x:v>46298</x:v>
      </x:c>
      <x:c r="B35" s="83" t="str">
        <x:v>Thứ Bảy</x:v>
      </x:c>
      <x:c r="C35" s="83" t="str">
        <x:v>Official</x:v>
      </x:c>
      <x:c r="D35" s="83" t="str">
        <x:v>00:30</x:v>
      </x:c>
      <x:c r="E35" s="84" t="n">
        <x:f>'SLOT_RULES'!$D$4+IF($A35&lt;='SLOT_RULES'!$D$4,0,INT(($A35-'SLOT_RULES'!$D$4-1)/'SLOT_RULES'!$E$4)+1)*'SLOT_RULES'!$E$4</x:f>
        <x:v>46325</x:v>
      </x:c>
      <x:c r="F35" s="84" t="n">
        <x:f>'SLOT_RULES'!$D$5+IF($A35&lt;='SLOT_RULES'!$D$5,0,INT(($A35-'SLOT_RULES'!$D$5-1)/'SLOT_RULES'!$E$5)+1)*'SLOT_RULES'!$E$5</x:f>
        <x:v>46304</x:v>
      </x:c>
      <x:c r="G35" s="84" t="n">
        <x:f>'SLOT_RULES'!$D$6+IF($A35&lt;='SLOT_RULES'!$D$6,0,INT(($A35-'SLOT_RULES'!$D$6-1)/'SLOT_RULES'!$E$6)+1)*'SLOT_RULES'!$E$6</x:f>
        <x:v>46311</x:v>
      </x:c>
      <x:c r="H35" s="84" t="n">
        <x:f>'SLOT_RULES'!$D$7+IF($A35&lt;='SLOT_RULES'!$D$7,0,INT(($A35-'SLOT_RULES'!$D$7-1)/'SLOT_RULES'!$E$7)+1)*'SLOT_RULES'!$E$7</x:f>
        <x:v>46318</x:v>
      </x:c>
      <x:c r="I35" s="84" t="n">
        <x:f>'SLOT_RULES'!$D$8+IF($A35&lt;='SLOT_RULES'!$D$8,0,INT(($A35-'SLOT_RULES'!$D$8-1)/'SLOT_RULES'!$E$8)+1)*'SLOT_RULES'!$E$8</x:f>
        <x:v>46300</x:v>
      </x:c>
      <x:c r="J35" s="84" t="n">
        <x:f>'SLOT_RULES'!$D$9+IF($A35&lt;='SLOT_RULES'!$D$9,0,INT(($A35-'SLOT_RULES'!$D$9-1)/'SLOT_RULES'!$E$9)+1)*'SLOT_RULES'!$E$9</x:f>
        <x:v>46314</x:v>
      </x:c>
      <x:c r="K35" s="84" t="n">
        <x:f>'SLOT_RULES'!$D$10+IF($A35&lt;='SLOT_RULES'!$D$10,0,INT(($A35-'SLOT_RULES'!$D$10-1)/'SLOT_RULES'!$E$10)+1)*'SLOT_RULES'!$E$10</x:f>
        <x:v>46301</x:v>
      </x:c>
      <x:c r="L35" s="84" t="n">
        <x:f>'SLOT_RULES'!$D$11+IF($A35&lt;='SLOT_RULES'!$D$11,0,INT(($A35-'SLOT_RULES'!$D$11-1)/'SLOT_RULES'!$E$11)+1)*'SLOT_RULES'!$E$11</x:f>
        <x:v>46308</x:v>
      </x:c>
      <x:c r="M35" s="84" t="n">
        <x:f>'SLOT_RULES'!$D$12+IF($A35&lt;='SLOT_RULES'!$D$12,0,INT(($A35-'SLOT_RULES'!$D$12-1)/'SLOT_RULES'!$E$12)+1)*'SLOT_RULES'!$E$12</x:f>
        <x:v>46313</x:v>
      </x:c>
      <x:c r="N35" s="84" t="n">
        <x:f>'SLOT_RULES'!$D$13+IF($A35&lt;='SLOT_RULES'!$D$13,0,INT(($A35-'SLOT_RULES'!$D$13-1)/'SLOT_RULES'!$E$13)+1)*'SLOT_RULES'!$E$13</x:f>
        <x:v>46321</x:v>
      </x:c>
      <x:c r="O35" s="84" t="n">
        <x:f>'SLOT_RULES'!$D$14+IF($A35&lt;='SLOT_RULES'!$D$14,0,INT(($A35-'SLOT_RULES'!$D$14-1)/'SLOT_RULES'!$E$14)+1)*'SLOT_RULES'!$E$14</x:f>
        <x:v>46350</x:v>
      </x:c>
      <x:c r="P35" s="84" t="n">
        <x:f>'SLOT_RULES'!$D$15+IF($A35&lt;='SLOT_RULES'!$D$15,0,INT(($A35-'SLOT_RULES'!$D$15-1)/'SLOT_RULES'!$E$15)+1)*'SLOT_RULES'!$E$15</x:f>
        <x:v>46422</x:v>
      </x:c>
      <x:c r="Q35" s="85" t="n">
        <x:f>MIN(E35:P35)-A35</x:f>
        <x:v>2</x:v>
      </x:c>
      <x:c r="R35" s="85" t="n">
        <x:f>MAX(E35:P35)-A35</x:f>
        <x:v>124</x:v>
      </x:c>
      <x:c r="S35" s="86" t="str">
        <x:f>IF(AND(COUNT(E35:P35)=12,MIN(E35:P35)&gt;=A35),"PASS","FAIL")</x:f>
        <x:v>PASS</x:v>
      </x:c>
      <x:c r="T35" s="86" t="str">
        <x:f>IF((COUNTIF('LOCAL_REFERENCE'!$D35:$O35,E35)+COUNTIF('LOCAL_REFERENCE'!$D35:$O35,F35)+COUNTIF('LOCAL_REFERENCE'!$D35:$O35,G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x:f>
        <x:v>PASS</x:v>
      </x:c>
      <x:c r="U35" s="86" t="str">
        <x:f>IF((COUNTIF('VPS_REFERENCE'!$D35:$H35,E35)+COUNTIF('VPS_REFERENCE'!$D35:$H35,F35)+COUNTIF('VPS_REFERENCE'!$D35:$H35,G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x:f>
        <x:v>PASS</x:v>
      </x:c>
      <x:c r="V35" s="86" t="str">
        <x:f>IF(OR(E35=F35,E35=G35,E35=H35,E35=I35,E35=J35,E35=K35,E35=L35,E35=M35,E35=N35,E35=O35,E35=P35,F35=G35,F35=H35,F35=I35,F35=J35,F35=K35,F35=L35,F35=M35,F35=N35,F35=O35,F35=P35,G35=H35,G35=I35,G35=J35,G35=K35,G35=L35,G35=M35,G35=N35,G35=O35,G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x:f>
        <x:v>PASS</x:v>
      </x:c>
      <x:c r="W35" s="87" t="str">
        <x:f>'CRAWL_LOG'!B35</x:f>
        <x:v>Chưa chạy</x:v>
      </x:c>
      <x:c r="X35" s="95" t="str">
        <x:v>Aux-local complementary panel; benchmark gate pending</x:v>
      </x:c>
    </x:row>
    <x:row r="36">
      <x:c r="A36" s="82" t="n">
        <x:v>46299</x:v>
      </x:c>
      <x:c r="B36" s="83" t="str">
        <x:v>Chủ Nhật</x:v>
      </x:c>
      <x:c r="C36" s="83" t="str">
        <x:v>Official</x:v>
      </x:c>
      <x:c r="D36" s="83" t="str">
        <x:v>00:30</x:v>
      </x:c>
      <x:c r="E36" s="84" t="n">
        <x:f>'SLOT_RULES'!$D$4+IF($A36&lt;='SLOT_RULES'!$D$4,0,INT(($A36-'SLOT_RULES'!$D$4-1)/'SLOT_RULES'!$E$4)+1)*'SLOT_RULES'!$E$4</x:f>
        <x:v>46325</x:v>
      </x:c>
      <x:c r="F36" s="84" t="n">
        <x:f>'SLOT_RULES'!$D$5+IF($A36&lt;='SLOT_RULES'!$D$5,0,INT(($A36-'SLOT_RULES'!$D$5-1)/'SLOT_RULES'!$E$5)+1)*'SLOT_RULES'!$E$5</x:f>
        <x:v>46304</x:v>
      </x:c>
      <x:c r="G36" s="84" t="n">
        <x:f>'SLOT_RULES'!$D$6+IF($A36&lt;='SLOT_RULES'!$D$6,0,INT(($A36-'SLOT_RULES'!$D$6-1)/'SLOT_RULES'!$E$6)+1)*'SLOT_RULES'!$E$6</x:f>
        <x:v>46311</x:v>
      </x:c>
      <x:c r="H36" s="84" t="n">
        <x:f>'SLOT_RULES'!$D$7+IF($A36&lt;='SLOT_RULES'!$D$7,0,INT(($A36-'SLOT_RULES'!$D$7-1)/'SLOT_RULES'!$E$7)+1)*'SLOT_RULES'!$E$7</x:f>
        <x:v>46318</x:v>
      </x:c>
      <x:c r="I36" s="84" t="n">
        <x:f>'SLOT_RULES'!$D$8+IF($A36&lt;='SLOT_RULES'!$D$8,0,INT(($A36-'SLOT_RULES'!$D$8-1)/'SLOT_RULES'!$E$8)+1)*'SLOT_RULES'!$E$8</x:f>
        <x:v>46300</x:v>
      </x:c>
      <x:c r="J36" s="84" t="n">
        <x:f>'SLOT_RULES'!$D$9+IF($A36&lt;='SLOT_RULES'!$D$9,0,INT(($A36-'SLOT_RULES'!$D$9-1)/'SLOT_RULES'!$E$9)+1)*'SLOT_RULES'!$E$9</x:f>
        <x:v>46314</x:v>
      </x:c>
      <x:c r="K36" s="84" t="n">
        <x:f>'SLOT_RULES'!$D$10+IF($A36&lt;='SLOT_RULES'!$D$10,0,INT(($A36-'SLOT_RULES'!$D$10-1)/'SLOT_RULES'!$E$10)+1)*'SLOT_RULES'!$E$10</x:f>
        <x:v>46301</x:v>
      </x:c>
      <x:c r="L36" s="84" t="n">
        <x:f>'SLOT_RULES'!$D$11+IF($A36&lt;='SLOT_RULES'!$D$11,0,INT(($A36-'SLOT_RULES'!$D$11-1)/'SLOT_RULES'!$E$11)+1)*'SLOT_RULES'!$E$11</x:f>
        <x:v>46308</x:v>
      </x:c>
      <x:c r="M36" s="84" t="n">
        <x:f>'SLOT_RULES'!$D$12+IF($A36&lt;='SLOT_RULES'!$D$12,0,INT(($A36-'SLOT_RULES'!$D$12-1)/'SLOT_RULES'!$E$12)+1)*'SLOT_RULES'!$E$12</x:f>
        <x:v>46313</x:v>
      </x:c>
      <x:c r="N36" s="84" t="n">
        <x:f>'SLOT_RULES'!$D$13+IF($A36&lt;='SLOT_RULES'!$D$13,0,INT(($A36-'SLOT_RULES'!$D$13-1)/'SLOT_RULES'!$E$13)+1)*'SLOT_RULES'!$E$13</x:f>
        <x:v>46321</x:v>
      </x:c>
      <x:c r="O36" s="84" t="n">
        <x:f>'SLOT_RULES'!$D$14+IF($A36&lt;='SLOT_RULES'!$D$14,0,INT(($A36-'SLOT_RULES'!$D$14-1)/'SLOT_RULES'!$E$14)+1)*'SLOT_RULES'!$E$14</x:f>
        <x:v>46350</x:v>
      </x:c>
      <x:c r="P36" s="84" t="n">
        <x:f>'SLOT_RULES'!$D$15+IF($A36&lt;='SLOT_RULES'!$D$15,0,INT(($A36-'SLOT_RULES'!$D$15-1)/'SLOT_RULES'!$E$15)+1)*'SLOT_RULES'!$E$15</x:f>
        <x:v>46422</x:v>
      </x:c>
      <x:c r="Q36" s="85" t="n">
        <x:f>MIN(E36:P36)-A36</x:f>
        <x:v>1</x:v>
      </x:c>
      <x:c r="R36" s="85" t="n">
        <x:f>MAX(E36:P36)-A36</x:f>
        <x:v>123</x:v>
      </x:c>
      <x:c r="S36" s="86" t="str">
        <x:f>IF(AND(COUNT(E36:P36)=12,MIN(E36:P36)&gt;=A36),"PASS","FAIL")</x:f>
        <x:v>PASS</x:v>
      </x:c>
      <x:c r="T36" s="86" t="str">
        <x:f>IF((COUNTIF('LOCAL_REFERENCE'!$D36:$O36,E36)+COUNTIF('LOCAL_REFERENCE'!$D36:$O36,F36)+COUNTIF('LOCAL_REFERENCE'!$D36:$O36,G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x:f>
        <x:v>PASS</x:v>
      </x:c>
      <x:c r="U36" s="86" t="str">
        <x:f>IF((COUNTIF('VPS_REFERENCE'!$D36:$H36,E36)+COUNTIF('VPS_REFERENCE'!$D36:$H36,F36)+COUNTIF('VPS_REFERENCE'!$D36:$H36,G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x:f>
        <x:v>PASS</x:v>
      </x:c>
      <x:c r="V36" s="86" t="str">
        <x:f>IF(OR(E36=F36,E36=G36,E36=H36,E36=I36,E36=J36,E36=K36,E36=L36,E36=M36,E36=N36,E36=O36,E36=P36,F36=G36,F36=H36,F36=I36,F36=J36,F36=K36,F36=L36,F36=M36,F36=N36,F36=O36,F36=P36,G36=H36,G36=I36,G36=J36,G36=K36,G36=L36,G36=M36,G36=N36,G36=O36,G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x:f>
        <x:v>PASS</x:v>
      </x:c>
      <x:c r="W36" s="87" t="str">
        <x:f>'CRAWL_LOG'!B36</x:f>
        <x:v>Chưa chạy</x:v>
      </x:c>
      <x:c r="X36" s="95" t="str">
        <x:v>Aux-local complementary panel; benchmark gate pending</x:v>
      </x:c>
    </x:row>
    <x:row r="37">
      <x:c r="A37" s="82" t="n">
        <x:v>46300</x:v>
      </x:c>
      <x:c r="B37" s="83" t="str">
        <x:v>Thứ Hai</x:v>
      </x:c>
      <x:c r="C37" s="83" t="str">
        <x:v>Official</x:v>
      </x:c>
      <x:c r="D37" s="83" t="str">
        <x:v>00:30</x:v>
      </x:c>
      <x:c r="E37" s="84" t="n">
        <x:f>'SLOT_RULES'!$D$4+IF($A37&lt;='SLOT_RULES'!$D$4,0,INT(($A37-'SLOT_RULES'!$D$4-1)/'SLOT_RULES'!$E$4)+1)*'SLOT_RULES'!$E$4</x:f>
        <x:v>46325</x:v>
      </x:c>
      <x:c r="F37" s="84" t="n">
        <x:f>'SLOT_RULES'!$D$5+IF($A37&lt;='SLOT_RULES'!$D$5,0,INT(($A37-'SLOT_RULES'!$D$5-1)/'SLOT_RULES'!$E$5)+1)*'SLOT_RULES'!$E$5</x:f>
        <x:v>46304</x:v>
      </x:c>
      <x:c r="G37" s="84" t="n">
        <x:f>'SLOT_RULES'!$D$6+IF($A37&lt;='SLOT_RULES'!$D$6,0,INT(($A37-'SLOT_RULES'!$D$6-1)/'SLOT_RULES'!$E$6)+1)*'SLOT_RULES'!$E$6</x:f>
        <x:v>46311</x:v>
      </x:c>
      <x:c r="H37" s="84" t="n">
        <x:f>'SLOT_RULES'!$D$7+IF($A37&lt;='SLOT_RULES'!$D$7,0,INT(($A37-'SLOT_RULES'!$D$7-1)/'SLOT_RULES'!$E$7)+1)*'SLOT_RULES'!$E$7</x:f>
        <x:v>46318</x:v>
      </x:c>
      <x:c r="I37" s="84" t="n">
        <x:f>'SLOT_RULES'!$D$8+IF($A37&lt;='SLOT_RULES'!$D$8,0,INT(($A37-'SLOT_RULES'!$D$8-1)/'SLOT_RULES'!$E$8)+1)*'SLOT_RULES'!$E$8</x:f>
        <x:v>46300</x:v>
      </x:c>
      <x:c r="J37" s="84" t="n">
        <x:f>'SLOT_RULES'!$D$9+IF($A37&lt;='SLOT_RULES'!$D$9,0,INT(($A37-'SLOT_RULES'!$D$9-1)/'SLOT_RULES'!$E$9)+1)*'SLOT_RULES'!$E$9</x:f>
        <x:v>46314</x:v>
      </x:c>
      <x:c r="K37" s="84" t="n">
        <x:f>'SLOT_RULES'!$D$10+IF($A37&lt;='SLOT_RULES'!$D$10,0,INT(($A37-'SLOT_RULES'!$D$10-1)/'SLOT_RULES'!$E$10)+1)*'SLOT_RULES'!$E$10</x:f>
        <x:v>46301</x:v>
      </x:c>
      <x:c r="L37" s="84" t="n">
        <x:f>'SLOT_RULES'!$D$11+IF($A37&lt;='SLOT_RULES'!$D$11,0,INT(($A37-'SLOT_RULES'!$D$11-1)/'SLOT_RULES'!$E$11)+1)*'SLOT_RULES'!$E$11</x:f>
        <x:v>46308</x:v>
      </x:c>
      <x:c r="M37" s="84" t="n">
        <x:f>'SLOT_RULES'!$D$12+IF($A37&lt;='SLOT_RULES'!$D$12,0,INT(($A37-'SLOT_RULES'!$D$12-1)/'SLOT_RULES'!$E$12)+1)*'SLOT_RULES'!$E$12</x:f>
        <x:v>46313</x:v>
      </x:c>
      <x:c r="N37" s="84" t="n">
        <x:f>'SLOT_RULES'!$D$13+IF($A37&lt;='SLOT_RULES'!$D$13,0,INT(($A37-'SLOT_RULES'!$D$13-1)/'SLOT_RULES'!$E$13)+1)*'SLOT_RULES'!$E$13</x:f>
        <x:v>46321</x:v>
      </x:c>
      <x:c r="O37" s="84" t="n">
        <x:f>'SLOT_RULES'!$D$14+IF($A37&lt;='SLOT_RULES'!$D$14,0,INT(($A37-'SLOT_RULES'!$D$14-1)/'SLOT_RULES'!$E$14)+1)*'SLOT_RULES'!$E$14</x:f>
        <x:v>46350</x:v>
      </x:c>
      <x:c r="P37" s="84" t="n">
        <x:f>'SLOT_RULES'!$D$15+IF($A37&lt;='SLOT_RULES'!$D$15,0,INT(($A37-'SLOT_RULES'!$D$15-1)/'SLOT_RULES'!$E$15)+1)*'SLOT_RULES'!$E$15</x:f>
        <x:v>46422</x:v>
      </x:c>
      <x:c r="Q37" s="85" t="n">
        <x:f>MIN(E37:P37)-A37</x:f>
        <x:v>0</x:v>
      </x:c>
      <x:c r="R37" s="85" t="n">
        <x:f>MAX(E37:P37)-A37</x:f>
        <x:v>122</x:v>
      </x:c>
      <x:c r="S37" s="86" t="str">
        <x:f>IF(AND(COUNT(E37:P37)=12,MIN(E37:P37)&gt;=A37),"PASS","FAIL")</x:f>
        <x:v>PASS</x:v>
      </x:c>
      <x:c r="T37" s="86" t="str">
        <x:f>IF((COUNTIF('LOCAL_REFERENCE'!$D37:$O37,E37)+COUNTIF('LOCAL_REFERENCE'!$D37:$O37,F37)+COUNTIF('LOCAL_REFERENCE'!$D37:$O37,G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x:f>
        <x:v>PASS</x:v>
      </x:c>
      <x:c r="U37" s="86" t="str">
        <x:f>IF((COUNTIF('VPS_REFERENCE'!$D37:$H37,E37)+COUNTIF('VPS_REFERENCE'!$D37:$H37,F37)+COUNTIF('VPS_REFERENCE'!$D37:$H37,G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x:f>
        <x:v>PASS</x:v>
      </x:c>
      <x:c r="V37" s="86" t="str">
        <x:f>IF(OR(E37=F37,E37=G37,E37=H37,E37=I37,E37=J37,E37=K37,E37=L37,E37=M37,E37=N37,E37=O37,E37=P37,F37=G37,F37=H37,F37=I37,F37=J37,F37=K37,F37=L37,F37=M37,F37=N37,F37=O37,F37=P37,G37=H37,G37=I37,G37=J37,G37=K37,G37=L37,G37=M37,G37=N37,G37=O37,G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x:f>
        <x:v>PASS</x:v>
      </x:c>
      <x:c r="W37" s="87" t="str">
        <x:f>'CRAWL_LOG'!B37</x:f>
        <x:v>Chưa chạy</x:v>
      </x:c>
      <x:c r="X37" s="95" t="str">
        <x:v>Aux-local complementary panel; benchmark gate pending</x:v>
      </x:c>
    </x:row>
    <x:row r="38">
      <x:c r="A38" s="82" t="n">
        <x:v>46301</x:v>
      </x:c>
      <x:c r="B38" s="83" t="str">
        <x:v>Thứ Ba</x:v>
      </x:c>
      <x:c r="C38" s="83" t="str">
        <x:v>Official</x:v>
      </x:c>
      <x:c r="D38" s="83" t="str">
        <x:v>00:30</x:v>
      </x:c>
      <x:c r="E38" s="84" t="n">
        <x:f>'SLOT_RULES'!$D$4+IF($A38&lt;='SLOT_RULES'!$D$4,0,INT(($A38-'SLOT_RULES'!$D$4-1)/'SLOT_RULES'!$E$4)+1)*'SLOT_RULES'!$E$4</x:f>
        <x:v>46325</x:v>
      </x:c>
      <x:c r="F38" s="84" t="n">
        <x:f>'SLOT_RULES'!$D$5+IF($A38&lt;='SLOT_RULES'!$D$5,0,INT(($A38-'SLOT_RULES'!$D$5-1)/'SLOT_RULES'!$E$5)+1)*'SLOT_RULES'!$E$5</x:f>
        <x:v>46304</x:v>
      </x:c>
      <x:c r="G38" s="84" t="n">
        <x:f>'SLOT_RULES'!$D$6+IF($A38&lt;='SLOT_RULES'!$D$6,0,INT(($A38-'SLOT_RULES'!$D$6-1)/'SLOT_RULES'!$E$6)+1)*'SLOT_RULES'!$E$6</x:f>
        <x:v>46311</x:v>
      </x:c>
      <x:c r="H38" s="84" t="n">
        <x:f>'SLOT_RULES'!$D$7+IF($A38&lt;='SLOT_RULES'!$D$7,0,INT(($A38-'SLOT_RULES'!$D$7-1)/'SLOT_RULES'!$E$7)+1)*'SLOT_RULES'!$E$7</x:f>
        <x:v>46318</x:v>
      </x:c>
      <x:c r="I38" s="84" t="n">
        <x:f>'SLOT_RULES'!$D$8+IF($A38&lt;='SLOT_RULES'!$D$8,0,INT(($A38-'SLOT_RULES'!$D$8-1)/'SLOT_RULES'!$E$8)+1)*'SLOT_RULES'!$E$8</x:f>
        <x:v>46328</x:v>
      </x:c>
      <x:c r="J38" s="84" t="n">
        <x:f>'SLOT_RULES'!$D$9+IF($A38&lt;='SLOT_RULES'!$D$9,0,INT(($A38-'SLOT_RULES'!$D$9-1)/'SLOT_RULES'!$E$9)+1)*'SLOT_RULES'!$E$9</x:f>
        <x:v>46314</x:v>
      </x:c>
      <x:c r="K38" s="84" t="n">
        <x:f>'SLOT_RULES'!$D$10+IF($A38&lt;='SLOT_RULES'!$D$10,0,INT(($A38-'SLOT_RULES'!$D$10-1)/'SLOT_RULES'!$E$10)+1)*'SLOT_RULES'!$E$10</x:f>
        <x:v>46301</x:v>
      </x:c>
      <x:c r="L38" s="84" t="n">
        <x:f>'SLOT_RULES'!$D$11+IF($A38&lt;='SLOT_RULES'!$D$11,0,INT(($A38-'SLOT_RULES'!$D$11-1)/'SLOT_RULES'!$E$11)+1)*'SLOT_RULES'!$E$11</x:f>
        <x:v>46308</x:v>
      </x:c>
      <x:c r="M38" s="84" t="n">
        <x:f>'SLOT_RULES'!$D$12+IF($A38&lt;='SLOT_RULES'!$D$12,0,INT(($A38-'SLOT_RULES'!$D$12-1)/'SLOT_RULES'!$E$12)+1)*'SLOT_RULES'!$E$12</x:f>
        <x:v>46313</x:v>
      </x:c>
      <x:c r="N38" s="84" t="n">
        <x:f>'SLOT_RULES'!$D$13+IF($A38&lt;='SLOT_RULES'!$D$13,0,INT(($A38-'SLOT_RULES'!$D$13-1)/'SLOT_RULES'!$E$13)+1)*'SLOT_RULES'!$E$13</x:f>
        <x:v>46321</x:v>
      </x:c>
      <x:c r="O38" s="84" t="n">
        <x:f>'SLOT_RULES'!$D$14+IF($A38&lt;='SLOT_RULES'!$D$14,0,INT(($A38-'SLOT_RULES'!$D$14-1)/'SLOT_RULES'!$E$14)+1)*'SLOT_RULES'!$E$14</x:f>
        <x:v>46350</x:v>
      </x:c>
      <x:c r="P38" s="84" t="n">
        <x:f>'SLOT_RULES'!$D$15+IF($A38&lt;='SLOT_RULES'!$D$15,0,INT(($A38-'SLOT_RULES'!$D$15-1)/'SLOT_RULES'!$E$15)+1)*'SLOT_RULES'!$E$15</x:f>
        <x:v>46422</x:v>
      </x:c>
      <x:c r="Q38" s="85" t="n">
        <x:f>MIN(E38:P38)-A38</x:f>
        <x:v>0</x:v>
      </x:c>
      <x:c r="R38" s="85" t="n">
        <x:f>MAX(E38:P38)-A38</x:f>
        <x:v>121</x:v>
      </x:c>
      <x:c r="S38" s="86" t="str">
        <x:f>IF(AND(COUNT(E38:P38)=12,MIN(E38:P38)&gt;=A38),"PASS","FAIL")</x:f>
        <x:v>PASS</x:v>
      </x:c>
      <x:c r="T38" s="86" t="str">
        <x:f>IF((COUNTIF('LOCAL_REFERENCE'!$D38:$O38,E38)+COUNTIF('LOCAL_REFERENCE'!$D38:$O38,F38)+COUNTIF('LOCAL_REFERENCE'!$D38:$O38,G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x:f>
        <x:v>PASS</x:v>
      </x:c>
      <x:c r="U38" s="86" t="str">
        <x:f>IF((COUNTIF('VPS_REFERENCE'!$D38:$H38,E38)+COUNTIF('VPS_REFERENCE'!$D38:$H38,F38)+COUNTIF('VPS_REFERENCE'!$D38:$H38,G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x:f>
        <x:v>PASS</x:v>
      </x:c>
      <x:c r="V38" s="86" t="str">
        <x:f>IF(OR(E38=F38,E38=G38,E38=H38,E38=I38,E38=J38,E38=K38,E38=L38,E38=M38,E38=N38,E38=O38,E38=P38,F38=G38,F38=H38,F38=I38,F38=J38,F38=K38,F38=L38,F38=M38,F38=N38,F38=O38,F38=P38,G38=H38,G38=I38,G38=J38,G38=K38,G38=L38,G38=M38,G38=N38,G38=O38,G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x:f>
        <x:v>PASS</x:v>
      </x:c>
      <x:c r="W38" s="87" t="str">
        <x:f>'CRAWL_LOG'!B38</x:f>
        <x:v>Chưa chạy</x:v>
      </x:c>
      <x:c r="X38" s="95" t="str">
        <x:v>Aux-local complementary panel; benchmark gate pending</x:v>
      </x:c>
    </x:row>
    <x:row r="39">
      <x:c r="A39" s="82" t="n">
        <x:v>46302</x:v>
      </x:c>
      <x:c r="B39" s="83" t="str">
        <x:v>Thứ Tư</x:v>
      </x:c>
      <x:c r="C39" s="83" t="str">
        <x:v>Official</x:v>
      </x:c>
      <x:c r="D39" s="83" t="str">
        <x:v>00:30</x:v>
      </x:c>
      <x:c r="E39" s="84" t="n">
        <x:f>'SLOT_RULES'!$D$4+IF($A39&lt;='SLOT_RULES'!$D$4,0,INT(($A39-'SLOT_RULES'!$D$4-1)/'SLOT_RULES'!$E$4)+1)*'SLOT_RULES'!$E$4</x:f>
        <x:v>46325</x:v>
      </x:c>
      <x:c r="F39" s="84" t="n">
        <x:f>'SLOT_RULES'!$D$5+IF($A39&lt;='SLOT_RULES'!$D$5,0,INT(($A39-'SLOT_RULES'!$D$5-1)/'SLOT_RULES'!$E$5)+1)*'SLOT_RULES'!$E$5</x:f>
        <x:v>46304</x:v>
      </x:c>
      <x:c r="G39" s="84" t="n">
        <x:f>'SLOT_RULES'!$D$6+IF($A39&lt;='SLOT_RULES'!$D$6,0,INT(($A39-'SLOT_RULES'!$D$6-1)/'SLOT_RULES'!$E$6)+1)*'SLOT_RULES'!$E$6</x:f>
        <x:v>46311</x:v>
      </x:c>
      <x:c r="H39" s="84" t="n">
        <x:f>'SLOT_RULES'!$D$7+IF($A39&lt;='SLOT_RULES'!$D$7,0,INT(($A39-'SLOT_RULES'!$D$7-1)/'SLOT_RULES'!$E$7)+1)*'SLOT_RULES'!$E$7</x:f>
        <x:v>46318</x:v>
      </x:c>
      <x:c r="I39" s="84" t="n">
        <x:f>'SLOT_RULES'!$D$8+IF($A39&lt;='SLOT_RULES'!$D$8,0,INT(($A39-'SLOT_RULES'!$D$8-1)/'SLOT_RULES'!$E$8)+1)*'SLOT_RULES'!$E$8</x:f>
        <x:v>46328</x:v>
      </x:c>
      <x:c r="J39" s="84" t="n">
        <x:f>'SLOT_RULES'!$D$9+IF($A39&lt;='SLOT_RULES'!$D$9,0,INT(($A39-'SLOT_RULES'!$D$9-1)/'SLOT_RULES'!$E$9)+1)*'SLOT_RULES'!$E$9</x:f>
        <x:v>46314</x:v>
      </x:c>
      <x:c r="K39" s="84" t="n">
        <x:f>'SLOT_RULES'!$D$10+IF($A39&lt;='SLOT_RULES'!$D$10,0,INT(($A39-'SLOT_RULES'!$D$10-1)/'SLOT_RULES'!$E$10)+1)*'SLOT_RULES'!$E$10</x:f>
        <x:v>46329</x:v>
      </x:c>
      <x:c r="L39" s="84" t="n">
        <x:f>'SLOT_RULES'!$D$11+IF($A39&lt;='SLOT_RULES'!$D$11,0,INT(($A39-'SLOT_RULES'!$D$11-1)/'SLOT_RULES'!$E$11)+1)*'SLOT_RULES'!$E$11</x:f>
        <x:v>46308</x:v>
      </x:c>
      <x:c r="M39" s="84" t="n">
        <x:f>'SLOT_RULES'!$D$12+IF($A39&lt;='SLOT_RULES'!$D$12,0,INT(($A39-'SLOT_RULES'!$D$12-1)/'SLOT_RULES'!$E$12)+1)*'SLOT_RULES'!$E$12</x:f>
        <x:v>46313</x:v>
      </x:c>
      <x:c r="N39" s="84" t="n">
        <x:f>'SLOT_RULES'!$D$13+IF($A39&lt;='SLOT_RULES'!$D$13,0,INT(($A39-'SLOT_RULES'!$D$13-1)/'SLOT_RULES'!$E$13)+1)*'SLOT_RULES'!$E$13</x:f>
        <x:v>46321</x:v>
      </x:c>
      <x:c r="O39" s="84" t="n">
        <x:f>'SLOT_RULES'!$D$14+IF($A39&lt;='SLOT_RULES'!$D$14,0,INT(($A39-'SLOT_RULES'!$D$14-1)/'SLOT_RULES'!$E$14)+1)*'SLOT_RULES'!$E$14</x:f>
        <x:v>46350</x:v>
      </x:c>
      <x:c r="P39" s="84" t="n">
        <x:f>'SLOT_RULES'!$D$15+IF($A39&lt;='SLOT_RULES'!$D$15,0,INT(($A39-'SLOT_RULES'!$D$15-1)/'SLOT_RULES'!$E$15)+1)*'SLOT_RULES'!$E$15</x:f>
        <x:v>46422</x:v>
      </x:c>
      <x:c r="Q39" s="85" t="n">
        <x:f>MIN(E39:P39)-A39</x:f>
        <x:v>2</x:v>
      </x:c>
      <x:c r="R39" s="85" t="n">
        <x:f>MAX(E39:P39)-A39</x:f>
        <x:v>120</x:v>
      </x:c>
      <x:c r="S39" s="86" t="str">
        <x:f>IF(AND(COUNT(E39:P39)=12,MIN(E39:P39)&gt;=A39),"PASS","FAIL")</x:f>
        <x:v>PASS</x:v>
      </x:c>
      <x:c r="T39" s="86" t="str">
        <x:f>IF((COUNTIF('LOCAL_REFERENCE'!$D39:$O39,E39)+COUNTIF('LOCAL_REFERENCE'!$D39:$O39,F39)+COUNTIF('LOCAL_REFERENCE'!$D39:$O39,G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x:f>
        <x:v>PASS</x:v>
      </x:c>
      <x:c r="U39" s="86" t="str">
        <x:f>IF((COUNTIF('VPS_REFERENCE'!$D39:$H39,E39)+COUNTIF('VPS_REFERENCE'!$D39:$H39,F39)+COUNTIF('VPS_REFERENCE'!$D39:$H39,G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x:f>
        <x:v>PASS</x:v>
      </x:c>
      <x:c r="V39" s="86" t="str">
        <x:f>IF(OR(E39=F39,E39=G39,E39=H39,E39=I39,E39=J39,E39=K39,E39=L39,E39=M39,E39=N39,E39=O39,E39=P39,F39=G39,F39=H39,F39=I39,F39=J39,F39=K39,F39=L39,F39=M39,F39=N39,F39=O39,F39=P39,G39=H39,G39=I39,G39=J39,G39=K39,G39=L39,G39=M39,G39=N39,G39=O39,G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x:f>
        <x:v>PASS</x:v>
      </x:c>
      <x:c r="W39" s="87" t="str">
        <x:f>'CRAWL_LOG'!B39</x:f>
        <x:v>Chưa chạy</x:v>
      </x:c>
      <x:c r="X39" s="95" t="str">
        <x:v>Aux-local complementary panel; benchmark gate pending</x:v>
      </x:c>
    </x:row>
    <x:row r="40">
      <x:c r="A40" s="82" t="n">
        <x:v>46303</x:v>
      </x:c>
      <x:c r="B40" s="83" t="str">
        <x:v>Thứ Năm</x:v>
      </x:c>
      <x:c r="C40" s="83" t="str">
        <x:v>Official</x:v>
      </x:c>
      <x:c r="D40" s="83" t="str">
        <x:v>00:30</x:v>
      </x:c>
      <x:c r="E40" s="84" t="n">
        <x:f>'SLOT_RULES'!$D$4+IF($A40&lt;='SLOT_RULES'!$D$4,0,INT(($A40-'SLOT_RULES'!$D$4-1)/'SLOT_RULES'!$E$4)+1)*'SLOT_RULES'!$E$4</x:f>
        <x:v>46325</x:v>
      </x:c>
      <x:c r="F40" s="84" t="n">
        <x:f>'SLOT_RULES'!$D$5+IF($A40&lt;='SLOT_RULES'!$D$5,0,INT(($A40-'SLOT_RULES'!$D$5-1)/'SLOT_RULES'!$E$5)+1)*'SLOT_RULES'!$E$5</x:f>
        <x:v>46304</x:v>
      </x:c>
      <x:c r="G40" s="84" t="n">
        <x:f>'SLOT_RULES'!$D$6+IF($A40&lt;='SLOT_RULES'!$D$6,0,INT(($A40-'SLOT_RULES'!$D$6-1)/'SLOT_RULES'!$E$6)+1)*'SLOT_RULES'!$E$6</x:f>
        <x:v>46311</x:v>
      </x:c>
      <x:c r="H40" s="84" t="n">
        <x:f>'SLOT_RULES'!$D$7+IF($A40&lt;='SLOT_RULES'!$D$7,0,INT(($A40-'SLOT_RULES'!$D$7-1)/'SLOT_RULES'!$E$7)+1)*'SLOT_RULES'!$E$7</x:f>
        <x:v>46318</x:v>
      </x:c>
      <x:c r="I40" s="84" t="n">
        <x:f>'SLOT_RULES'!$D$8+IF($A40&lt;='SLOT_RULES'!$D$8,0,INT(($A40-'SLOT_RULES'!$D$8-1)/'SLOT_RULES'!$E$8)+1)*'SLOT_RULES'!$E$8</x:f>
        <x:v>46328</x:v>
      </x:c>
      <x:c r="J40" s="84" t="n">
        <x:f>'SLOT_RULES'!$D$9+IF($A40&lt;='SLOT_RULES'!$D$9,0,INT(($A40-'SLOT_RULES'!$D$9-1)/'SLOT_RULES'!$E$9)+1)*'SLOT_RULES'!$E$9</x:f>
        <x:v>46314</x:v>
      </x:c>
      <x:c r="K40" s="84" t="n">
        <x:f>'SLOT_RULES'!$D$10+IF($A40&lt;='SLOT_RULES'!$D$10,0,INT(($A40-'SLOT_RULES'!$D$10-1)/'SLOT_RULES'!$E$10)+1)*'SLOT_RULES'!$E$10</x:f>
        <x:v>46329</x:v>
      </x:c>
      <x:c r="L40" s="84" t="n">
        <x:f>'SLOT_RULES'!$D$11+IF($A40&lt;='SLOT_RULES'!$D$11,0,INT(($A40-'SLOT_RULES'!$D$11-1)/'SLOT_RULES'!$E$11)+1)*'SLOT_RULES'!$E$11</x:f>
        <x:v>46308</x:v>
      </x:c>
      <x:c r="M40" s="84" t="n">
        <x:f>'SLOT_RULES'!$D$12+IF($A40&lt;='SLOT_RULES'!$D$12,0,INT(($A40-'SLOT_RULES'!$D$12-1)/'SLOT_RULES'!$E$12)+1)*'SLOT_RULES'!$E$12</x:f>
        <x:v>46313</x:v>
      </x:c>
      <x:c r="N40" s="84" t="n">
        <x:f>'SLOT_RULES'!$D$13+IF($A40&lt;='SLOT_RULES'!$D$13,0,INT(($A40-'SLOT_RULES'!$D$13-1)/'SLOT_RULES'!$E$13)+1)*'SLOT_RULES'!$E$13</x:f>
        <x:v>46321</x:v>
      </x:c>
      <x:c r="O40" s="84" t="n">
        <x:f>'SLOT_RULES'!$D$14+IF($A40&lt;='SLOT_RULES'!$D$14,0,INT(($A40-'SLOT_RULES'!$D$14-1)/'SLOT_RULES'!$E$14)+1)*'SLOT_RULES'!$E$14</x:f>
        <x:v>46350</x:v>
      </x:c>
      <x:c r="P40" s="84" t="n">
        <x:f>'SLOT_RULES'!$D$15+IF($A40&lt;='SLOT_RULES'!$D$15,0,INT(($A40-'SLOT_RULES'!$D$15-1)/'SLOT_RULES'!$E$15)+1)*'SLOT_RULES'!$E$15</x:f>
        <x:v>46422</x:v>
      </x:c>
      <x:c r="Q40" s="85" t="n">
        <x:f>MIN(E40:P40)-A40</x:f>
        <x:v>1</x:v>
      </x:c>
      <x:c r="R40" s="85" t="n">
        <x:f>MAX(E40:P40)-A40</x:f>
        <x:v>119</x:v>
      </x:c>
      <x:c r="S40" s="86" t="str">
        <x:f>IF(AND(COUNT(E40:P40)=12,MIN(E40:P40)&gt;=A40),"PASS","FAIL")</x:f>
        <x:v>PASS</x:v>
      </x:c>
      <x:c r="T40" s="86" t="str">
        <x:f>IF((COUNTIF('LOCAL_REFERENCE'!$D40:$O40,E40)+COUNTIF('LOCAL_REFERENCE'!$D40:$O40,F40)+COUNTIF('LOCAL_REFERENCE'!$D40:$O40,G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x:f>
        <x:v>PASS</x:v>
      </x:c>
      <x:c r="U40" s="86" t="str">
        <x:f>IF((COUNTIF('VPS_REFERENCE'!$D40:$H40,E40)+COUNTIF('VPS_REFERENCE'!$D40:$H40,F40)+COUNTIF('VPS_REFERENCE'!$D40:$H40,G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x:f>
        <x:v>PASS</x:v>
      </x:c>
      <x:c r="V40" s="86" t="str">
        <x:f>IF(OR(E40=F40,E40=G40,E40=H40,E40=I40,E40=J40,E40=K40,E40=L40,E40=M40,E40=N40,E40=O40,E40=P40,F40=G40,F40=H40,F40=I40,F40=J40,F40=K40,F40=L40,F40=M40,F40=N40,F40=O40,F40=P40,G40=H40,G40=I40,G40=J40,G40=K40,G40=L40,G40=M40,G40=N40,G40=O40,G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x:f>
        <x:v>PASS</x:v>
      </x:c>
      <x:c r="W40" s="87" t="str">
        <x:f>'CRAWL_LOG'!B40</x:f>
        <x:v>Chưa chạy</x:v>
      </x:c>
      <x:c r="X40" s="95" t="str">
        <x:v>Aux-local complementary panel; benchmark gate pending</x:v>
      </x:c>
    </x:row>
    <x:row r="41">
      <x:c r="A41" s="82" t="n">
        <x:v>46304</x:v>
      </x:c>
      <x:c r="B41" s="83" t="str">
        <x:v>Thứ Sáu</x:v>
      </x:c>
      <x:c r="C41" s="83" t="str">
        <x:v>Official</x:v>
      </x:c>
      <x:c r="D41" s="83" t="str">
        <x:v>00:30</x:v>
      </x:c>
      <x:c r="E41" s="84" t="n">
        <x:f>'SLOT_RULES'!$D$4+IF($A41&lt;='SLOT_RULES'!$D$4,0,INT(($A41-'SLOT_RULES'!$D$4-1)/'SLOT_RULES'!$E$4)+1)*'SLOT_RULES'!$E$4</x:f>
        <x:v>46325</x:v>
      </x:c>
      <x:c r="F41" s="84" t="n">
        <x:f>'SLOT_RULES'!$D$5+IF($A41&lt;='SLOT_RULES'!$D$5,0,INT(($A41-'SLOT_RULES'!$D$5-1)/'SLOT_RULES'!$E$5)+1)*'SLOT_RULES'!$E$5</x:f>
        <x:v>46304</x:v>
      </x:c>
      <x:c r="G41" s="84" t="n">
        <x:f>'SLOT_RULES'!$D$6+IF($A41&lt;='SLOT_RULES'!$D$6,0,INT(($A41-'SLOT_RULES'!$D$6-1)/'SLOT_RULES'!$E$6)+1)*'SLOT_RULES'!$E$6</x:f>
        <x:v>46311</x:v>
      </x:c>
      <x:c r="H41" s="84" t="n">
        <x:f>'SLOT_RULES'!$D$7+IF($A41&lt;='SLOT_RULES'!$D$7,0,INT(($A41-'SLOT_RULES'!$D$7-1)/'SLOT_RULES'!$E$7)+1)*'SLOT_RULES'!$E$7</x:f>
        <x:v>46318</x:v>
      </x:c>
      <x:c r="I41" s="84" t="n">
        <x:f>'SLOT_RULES'!$D$8+IF($A41&lt;='SLOT_RULES'!$D$8,0,INT(($A41-'SLOT_RULES'!$D$8-1)/'SLOT_RULES'!$E$8)+1)*'SLOT_RULES'!$E$8</x:f>
        <x:v>46328</x:v>
      </x:c>
      <x:c r="J41" s="84" t="n">
        <x:f>'SLOT_RULES'!$D$9+IF($A41&lt;='SLOT_RULES'!$D$9,0,INT(($A41-'SLOT_RULES'!$D$9-1)/'SLOT_RULES'!$E$9)+1)*'SLOT_RULES'!$E$9</x:f>
        <x:v>46314</x:v>
      </x:c>
      <x:c r="K41" s="84" t="n">
        <x:f>'SLOT_RULES'!$D$10+IF($A41&lt;='SLOT_RULES'!$D$10,0,INT(($A41-'SLOT_RULES'!$D$10-1)/'SLOT_RULES'!$E$10)+1)*'SLOT_RULES'!$E$10</x:f>
        <x:v>46329</x:v>
      </x:c>
      <x:c r="L41" s="84" t="n">
        <x:f>'SLOT_RULES'!$D$11+IF($A41&lt;='SLOT_RULES'!$D$11,0,INT(($A41-'SLOT_RULES'!$D$11-1)/'SLOT_RULES'!$E$11)+1)*'SLOT_RULES'!$E$11</x:f>
        <x:v>46308</x:v>
      </x:c>
      <x:c r="M41" s="84" t="n">
        <x:f>'SLOT_RULES'!$D$12+IF($A41&lt;='SLOT_RULES'!$D$12,0,INT(($A41-'SLOT_RULES'!$D$12-1)/'SLOT_RULES'!$E$12)+1)*'SLOT_RULES'!$E$12</x:f>
        <x:v>46313</x:v>
      </x:c>
      <x:c r="N41" s="84" t="n">
        <x:f>'SLOT_RULES'!$D$13+IF($A41&lt;='SLOT_RULES'!$D$13,0,INT(($A41-'SLOT_RULES'!$D$13-1)/'SLOT_RULES'!$E$13)+1)*'SLOT_RULES'!$E$13</x:f>
        <x:v>46321</x:v>
      </x:c>
      <x:c r="O41" s="84" t="n">
        <x:f>'SLOT_RULES'!$D$14+IF($A41&lt;='SLOT_RULES'!$D$14,0,INT(($A41-'SLOT_RULES'!$D$14-1)/'SLOT_RULES'!$E$14)+1)*'SLOT_RULES'!$E$14</x:f>
        <x:v>46350</x:v>
      </x:c>
      <x:c r="P41" s="84" t="n">
        <x:f>'SLOT_RULES'!$D$15+IF($A41&lt;='SLOT_RULES'!$D$15,0,INT(($A41-'SLOT_RULES'!$D$15-1)/'SLOT_RULES'!$E$15)+1)*'SLOT_RULES'!$E$15</x:f>
        <x:v>46422</x:v>
      </x:c>
      <x:c r="Q41" s="85" t="n">
        <x:f>MIN(E41:P41)-A41</x:f>
        <x:v>0</x:v>
      </x:c>
      <x:c r="R41" s="85" t="n">
        <x:f>MAX(E41:P41)-A41</x:f>
        <x:v>118</x:v>
      </x:c>
      <x:c r="S41" s="86" t="str">
        <x:f>IF(AND(COUNT(E41:P41)=12,MIN(E41:P41)&gt;=A41),"PASS","FAIL")</x:f>
        <x:v>PASS</x:v>
      </x:c>
      <x:c r="T41" s="86" t="str">
        <x:f>IF((COUNTIF('LOCAL_REFERENCE'!$D41:$O41,E41)+COUNTIF('LOCAL_REFERENCE'!$D41:$O41,F41)+COUNTIF('LOCAL_REFERENCE'!$D41:$O41,G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x:f>
        <x:v>PASS</x:v>
      </x:c>
      <x:c r="U41" s="86" t="str">
        <x:f>IF((COUNTIF('VPS_REFERENCE'!$D41:$H41,E41)+COUNTIF('VPS_REFERENCE'!$D41:$H41,F41)+COUNTIF('VPS_REFERENCE'!$D41:$H41,G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x:f>
        <x:v>PASS</x:v>
      </x:c>
      <x:c r="V41" s="86" t="str">
        <x:f>IF(OR(E41=F41,E41=G41,E41=H41,E41=I41,E41=J41,E41=K41,E41=L41,E41=M41,E41=N41,E41=O41,E41=P41,F41=G41,F41=H41,F41=I41,F41=J41,F41=K41,F41=L41,F41=M41,F41=N41,F41=O41,F41=P41,G41=H41,G41=I41,G41=J41,G41=K41,G41=L41,G41=M41,G41=N41,G41=O41,G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x:f>
        <x:v>PASS</x:v>
      </x:c>
      <x:c r="W41" s="87" t="str">
        <x:f>'CRAWL_LOG'!B41</x:f>
        <x:v>Chưa chạy</x:v>
      </x:c>
      <x:c r="X41" s="95" t="str">
        <x:v>Aux-local complementary panel; benchmark gate pending</x:v>
      </x:c>
    </x:row>
    <x:row r="42">
      <x:c r="A42" s="82" t="n">
        <x:v>46305</x:v>
      </x:c>
      <x:c r="B42" s="83" t="str">
        <x:v>Thứ Bảy</x:v>
      </x:c>
      <x:c r="C42" s="83" t="str">
        <x:v>Official</x:v>
      </x:c>
      <x:c r="D42" s="83" t="str">
        <x:v>00:30</x:v>
      </x:c>
      <x:c r="E42" s="84" t="n">
        <x:f>'SLOT_RULES'!$D$4+IF($A42&lt;='SLOT_RULES'!$D$4,0,INT(($A42-'SLOT_RULES'!$D$4-1)/'SLOT_RULES'!$E$4)+1)*'SLOT_RULES'!$E$4</x:f>
        <x:v>46325</x:v>
      </x:c>
      <x:c r="F42" s="84" t="n">
        <x:f>'SLOT_RULES'!$D$5+IF($A42&lt;='SLOT_RULES'!$D$5,0,INT(($A42-'SLOT_RULES'!$D$5-1)/'SLOT_RULES'!$E$5)+1)*'SLOT_RULES'!$E$5</x:f>
        <x:v>46332</x:v>
      </x:c>
      <x:c r="G42" s="84" t="n">
        <x:f>'SLOT_RULES'!$D$6+IF($A42&lt;='SLOT_RULES'!$D$6,0,INT(($A42-'SLOT_RULES'!$D$6-1)/'SLOT_RULES'!$E$6)+1)*'SLOT_RULES'!$E$6</x:f>
        <x:v>46311</x:v>
      </x:c>
      <x:c r="H42" s="84" t="n">
        <x:f>'SLOT_RULES'!$D$7+IF($A42&lt;='SLOT_RULES'!$D$7,0,INT(($A42-'SLOT_RULES'!$D$7-1)/'SLOT_RULES'!$E$7)+1)*'SLOT_RULES'!$E$7</x:f>
        <x:v>46318</x:v>
      </x:c>
      <x:c r="I42" s="84" t="n">
        <x:f>'SLOT_RULES'!$D$8+IF($A42&lt;='SLOT_RULES'!$D$8,0,INT(($A42-'SLOT_RULES'!$D$8-1)/'SLOT_RULES'!$E$8)+1)*'SLOT_RULES'!$E$8</x:f>
        <x:v>46328</x:v>
      </x:c>
      <x:c r="J42" s="84" t="n">
        <x:f>'SLOT_RULES'!$D$9+IF($A42&lt;='SLOT_RULES'!$D$9,0,INT(($A42-'SLOT_RULES'!$D$9-1)/'SLOT_RULES'!$E$9)+1)*'SLOT_RULES'!$E$9</x:f>
        <x:v>46314</x:v>
      </x:c>
      <x:c r="K42" s="84" t="n">
        <x:f>'SLOT_RULES'!$D$10+IF($A42&lt;='SLOT_RULES'!$D$10,0,INT(($A42-'SLOT_RULES'!$D$10-1)/'SLOT_RULES'!$E$10)+1)*'SLOT_RULES'!$E$10</x:f>
        <x:v>46329</x:v>
      </x:c>
      <x:c r="L42" s="84" t="n">
        <x:f>'SLOT_RULES'!$D$11+IF($A42&lt;='SLOT_RULES'!$D$11,0,INT(($A42-'SLOT_RULES'!$D$11-1)/'SLOT_RULES'!$E$11)+1)*'SLOT_RULES'!$E$11</x:f>
        <x:v>46308</x:v>
      </x:c>
      <x:c r="M42" s="84" t="n">
        <x:f>'SLOT_RULES'!$D$12+IF($A42&lt;='SLOT_RULES'!$D$12,0,INT(($A42-'SLOT_RULES'!$D$12-1)/'SLOT_RULES'!$E$12)+1)*'SLOT_RULES'!$E$12</x:f>
        <x:v>46313</x:v>
      </x:c>
      <x:c r="N42" s="84" t="n">
        <x:f>'SLOT_RULES'!$D$13+IF($A42&lt;='SLOT_RULES'!$D$13,0,INT(($A42-'SLOT_RULES'!$D$13-1)/'SLOT_RULES'!$E$13)+1)*'SLOT_RULES'!$E$13</x:f>
        <x:v>46321</x:v>
      </x:c>
      <x:c r="O42" s="84" t="n">
        <x:f>'SLOT_RULES'!$D$14+IF($A42&lt;='SLOT_RULES'!$D$14,0,INT(($A42-'SLOT_RULES'!$D$14-1)/'SLOT_RULES'!$E$14)+1)*'SLOT_RULES'!$E$14</x:f>
        <x:v>46350</x:v>
      </x:c>
      <x:c r="P42" s="84" t="n">
        <x:f>'SLOT_RULES'!$D$15+IF($A42&lt;='SLOT_RULES'!$D$15,0,INT(($A42-'SLOT_RULES'!$D$15-1)/'SLOT_RULES'!$E$15)+1)*'SLOT_RULES'!$E$15</x:f>
        <x:v>46422</x:v>
      </x:c>
      <x:c r="Q42" s="85" t="n">
        <x:f>MIN(E42:P42)-A42</x:f>
        <x:v>3</x:v>
      </x:c>
      <x:c r="R42" s="85" t="n">
        <x:f>MAX(E42:P42)-A42</x:f>
        <x:v>117</x:v>
      </x:c>
      <x:c r="S42" s="86" t="str">
        <x:f>IF(AND(COUNT(E42:P42)=12,MIN(E42:P42)&gt;=A42),"PASS","FAIL")</x:f>
        <x:v>PASS</x:v>
      </x:c>
      <x:c r="T42" s="86" t="str">
        <x:f>IF((COUNTIF('LOCAL_REFERENCE'!$D42:$O42,E42)+COUNTIF('LOCAL_REFERENCE'!$D42:$O42,F42)+COUNTIF('LOCAL_REFERENCE'!$D42:$O42,G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x:f>
        <x:v>PASS</x:v>
      </x:c>
      <x:c r="U42" s="86" t="str">
        <x:f>IF((COUNTIF('VPS_REFERENCE'!$D42:$H42,E42)+COUNTIF('VPS_REFERENCE'!$D42:$H42,F42)+COUNTIF('VPS_REFERENCE'!$D42:$H42,G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x:f>
        <x:v>PASS</x:v>
      </x:c>
      <x:c r="V42" s="86" t="str">
        <x:f>IF(OR(E42=F42,E42=G42,E42=H42,E42=I42,E42=J42,E42=K42,E42=L42,E42=M42,E42=N42,E42=O42,E42=P42,F42=G42,F42=H42,F42=I42,F42=J42,F42=K42,F42=L42,F42=M42,F42=N42,F42=O42,F42=P42,G42=H42,G42=I42,G42=J42,G42=K42,G42=L42,G42=M42,G42=N42,G42=O42,G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x:f>
        <x:v>PASS</x:v>
      </x:c>
      <x:c r="W42" s="87" t="str">
        <x:f>'CRAWL_LOG'!B42</x:f>
        <x:v>Chưa chạy</x:v>
      </x:c>
      <x:c r="X42" s="95" t="str">
        <x:v>Aux-local complementary panel; benchmark gate pending</x:v>
      </x:c>
    </x:row>
    <x:row r="43">
      <x:c r="A43" s="82" t="n">
        <x:v>46306</x:v>
      </x:c>
      <x:c r="B43" s="83" t="str">
        <x:v>Chủ Nhật</x:v>
      </x:c>
      <x:c r="C43" s="83" t="str">
        <x:v>Official</x:v>
      </x:c>
      <x:c r="D43" s="83" t="str">
        <x:v>00:30</x:v>
      </x:c>
      <x:c r="E43" s="84" t="n">
        <x:f>'SLOT_RULES'!$D$4+IF($A43&lt;='SLOT_RULES'!$D$4,0,INT(($A43-'SLOT_RULES'!$D$4-1)/'SLOT_RULES'!$E$4)+1)*'SLOT_RULES'!$E$4</x:f>
        <x:v>46325</x:v>
      </x:c>
      <x:c r="F43" s="84" t="n">
        <x:f>'SLOT_RULES'!$D$5+IF($A43&lt;='SLOT_RULES'!$D$5,0,INT(($A43-'SLOT_RULES'!$D$5-1)/'SLOT_RULES'!$E$5)+1)*'SLOT_RULES'!$E$5</x:f>
        <x:v>46332</x:v>
      </x:c>
      <x:c r="G43" s="84" t="n">
        <x:f>'SLOT_RULES'!$D$6+IF($A43&lt;='SLOT_RULES'!$D$6,0,INT(($A43-'SLOT_RULES'!$D$6-1)/'SLOT_RULES'!$E$6)+1)*'SLOT_RULES'!$E$6</x:f>
        <x:v>46311</x:v>
      </x:c>
      <x:c r="H43" s="84" t="n">
        <x:f>'SLOT_RULES'!$D$7+IF($A43&lt;='SLOT_RULES'!$D$7,0,INT(($A43-'SLOT_RULES'!$D$7-1)/'SLOT_RULES'!$E$7)+1)*'SLOT_RULES'!$E$7</x:f>
        <x:v>46318</x:v>
      </x:c>
      <x:c r="I43" s="84" t="n">
        <x:f>'SLOT_RULES'!$D$8+IF($A43&lt;='SLOT_RULES'!$D$8,0,INT(($A43-'SLOT_RULES'!$D$8-1)/'SLOT_RULES'!$E$8)+1)*'SLOT_RULES'!$E$8</x:f>
        <x:v>46328</x:v>
      </x:c>
      <x:c r="J43" s="84" t="n">
        <x:f>'SLOT_RULES'!$D$9+IF($A43&lt;='SLOT_RULES'!$D$9,0,INT(($A43-'SLOT_RULES'!$D$9-1)/'SLOT_RULES'!$E$9)+1)*'SLOT_RULES'!$E$9</x:f>
        <x:v>46314</x:v>
      </x:c>
      <x:c r="K43" s="84" t="n">
        <x:f>'SLOT_RULES'!$D$10+IF($A43&lt;='SLOT_RULES'!$D$10,0,INT(($A43-'SLOT_RULES'!$D$10-1)/'SLOT_RULES'!$E$10)+1)*'SLOT_RULES'!$E$10</x:f>
        <x:v>46329</x:v>
      </x:c>
      <x:c r="L43" s="84" t="n">
        <x:f>'SLOT_RULES'!$D$11+IF($A43&lt;='SLOT_RULES'!$D$11,0,INT(($A43-'SLOT_RULES'!$D$11-1)/'SLOT_RULES'!$E$11)+1)*'SLOT_RULES'!$E$11</x:f>
        <x:v>46308</x:v>
      </x:c>
      <x:c r="M43" s="84" t="n">
        <x:f>'SLOT_RULES'!$D$12+IF($A43&lt;='SLOT_RULES'!$D$12,0,INT(($A43-'SLOT_RULES'!$D$12-1)/'SLOT_RULES'!$E$12)+1)*'SLOT_RULES'!$E$12</x:f>
        <x:v>46313</x:v>
      </x:c>
      <x:c r="N43" s="84" t="n">
        <x:f>'SLOT_RULES'!$D$13+IF($A43&lt;='SLOT_RULES'!$D$13,0,INT(($A43-'SLOT_RULES'!$D$13-1)/'SLOT_RULES'!$E$13)+1)*'SLOT_RULES'!$E$13</x:f>
        <x:v>46321</x:v>
      </x:c>
      <x:c r="O43" s="84" t="n">
        <x:f>'SLOT_RULES'!$D$14+IF($A43&lt;='SLOT_RULES'!$D$14,0,INT(($A43-'SLOT_RULES'!$D$14-1)/'SLOT_RULES'!$E$14)+1)*'SLOT_RULES'!$E$14</x:f>
        <x:v>46350</x:v>
      </x:c>
      <x:c r="P43" s="84" t="n">
        <x:f>'SLOT_RULES'!$D$15+IF($A43&lt;='SLOT_RULES'!$D$15,0,INT(($A43-'SLOT_RULES'!$D$15-1)/'SLOT_RULES'!$E$15)+1)*'SLOT_RULES'!$E$15</x:f>
        <x:v>46422</x:v>
      </x:c>
      <x:c r="Q43" s="85" t="n">
        <x:f>MIN(E43:P43)-A43</x:f>
        <x:v>2</x:v>
      </x:c>
      <x:c r="R43" s="85" t="n">
        <x:f>MAX(E43:P43)-A43</x:f>
        <x:v>116</x:v>
      </x:c>
      <x:c r="S43" s="86" t="str">
        <x:f>IF(AND(COUNT(E43:P43)=12,MIN(E43:P43)&gt;=A43),"PASS","FAIL")</x:f>
        <x:v>PASS</x:v>
      </x:c>
      <x:c r="T43" s="86" t="str">
        <x:f>IF((COUNTIF('LOCAL_REFERENCE'!$D43:$O43,E43)+COUNTIF('LOCAL_REFERENCE'!$D43:$O43,F43)+COUNTIF('LOCAL_REFERENCE'!$D43:$O43,G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x:f>
        <x:v>PASS</x:v>
      </x:c>
      <x:c r="U43" s="86" t="str">
        <x:f>IF((COUNTIF('VPS_REFERENCE'!$D43:$H43,E43)+COUNTIF('VPS_REFERENCE'!$D43:$H43,F43)+COUNTIF('VPS_REFERENCE'!$D43:$H43,G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x:f>
        <x:v>PASS</x:v>
      </x:c>
      <x:c r="V43" s="86" t="str">
        <x:f>IF(OR(E43=F43,E43=G43,E43=H43,E43=I43,E43=J43,E43=K43,E43=L43,E43=M43,E43=N43,E43=O43,E43=P43,F43=G43,F43=H43,F43=I43,F43=J43,F43=K43,F43=L43,F43=M43,F43=N43,F43=O43,F43=P43,G43=H43,G43=I43,G43=J43,G43=K43,G43=L43,G43=M43,G43=N43,G43=O43,G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x:f>
        <x:v>PASS</x:v>
      </x:c>
      <x:c r="W43" s="87" t="str">
        <x:f>'CRAWL_LOG'!B43</x:f>
        <x:v>Chưa chạy</x:v>
      </x:c>
      <x:c r="X43" s="95" t="str">
        <x:v>Aux-local complementary panel; benchmark gate pending</x:v>
      </x:c>
    </x:row>
    <x:row r="44">
      <x:c r="A44" s="82" t="n">
        <x:v>46307</x:v>
      </x:c>
      <x:c r="B44" s="83" t="str">
        <x:v>Thứ Hai</x:v>
      </x:c>
      <x:c r="C44" s="83" t="str">
        <x:v>Official</x:v>
      </x:c>
      <x:c r="D44" s="83" t="str">
        <x:v>00:30</x:v>
      </x:c>
      <x:c r="E44" s="84" t="n">
        <x:f>'SLOT_RULES'!$D$4+IF($A44&lt;='SLOT_RULES'!$D$4,0,INT(($A44-'SLOT_RULES'!$D$4-1)/'SLOT_RULES'!$E$4)+1)*'SLOT_RULES'!$E$4</x:f>
        <x:v>46325</x:v>
      </x:c>
      <x:c r="F44" s="84" t="n">
        <x:f>'SLOT_RULES'!$D$5+IF($A44&lt;='SLOT_RULES'!$D$5,0,INT(($A44-'SLOT_RULES'!$D$5-1)/'SLOT_RULES'!$E$5)+1)*'SLOT_RULES'!$E$5</x:f>
        <x:v>46332</x:v>
      </x:c>
      <x:c r="G44" s="84" t="n">
        <x:f>'SLOT_RULES'!$D$6+IF($A44&lt;='SLOT_RULES'!$D$6,0,INT(($A44-'SLOT_RULES'!$D$6-1)/'SLOT_RULES'!$E$6)+1)*'SLOT_RULES'!$E$6</x:f>
        <x:v>46311</x:v>
      </x:c>
      <x:c r="H44" s="84" t="n">
        <x:f>'SLOT_RULES'!$D$7+IF($A44&lt;='SLOT_RULES'!$D$7,0,INT(($A44-'SLOT_RULES'!$D$7-1)/'SLOT_RULES'!$E$7)+1)*'SLOT_RULES'!$E$7</x:f>
        <x:v>46318</x:v>
      </x:c>
      <x:c r="I44" s="84" t="n">
        <x:f>'SLOT_RULES'!$D$8+IF($A44&lt;='SLOT_RULES'!$D$8,0,INT(($A44-'SLOT_RULES'!$D$8-1)/'SLOT_RULES'!$E$8)+1)*'SLOT_RULES'!$E$8</x:f>
        <x:v>46328</x:v>
      </x:c>
      <x:c r="J44" s="84" t="n">
        <x:f>'SLOT_RULES'!$D$9+IF($A44&lt;='SLOT_RULES'!$D$9,0,INT(($A44-'SLOT_RULES'!$D$9-1)/'SLOT_RULES'!$E$9)+1)*'SLOT_RULES'!$E$9</x:f>
        <x:v>46314</x:v>
      </x:c>
      <x:c r="K44" s="84" t="n">
        <x:f>'SLOT_RULES'!$D$10+IF($A44&lt;='SLOT_RULES'!$D$10,0,INT(($A44-'SLOT_RULES'!$D$10-1)/'SLOT_RULES'!$E$10)+1)*'SLOT_RULES'!$E$10</x:f>
        <x:v>46329</x:v>
      </x:c>
      <x:c r="L44" s="84" t="n">
        <x:f>'SLOT_RULES'!$D$11+IF($A44&lt;='SLOT_RULES'!$D$11,0,INT(($A44-'SLOT_RULES'!$D$11-1)/'SLOT_RULES'!$E$11)+1)*'SLOT_RULES'!$E$11</x:f>
        <x:v>46308</x:v>
      </x:c>
      <x:c r="M44" s="84" t="n">
        <x:f>'SLOT_RULES'!$D$12+IF($A44&lt;='SLOT_RULES'!$D$12,0,INT(($A44-'SLOT_RULES'!$D$12-1)/'SLOT_RULES'!$E$12)+1)*'SLOT_RULES'!$E$12</x:f>
        <x:v>46313</x:v>
      </x:c>
      <x:c r="N44" s="84" t="n">
        <x:f>'SLOT_RULES'!$D$13+IF($A44&lt;='SLOT_RULES'!$D$13,0,INT(($A44-'SLOT_RULES'!$D$13-1)/'SLOT_RULES'!$E$13)+1)*'SLOT_RULES'!$E$13</x:f>
        <x:v>46321</x:v>
      </x:c>
      <x:c r="O44" s="84" t="n">
        <x:f>'SLOT_RULES'!$D$14+IF($A44&lt;='SLOT_RULES'!$D$14,0,INT(($A44-'SLOT_RULES'!$D$14-1)/'SLOT_RULES'!$E$14)+1)*'SLOT_RULES'!$E$14</x:f>
        <x:v>46350</x:v>
      </x:c>
      <x:c r="P44" s="84" t="n">
        <x:f>'SLOT_RULES'!$D$15+IF($A44&lt;='SLOT_RULES'!$D$15,0,INT(($A44-'SLOT_RULES'!$D$15-1)/'SLOT_RULES'!$E$15)+1)*'SLOT_RULES'!$E$15</x:f>
        <x:v>46422</x:v>
      </x:c>
      <x:c r="Q44" s="85" t="n">
        <x:f>MIN(E44:P44)-A44</x:f>
        <x:v>1</x:v>
      </x:c>
      <x:c r="R44" s="85" t="n">
        <x:f>MAX(E44:P44)-A44</x:f>
        <x:v>115</x:v>
      </x:c>
      <x:c r="S44" s="86" t="str">
        <x:f>IF(AND(COUNT(E44:P44)=12,MIN(E44:P44)&gt;=A44),"PASS","FAIL")</x:f>
        <x:v>PASS</x:v>
      </x:c>
      <x:c r="T44" s="86" t="str">
        <x:f>IF((COUNTIF('LOCAL_REFERENCE'!$D44:$O44,E44)+COUNTIF('LOCAL_REFERENCE'!$D44:$O44,F44)+COUNTIF('LOCAL_REFERENCE'!$D44:$O44,G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x:f>
        <x:v>PASS</x:v>
      </x:c>
      <x:c r="U44" s="86" t="str">
        <x:f>IF((COUNTIF('VPS_REFERENCE'!$D44:$H44,E44)+COUNTIF('VPS_REFERENCE'!$D44:$H44,F44)+COUNTIF('VPS_REFERENCE'!$D44:$H44,G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x:f>
        <x:v>PASS</x:v>
      </x:c>
      <x:c r="V44" s="86" t="str">
        <x:f>IF(OR(E44=F44,E44=G44,E44=H44,E44=I44,E44=J44,E44=K44,E44=L44,E44=M44,E44=N44,E44=O44,E44=P44,F44=G44,F44=H44,F44=I44,F44=J44,F44=K44,F44=L44,F44=M44,F44=N44,F44=O44,F44=P44,G44=H44,G44=I44,G44=J44,G44=K44,G44=L44,G44=M44,G44=N44,G44=O44,G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x:f>
        <x:v>PASS</x:v>
      </x:c>
      <x:c r="W44" s="87" t="str">
        <x:f>'CRAWL_LOG'!B44</x:f>
        <x:v>Chưa chạy</x:v>
      </x:c>
      <x:c r="X44" s="95" t="str">
        <x:v>Aux-local complementary panel; benchmark gate pending</x:v>
      </x:c>
    </x:row>
    <x:row r="45">
      <x:c r="A45" s="82" t="n">
        <x:v>46308</x:v>
      </x:c>
      <x:c r="B45" s="83" t="str">
        <x:v>Thứ Ba</x:v>
      </x:c>
      <x:c r="C45" s="83" t="str">
        <x:v>Official</x:v>
      </x:c>
      <x:c r="D45" s="83" t="str">
        <x:v>00:30</x:v>
      </x:c>
      <x:c r="E45" s="84" t="n">
        <x:f>'SLOT_RULES'!$D$4+IF($A45&lt;='SLOT_RULES'!$D$4,0,INT(($A45-'SLOT_RULES'!$D$4-1)/'SLOT_RULES'!$E$4)+1)*'SLOT_RULES'!$E$4</x:f>
        <x:v>46325</x:v>
      </x:c>
      <x:c r="F45" s="84" t="n">
        <x:f>'SLOT_RULES'!$D$5+IF($A45&lt;='SLOT_RULES'!$D$5,0,INT(($A45-'SLOT_RULES'!$D$5-1)/'SLOT_RULES'!$E$5)+1)*'SLOT_RULES'!$E$5</x:f>
        <x:v>46332</x:v>
      </x:c>
      <x:c r="G45" s="84" t="n">
        <x:f>'SLOT_RULES'!$D$6+IF($A45&lt;='SLOT_RULES'!$D$6,0,INT(($A45-'SLOT_RULES'!$D$6-1)/'SLOT_RULES'!$E$6)+1)*'SLOT_RULES'!$E$6</x:f>
        <x:v>46311</x:v>
      </x:c>
      <x:c r="H45" s="84" t="n">
        <x:f>'SLOT_RULES'!$D$7+IF($A45&lt;='SLOT_RULES'!$D$7,0,INT(($A45-'SLOT_RULES'!$D$7-1)/'SLOT_RULES'!$E$7)+1)*'SLOT_RULES'!$E$7</x:f>
        <x:v>46318</x:v>
      </x:c>
      <x:c r="I45" s="84" t="n">
        <x:f>'SLOT_RULES'!$D$8+IF($A45&lt;='SLOT_RULES'!$D$8,0,INT(($A45-'SLOT_RULES'!$D$8-1)/'SLOT_RULES'!$E$8)+1)*'SLOT_RULES'!$E$8</x:f>
        <x:v>46328</x:v>
      </x:c>
      <x:c r="J45" s="84" t="n">
        <x:f>'SLOT_RULES'!$D$9+IF($A45&lt;='SLOT_RULES'!$D$9,0,INT(($A45-'SLOT_RULES'!$D$9-1)/'SLOT_RULES'!$E$9)+1)*'SLOT_RULES'!$E$9</x:f>
        <x:v>46314</x:v>
      </x:c>
      <x:c r="K45" s="84" t="n">
        <x:f>'SLOT_RULES'!$D$10+IF($A45&lt;='SLOT_RULES'!$D$10,0,INT(($A45-'SLOT_RULES'!$D$10-1)/'SLOT_RULES'!$E$10)+1)*'SLOT_RULES'!$E$10</x:f>
        <x:v>46329</x:v>
      </x:c>
      <x:c r="L45" s="84" t="n">
        <x:f>'SLOT_RULES'!$D$11+IF($A45&lt;='SLOT_RULES'!$D$11,0,INT(($A45-'SLOT_RULES'!$D$11-1)/'SLOT_RULES'!$E$11)+1)*'SLOT_RULES'!$E$11</x:f>
        <x:v>46308</x:v>
      </x:c>
      <x:c r="M45" s="84" t="n">
        <x:f>'SLOT_RULES'!$D$12+IF($A45&lt;='SLOT_RULES'!$D$12,0,INT(($A45-'SLOT_RULES'!$D$12-1)/'SLOT_RULES'!$E$12)+1)*'SLOT_RULES'!$E$12</x:f>
        <x:v>46313</x:v>
      </x:c>
      <x:c r="N45" s="84" t="n">
        <x:f>'SLOT_RULES'!$D$13+IF($A45&lt;='SLOT_RULES'!$D$13,0,INT(($A45-'SLOT_RULES'!$D$13-1)/'SLOT_RULES'!$E$13)+1)*'SLOT_RULES'!$E$13</x:f>
        <x:v>46321</x:v>
      </x:c>
      <x:c r="O45" s="84" t="n">
        <x:f>'SLOT_RULES'!$D$14+IF($A45&lt;='SLOT_RULES'!$D$14,0,INT(($A45-'SLOT_RULES'!$D$14-1)/'SLOT_RULES'!$E$14)+1)*'SLOT_RULES'!$E$14</x:f>
        <x:v>46350</x:v>
      </x:c>
      <x:c r="P45" s="84" t="n">
        <x:f>'SLOT_RULES'!$D$15+IF($A45&lt;='SLOT_RULES'!$D$15,0,INT(($A45-'SLOT_RULES'!$D$15-1)/'SLOT_RULES'!$E$15)+1)*'SLOT_RULES'!$E$15</x:f>
        <x:v>46422</x:v>
      </x:c>
      <x:c r="Q45" s="85" t="n">
        <x:f>MIN(E45:P45)-A45</x:f>
        <x:v>0</x:v>
      </x:c>
      <x:c r="R45" s="85" t="n">
        <x:f>MAX(E45:P45)-A45</x:f>
        <x:v>114</x:v>
      </x:c>
      <x:c r="S45" s="86" t="str">
        <x:f>IF(AND(COUNT(E45:P45)=12,MIN(E45:P45)&gt;=A45),"PASS","FAIL")</x:f>
        <x:v>PASS</x:v>
      </x:c>
      <x:c r="T45" s="86" t="str">
        <x:f>IF((COUNTIF('LOCAL_REFERENCE'!$D45:$O45,E45)+COUNTIF('LOCAL_REFERENCE'!$D45:$O45,F45)+COUNTIF('LOCAL_REFERENCE'!$D45:$O45,G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x:f>
        <x:v>PASS</x:v>
      </x:c>
      <x:c r="U45" s="86" t="str">
        <x:f>IF((COUNTIF('VPS_REFERENCE'!$D45:$H45,E45)+COUNTIF('VPS_REFERENCE'!$D45:$H45,F45)+COUNTIF('VPS_REFERENCE'!$D45:$H45,G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x:f>
        <x:v>PASS</x:v>
      </x:c>
      <x:c r="V45" s="86" t="str">
        <x:f>IF(OR(E45=F45,E45=G45,E45=H45,E45=I45,E45=J45,E45=K45,E45=L45,E45=M45,E45=N45,E45=O45,E45=P45,F45=G45,F45=H45,F45=I45,F45=J45,F45=K45,F45=L45,F45=M45,F45=N45,F45=O45,F45=P45,G45=H45,G45=I45,G45=J45,G45=K45,G45=L45,G45=M45,G45=N45,G45=O45,G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x:f>
        <x:v>PASS</x:v>
      </x:c>
      <x:c r="W45" s="87" t="str">
        <x:f>'CRAWL_LOG'!B45</x:f>
        <x:v>Chưa chạy</x:v>
      </x:c>
      <x:c r="X45" s="95" t="str">
        <x:v>Aux-local complementary panel; benchmark gate pending</x:v>
      </x:c>
    </x:row>
    <x:row r="46">
      <x:c r="A46" s="82" t="n">
        <x:v>46309</x:v>
      </x:c>
      <x:c r="B46" s="83" t="str">
        <x:v>Thứ Tư</x:v>
      </x:c>
      <x:c r="C46" s="83" t="str">
        <x:v>Official</x:v>
      </x:c>
      <x:c r="D46" s="83" t="str">
        <x:v>00:30</x:v>
      </x:c>
      <x:c r="E46" s="84" t="n">
        <x:f>'SLOT_RULES'!$D$4+IF($A46&lt;='SLOT_RULES'!$D$4,0,INT(($A46-'SLOT_RULES'!$D$4-1)/'SLOT_RULES'!$E$4)+1)*'SLOT_RULES'!$E$4</x:f>
        <x:v>46325</x:v>
      </x:c>
      <x:c r="F46" s="84" t="n">
        <x:f>'SLOT_RULES'!$D$5+IF($A46&lt;='SLOT_RULES'!$D$5,0,INT(($A46-'SLOT_RULES'!$D$5-1)/'SLOT_RULES'!$E$5)+1)*'SLOT_RULES'!$E$5</x:f>
        <x:v>46332</x:v>
      </x:c>
      <x:c r="G46" s="84" t="n">
        <x:f>'SLOT_RULES'!$D$6+IF($A46&lt;='SLOT_RULES'!$D$6,0,INT(($A46-'SLOT_RULES'!$D$6-1)/'SLOT_RULES'!$E$6)+1)*'SLOT_RULES'!$E$6</x:f>
        <x:v>46311</x:v>
      </x:c>
      <x:c r="H46" s="84" t="n">
        <x:f>'SLOT_RULES'!$D$7+IF($A46&lt;='SLOT_RULES'!$D$7,0,INT(($A46-'SLOT_RULES'!$D$7-1)/'SLOT_RULES'!$E$7)+1)*'SLOT_RULES'!$E$7</x:f>
        <x:v>46318</x:v>
      </x:c>
      <x:c r="I46" s="84" t="n">
        <x:f>'SLOT_RULES'!$D$8+IF($A46&lt;='SLOT_RULES'!$D$8,0,INT(($A46-'SLOT_RULES'!$D$8-1)/'SLOT_RULES'!$E$8)+1)*'SLOT_RULES'!$E$8</x:f>
        <x:v>46328</x:v>
      </x:c>
      <x:c r="J46" s="84" t="n">
        <x:f>'SLOT_RULES'!$D$9+IF($A46&lt;='SLOT_RULES'!$D$9,0,INT(($A46-'SLOT_RULES'!$D$9-1)/'SLOT_RULES'!$E$9)+1)*'SLOT_RULES'!$E$9</x:f>
        <x:v>46314</x:v>
      </x:c>
      <x:c r="K46" s="84" t="n">
        <x:f>'SLOT_RULES'!$D$10+IF($A46&lt;='SLOT_RULES'!$D$10,0,INT(($A46-'SLOT_RULES'!$D$10-1)/'SLOT_RULES'!$E$10)+1)*'SLOT_RULES'!$E$10</x:f>
        <x:v>46329</x:v>
      </x:c>
      <x:c r="L46" s="84" t="n">
        <x:f>'SLOT_RULES'!$D$11+IF($A46&lt;='SLOT_RULES'!$D$11,0,INT(($A46-'SLOT_RULES'!$D$11-1)/'SLOT_RULES'!$E$11)+1)*'SLOT_RULES'!$E$11</x:f>
        <x:v>46336</x:v>
      </x:c>
      <x:c r="M46" s="84" t="n">
        <x:f>'SLOT_RULES'!$D$12+IF($A46&lt;='SLOT_RULES'!$D$12,0,INT(($A46-'SLOT_RULES'!$D$12-1)/'SLOT_RULES'!$E$12)+1)*'SLOT_RULES'!$E$12</x:f>
        <x:v>46313</x:v>
      </x:c>
      <x:c r="N46" s="84" t="n">
        <x:f>'SLOT_RULES'!$D$13+IF($A46&lt;='SLOT_RULES'!$D$13,0,INT(($A46-'SLOT_RULES'!$D$13-1)/'SLOT_RULES'!$E$13)+1)*'SLOT_RULES'!$E$13</x:f>
        <x:v>46321</x:v>
      </x:c>
      <x:c r="O46" s="84" t="n">
        <x:f>'SLOT_RULES'!$D$14+IF($A46&lt;='SLOT_RULES'!$D$14,0,INT(($A46-'SLOT_RULES'!$D$14-1)/'SLOT_RULES'!$E$14)+1)*'SLOT_RULES'!$E$14</x:f>
        <x:v>46350</x:v>
      </x:c>
      <x:c r="P46" s="84" t="n">
        <x:f>'SLOT_RULES'!$D$15+IF($A46&lt;='SLOT_RULES'!$D$15,0,INT(($A46-'SLOT_RULES'!$D$15-1)/'SLOT_RULES'!$E$15)+1)*'SLOT_RULES'!$E$15</x:f>
        <x:v>46422</x:v>
      </x:c>
      <x:c r="Q46" s="85" t="n">
        <x:f>MIN(E46:P46)-A46</x:f>
        <x:v>2</x:v>
      </x:c>
      <x:c r="R46" s="85" t="n">
        <x:f>MAX(E46:P46)-A46</x:f>
        <x:v>113</x:v>
      </x:c>
      <x:c r="S46" s="86" t="str">
        <x:f>IF(AND(COUNT(E46:P46)=12,MIN(E46:P46)&gt;=A46),"PASS","FAIL")</x:f>
        <x:v>PASS</x:v>
      </x:c>
      <x:c r="T46" s="86" t="str">
        <x:f>IF((COUNTIF('LOCAL_REFERENCE'!$D46:$O46,E46)+COUNTIF('LOCAL_REFERENCE'!$D46:$O46,F46)+COUNTIF('LOCAL_REFERENCE'!$D46:$O46,G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x:f>
        <x:v>PASS</x:v>
      </x:c>
      <x:c r="U46" s="86" t="str">
        <x:f>IF((COUNTIF('VPS_REFERENCE'!$D46:$H46,E46)+COUNTIF('VPS_REFERENCE'!$D46:$H46,F46)+COUNTIF('VPS_REFERENCE'!$D46:$H46,G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x:f>
        <x:v>PASS</x:v>
      </x:c>
      <x:c r="V46" s="86" t="str">
        <x:f>IF(OR(E46=F46,E46=G46,E46=H46,E46=I46,E46=J46,E46=K46,E46=L46,E46=M46,E46=N46,E46=O46,E46=P46,F46=G46,F46=H46,F46=I46,F46=J46,F46=K46,F46=L46,F46=M46,F46=N46,F46=O46,F46=P46,G46=H46,G46=I46,G46=J46,G46=K46,G46=L46,G46=M46,G46=N46,G46=O46,G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x:f>
        <x:v>PASS</x:v>
      </x:c>
      <x:c r="W46" s="87" t="str">
        <x:f>'CRAWL_LOG'!B46</x:f>
        <x:v>Chưa chạy</x:v>
      </x:c>
      <x:c r="X46" s="95" t="str">
        <x:v>Aux-local complementary panel; benchmark gate pending</x:v>
      </x:c>
    </x:row>
    <x:row r="47">
      <x:c r="A47" s="82" t="n">
        <x:v>46310</x:v>
      </x:c>
      <x:c r="B47" s="83" t="str">
        <x:v>Thứ Năm</x:v>
      </x:c>
      <x:c r="C47" s="83" t="str">
        <x:v>Official</x:v>
      </x:c>
      <x:c r="D47" s="83" t="str">
        <x:v>00:30</x:v>
      </x:c>
      <x:c r="E47" s="84" t="n">
        <x:f>'SLOT_RULES'!$D$4+IF($A47&lt;='SLOT_RULES'!$D$4,0,INT(($A47-'SLOT_RULES'!$D$4-1)/'SLOT_RULES'!$E$4)+1)*'SLOT_RULES'!$E$4</x:f>
        <x:v>46325</x:v>
      </x:c>
      <x:c r="F47" s="84" t="n">
        <x:f>'SLOT_RULES'!$D$5+IF($A47&lt;='SLOT_RULES'!$D$5,0,INT(($A47-'SLOT_RULES'!$D$5-1)/'SLOT_RULES'!$E$5)+1)*'SLOT_RULES'!$E$5</x:f>
        <x:v>46332</x:v>
      </x:c>
      <x:c r="G47" s="84" t="n">
        <x:f>'SLOT_RULES'!$D$6+IF($A47&lt;='SLOT_RULES'!$D$6,0,INT(($A47-'SLOT_RULES'!$D$6-1)/'SLOT_RULES'!$E$6)+1)*'SLOT_RULES'!$E$6</x:f>
        <x:v>46311</x:v>
      </x:c>
      <x:c r="H47" s="84" t="n">
        <x:f>'SLOT_RULES'!$D$7+IF($A47&lt;='SLOT_RULES'!$D$7,0,INT(($A47-'SLOT_RULES'!$D$7-1)/'SLOT_RULES'!$E$7)+1)*'SLOT_RULES'!$E$7</x:f>
        <x:v>46318</x:v>
      </x:c>
      <x:c r="I47" s="84" t="n">
        <x:f>'SLOT_RULES'!$D$8+IF($A47&lt;='SLOT_RULES'!$D$8,0,INT(($A47-'SLOT_RULES'!$D$8-1)/'SLOT_RULES'!$E$8)+1)*'SLOT_RULES'!$E$8</x:f>
        <x:v>46328</x:v>
      </x:c>
      <x:c r="J47" s="84" t="n">
        <x:f>'SLOT_RULES'!$D$9+IF($A47&lt;='SLOT_RULES'!$D$9,0,INT(($A47-'SLOT_RULES'!$D$9-1)/'SLOT_RULES'!$E$9)+1)*'SLOT_RULES'!$E$9</x:f>
        <x:v>46314</x:v>
      </x:c>
      <x:c r="K47" s="84" t="n">
        <x:f>'SLOT_RULES'!$D$10+IF($A47&lt;='SLOT_RULES'!$D$10,0,INT(($A47-'SLOT_RULES'!$D$10-1)/'SLOT_RULES'!$E$10)+1)*'SLOT_RULES'!$E$10</x:f>
        <x:v>46329</x:v>
      </x:c>
      <x:c r="L47" s="84" t="n">
        <x:f>'SLOT_RULES'!$D$11+IF($A47&lt;='SLOT_RULES'!$D$11,0,INT(($A47-'SLOT_RULES'!$D$11-1)/'SLOT_RULES'!$E$11)+1)*'SLOT_RULES'!$E$11</x:f>
        <x:v>46336</x:v>
      </x:c>
      <x:c r="M47" s="84" t="n">
        <x:f>'SLOT_RULES'!$D$12+IF($A47&lt;='SLOT_RULES'!$D$12,0,INT(($A47-'SLOT_RULES'!$D$12-1)/'SLOT_RULES'!$E$12)+1)*'SLOT_RULES'!$E$12</x:f>
        <x:v>46313</x:v>
      </x:c>
      <x:c r="N47" s="84" t="n">
        <x:f>'SLOT_RULES'!$D$13+IF($A47&lt;='SLOT_RULES'!$D$13,0,INT(($A47-'SLOT_RULES'!$D$13-1)/'SLOT_RULES'!$E$13)+1)*'SLOT_RULES'!$E$13</x:f>
        <x:v>46321</x:v>
      </x:c>
      <x:c r="O47" s="84" t="n">
        <x:f>'SLOT_RULES'!$D$14+IF($A47&lt;='SLOT_RULES'!$D$14,0,INT(($A47-'SLOT_RULES'!$D$14-1)/'SLOT_RULES'!$E$14)+1)*'SLOT_RULES'!$E$14</x:f>
        <x:v>46350</x:v>
      </x:c>
      <x:c r="P47" s="84" t="n">
        <x:f>'SLOT_RULES'!$D$15+IF($A47&lt;='SLOT_RULES'!$D$15,0,INT(($A47-'SLOT_RULES'!$D$15-1)/'SLOT_RULES'!$E$15)+1)*'SLOT_RULES'!$E$15</x:f>
        <x:v>46422</x:v>
      </x:c>
      <x:c r="Q47" s="85" t="n">
        <x:f>MIN(E47:P47)-A47</x:f>
        <x:v>1</x:v>
      </x:c>
      <x:c r="R47" s="85" t="n">
        <x:f>MAX(E47:P47)-A47</x:f>
        <x:v>112</x:v>
      </x:c>
      <x:c r="S47" s="86" t="str">
        <x:f>IF(AND(COUNT(E47:P47)=12,MIN(E47:P47)&gt;=A47),"PASS","FAIL")</x:f>
        <x:v>PASS</x:v>
      </x:c>
      <x:c r="T47" s="86" t="str">
        <x:f>IF((COUNTIF('LOCAL_REFERENCE'!$D47:$O47,E47)+COUNTIF('LOCAL_REFERENCE'!$D47:$O47,F47)+COUNTIF('LOCAL_REFERENCE'!$D47:$O47,G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x:f>
        <x:v>PASS</x:v>
      </x:c>
      <x:c r="U47" s="86" t="str">
        <x:f>IF((COUNTIF('VPS_REFERENCE'!$D47:$H47,E47)+COUNTIF('VPS_REFERENCE'!$D47:$H47,F47)+COUNTIF('VPS_REFERENCE'!$D47:$H47,G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x:f>
        <x:v>PASS</x:v>
      </x:c>
      <x:c r="V47" s="86" t="str">
        <x:f>IF(OR(E47=F47,E47=G47,E47=H47,E47=I47,E47=J47,E47=K47,E47=L47,E47=M47,E47=N47,E47=O47,E47=P47,F47=G47,F47=H47,F47=I47,F47=J47,F47=K47,F47=L47,F47=M47,F47=N47,F47=O47,F47=P47,G47=H47,G47=I47,G47=J47,G47=K47,G47=L47,G47=M47,G47=N47,G47=O47,G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x:f>
        <x:v>PASS</x:v>
      </x:c>
      <x:c r="W47" s="87" t="str">
        <x:f>'CRAWL_LOG'!B47</x:f>
        <x:v>Chưa chạy</x:v>
      </x:c>
      <x:c r="X47" s="95" t="str">
        <x:v>Aux-local complementary panel; benchmark gate pending</x:v>
      </x:c>
    </x:row>
    <x:row r="48">
      <x:c r="A48" s="82" t="n">
        <x:v>46311</x:v>
      </x:c>
      <x:c r="B48" s="83" t="str">
        <x:v>Thứ Sáu</x:v>
      </x:c>
      <x:c r="C48" s="83" t="str">
        <x:v>Official</x:v>
      </x:c>
      <x:c r="D48" s="83" t="str">
        <x:v>00:30</x:v>
      </x:c>
      <x:c r="E48" s="84" t="n">
        <x:f>'SLOT_RULES'!$D$4+IF($A48&lt;='SLOT_RULES'!$D$4,0,INT(($A48-'SLOT_RULES'!$D$4-1)/'SLOT_RULES'!$E$4)+1)*'SLOT_RULES'!$E$4</x:f>
        <x:v>46325</x:v>
      </x:c>
      <x:c r="F48" s="84" t="n">
        <x:f>'SLOT_RULES'!$D$5+IF($A48&lt;='SLOT_RULES'!$D$5,0,INT(($A48-'SLOT_RULES'!$D$5-1)/'SLOT_RULES'!$E$5)+1)*'SLOT_RULES'!$E$5</x:f>
        <x:v>46332</x:v>
      </x:c>
      <x:c r="G48" s="84" t="n">
        <x:f>'SLOT_RULES'!$D$6+IF($A48&lt;='SLOT_RULES'!$D$6,0,INT(($A48-'SLOT_RULES'!$D$6-1)/'SLOT_RULES'!$E$6)+1)*'SLOT_RULES'!$E$6</x:f>
        <x:v>46311</x:v>
      </x:c>
      <x:c r="H48" s="84" t="n">
        <x:f>'SLOT_RULES'!$D$7+IF($A48&lt;='SLOT_RULES'!$D$7,0,INT(($A48-'SLOT_RULES'!$D$7-1)/'SLOT_RULES'!$E$7)+1)*'SLOT_RULES'!$E$7</x:f>
        <x:v>46318</x:v>
      </x:c>
      <x:c r="I48" s="84" t="n">
        <x:f>'SLOT_RULES'!$D$8+IF($A48&lt;='SLOT_RULES'!$D$8,0,INT(($A48-'SLOT_RULES'!$D$8-1)/'SLOT_RULES'!$E$8)+1)*'SLOT_RULES'!$E$8</x:f>
        <x:v>46328</x:v>
      </x:c>
      <x:c r="J48" s="84" t="n">
        <x:f>'SLOT_RULES'!$D$9+IF($A48&lt;='SLOT_RULES'!$D$9,0,INT(($A48-'SLOT_RULES'!$D$9-1)/'SLOT_RULES'!$E$9)+1)*'SLOT_RULES'!$E$9</x:f>
        <x:v>46314</x:v>
      </x:c>
      <x:c r="K48" s="84" t="n">
        <x:f>'SLOT_RULES'!$D$10+IF($A48&lt;='SLOT_RULES'!$D$10,0,INT(($A48-'SLOT_RULES'!$D$10-1)/'SLOT_RULES'!$E$10)+1)*'SLOT_RULES'!$E$10</x:f>
        <x:v>46329</x:v>
      </x:c>
      <x:c r="L48" s="84" t="n">
        <x:f>'SLOT_RULES'!$D$11+IF($A48&lt;='SLOT_RULES'!$D$11,0,INT(($A48-'SLOT_RULES'!$D$11-1)/'SLOT_RULES'!$E$11)+1)*'SLOT_RULES'!$E$11</x:f>
        <x:v>46336</x:v>
      </x:c>
      <x:c r="M48" s="84" t="n">
        <x:f>'SLOT_RULES'!$D$12+IF($A48&lt;='SLOT_RULES'!$D$12,0,INT(($A48-'SLOT_RULES'!$D$12-1)/'SLOT_RULES'!$E$12)+1)*'SLOT_RULES'!$E$12</x:f>
        <x:v>46313</x:v>
      </x:c>
      <x:c r="N48" s="84" t="n">
        <x:f>'SLOT_RULES'!$D$13+IF($A48&lt;='SLOT_RULES'!$D$13,0,INT(($A48-'SLOT_RULES'!$D$13-1)/'SLOT_RULES'!$E$13)+1)*'SLOT_RULES'!$E$13</x:f>
        <x:v>46321</x:v>
      </x:c>
      <x:c r="O48" s="84" t="n">
        <x:f>'SLOT_RULES'!$D$14+IF($A48&lt;='SLOT_RULES'!$D$14,0,INT(($A48-'SLOT_RULES'!$D$14-1)/'SLOT_RULES'!$E$14)+1)*'SLOT_RULES'!$E$14</x:f>
        <x:v>46350</x:v>
      </x:c>
      <x:c r="P48" s="84" t="n">
        <x:f>'SLOT_RULES'!$D$15+IF($A48&lt;='SLOT_RULES'!$D$15,0,INT(($A48-'SLOT_RULES'!$D$15-1)/'SLOT_RULES'!$E$15)+1)*'SLOT_RULES'!$E$15</x:f>
        <x:v>46422</x:v>
      </x:c>
      <x:c r="Q48" s="85" t="n">
        <x:f>MIN(E48:P48)-A48</x:f>
        <x:v>0</x:v>
      </x:c>
      <x:c r="R48" s="85" t="n">
        <x:f>MAX(E48:P48)-A48</x:f>
        <x:v>111</x:v>
      </x:c>
      <x:c r="S48" s="86" t="str">
        <x:f>IF(AND(COUNT(E48:P48)=12,MIN(E48:P48)&gt;=A48),"PASS","FAIL")</x:f>
        <x:v>PASS</x:v>
      </x:c>
      <x:c r="T48" s="86" t="str">
        <x:f>IF((COUNTIF('LOCAL_REFERENCE'!$D48:$O48,E48)+COUNTIF('LOCAL_REFERENCE'!$D48:$O48,F48)+COUNTIF('LOCAL_REFERENCE'!$D48:$O48,G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x:f>
        <x:v>PASS</x:v>
      </x:c>
      <x:c r="U48" s="86" t="str">
        <x:f>IF((COUNTIF('VPS_REFERENCE'!$D48:$H48,E48)+COUNTIF('VPS_REFERENCE'!$D48:$H48,F48)+COUNTIF('VPS_REFERENCE'!$D48:$H48,G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x:f>
        <x:v>PASS</x:v>
      </x:c>
      <x:c r="V48" s="86" t="str">
        <x:f>IF(OR(E48=F48,E48=G48,E48=H48,E48=I48,E48=J48,E48=K48,E48=L48,E48=M48,E48=N48,E48=O48,E48=P48,F48=G48,F48=H48,F48=I48,F48=J48,F48=K48,F48=L48,F48=M48,F48=N48,F48=O48,F48=P48,G48=H48,G48=I48,G48=J48,G48=K48,G48=L48,G48=M48,G48=N48,G48=O48,G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x:f>
        <x:v>PASS</x:v>
      </x:c>
      <x:c r="W48" s="87" t="str">
        <x:f>'CRAWL_LOG'!B48</x:f>
        <x:v>Chưa chạy</x:v>
      </x:c>
      <x:c r="X48" s="95" t="str">
        <x:v>Aux-local complementary panel; benchmark gate pending</x:v>
      </x:c>
    </x:row>
    <x:row r="49">
      <x:c r="A49" s="82" t="n">
        <x:v>46312</x:v>
      </x:c>
      <x:c r="B49" s="83" t="str">
        <x:v>Thứ Bảy</x:v>
      </x:c>
      <x:c r="C49" s="83" t="str">
        <x:v>Official</x:v>
      </x:c>
      <x:c r="D49" s="83" t="str">
        <x:v>00:30</x:v>
      </x:c>
      <x:c r="E49" s="84" t="n">
        <x:f>'SLOT_RULES'!$D$4+IF($A49&lt;='SLOT_RULES'!$D$4,0,INT(($A49-'SLOT_RULES'!$D$4-1)/'SLOT_RULES'!$E$4)+1)*'SLOT_RULES'!$E$4</x:f>
        <x:v>46325</x:v>
      </x:c>
      <x:c r="F49" s="84" t="n">
        <x:f>'SLOT_RULES'!$D$5+IF($A49&lt;='SLOT_RULES'!$D$5,0,INT(($A49-'SLOT_RULES'!$D$5-1)/'SLOT_RULES'!$E$5)+1)*'SLOT_RULES'!$E$5</x:f>
        <x:v>46332</x:v>
      </x:c>
      <x:c r="G49" s="84" t="n">
        <x:f>'SLOT_RULES'!$D$6+IF($A49&lt;='SLOT_RULES'!$D$6,0,INT(($A49-'SLOT_RULES'!$D$6-1)/'SLOT_RULES'!$E$6)+1)*'SLOT_RULES'!$E$6</x:f>
        <x:v>46339</x:v>
      </x:c>
      <x:c r="H49" s="84" t="n">
        <x:f>'SLOT_RULES'!$D$7+IF($A49&lt;='SLOT_RULES'!$D$7,0,INT(($A49-'SLOT_RULES'!$D$7-1)/'SLOT_RULES'!$E$7)+1)*'SLOT_RULES'!$E$7</x:f>
        <x:v>46318</x:v>
      </x:c>
      <x:c r="I49" s="84" t="n">
        <x:f>'SLOT_RULES'!$D$8+IF($A49&lt;='SLOT_RULES'!$D$8,0,INT(($A49-'SLOT_RULES'!$D$8-1)/'SLOT_RULES'!$E$8)+1)*'SLOT_RULES'!$E$8</x:f>
        <x:v>46328</x:v>
      </x:c>
      <x:c r="J49" s="84" t="n">
        <x:f>'SLOT_RULES'!$D$9+IF($A49&lt;='SLOT_RULES'!$D$9,0,INT(($A49-'SLOT_RULES'!$D$9-1)/'SLOT_RULES'!$E$9)+1)*'SLOT_RULES'!$E$9</x:f>
        <x:v>46314</x:v>
      </x:c>
      <x:c r="K49" s="84" t="n">
        <x:f>'SLOT_RULES'!$D$10+IF($A49&lt;='SLOT_RULES'!$D$10,0,INT(($A49-'SLOT_RULES'!$D$10-1)/'SLOT_RULES'!$E$10)+1)*'SLOT_RULES'!$E$10</x:f>
        <x:v>46329</x:v>
      </x:c>
      <x:c r="L49" s="84" t="n">
        <x:f>'SLOT_RULES'!$D$11+IF($A49&lt;='SLOT_RULES'!$D$11,0,INT(($A49-'SLOT_RULES'!$D$11-1)/'SLOT_RULES'!$E$11)+1)*'SLOT_RULES'!$E$11</x:f>
        <x:v>46336</x:v>
      </x:c>
      <x:c r="M49" s="84" t="n">
        <x:f>'SLOT_RULES'!$D$12+IF($A49&lt;='SLOT_RULES'!$D$12,0,INT(($A49-'SLOT_RULES'!$D$12-1)/'SLOT_RULES'!$E$12)+1)*'SLOT_RULES'!$E$12</x:f>
        <x:v>46313</x:v>
      </x:c>
      <x:c r="N49" s="84" t="n">
        <x:f>'SLOT_RULES'!$D$13+IF($A49&lt;='SLOT_RULES'!$D$13,0,INT(($A49-'SLOT_RULES'!$D$13-1)/'SLOT_RULES'!$E$13)+1)*'SLOT_RULES'!$E$13</x:f>
        <x:v>46321</x:v>
      </x:c>
      <x:c r="O49" s="84" t="n">
        <x:f>'SLOT_RULES'!$D$14+IF($A49&lt;='SLOT_RULES'!$D$14,0,INT(($A49-'SLOT_RULES'!$D$14-1)/'SLOT_RULES'!$E$14)+1)*'SLOT_RULES'!$E$14</x:f>
        <x:v>46350</x:v>
      </x:c>
      <x:c r="P49" s="84" t="n">
        <x:f>'SLOT_RULES'!$D$15+IF($A49&lt;='SLOT_RULES'!$D$15,0,INT(($A49-'SLOT_RULES'!$D$15-1)/'SLOT_RULES'!$E$15)+1)*'SLOT_RULES'!$E$15</x:f>
        <x:v>46422</x:v>
      </x:c>
      <x:c r="Q49" s="85" t="n">
        <x:f>MIN(E49:P49)-A49</x:f>
        <x:v>1</x:v>
      </x:c>
      <x:c r="R49" s="85" t="n">
        <x:f>MAX(E49:P49)-A49</x:f>
        <x:v>110</x:v>
      </x:c>
      <x:c r="S49" s="86" t="str">
        <x:f>IF(AND(COUNT(E49:P49)=12,MIN(E49:P49)&gt;=A49),"PASS","FAIL")</x:f>
        <x:v>PASS</x:v>
      </x:c>
      <x:c r="T49" s="86" t="str">
        <x:f>IF((COUNTIF('LOCAL_REFERENCE'!$D49:$O49,E49)+COUNTIF('LOCAL_REFERENCE'!$D49:$O49,F49)+COUNTIF('LOCAL_REFERENCE'!$D49:$O49,G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x:f>
        <x:v>PASS</x:v>
      </x:c>
      <x:c r="U49" s="86" t="str">
        <x:f>IF((COUNTIF('VPS_REFERENCE'!$D49:$H49,E49)+COUNTIF('VPS_REFERENCE'!$D49:$H49,F49)+COUNTIF('VPS_REFERENCE'!$D49:$H49,G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x:f>
        <x:v>PASS</x:v>
      </x:c>
      <x:c r="V49" s="86" t="str">
        <x:f>IF(OR(E49=F49,E49=G49,E49=H49,E49=I49,E49=J49,E49=K49,E49=L49,E49=M49,E49=N49,E49=O49,E49=P49,F49=G49,F49=H49,F49=I49,F49=J49,F49=K49,F49=L49,F49=M49,F49=N49,F49=O49,F49=P49,G49=H49,G49=I49,G49=J49,G49=K49,G49=L49,G49=M49,G49=N49,G49=O49,G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x:f>
        <x:v>PASS</x:v>
      </x:c>
      <x:c r="W49" s="87" t="str">
        <x:f>'CRAWL_LOG'!B49</x:f>
        <x:v>Chưa chạy</x:v>
      </x:c>
      <x:c r="X49" s="95" t="str">
        <x:v>Aux-local complementary panel; benchmark gate pending</x:v>
      </x:c>
    </x:row>
    <x:row r="50">
      <x:c r="A50" s="82" t="n">
        <x:v>46313</x:v>
      </x:c>
      <x:c r="B50" s="83" t="str">
        <x:v>Chủ Nhật</x:v>
      </x:c>
      <x:c r="C50" s="83" t="str">
        <x:v>Official</x:v>
      </x:c>
      <x:c r="D50" s="83" t="str">
        <x:v>00:30</x:v>
      </x:c>
      <x:c r="E50" s="84" t="n">
        <x:f>'SLOT_RULES'!$D$4+IF($A50&lt;='SLOT_RULES'!$D$4,0,INT(($A50-'SLOT_RULES'!$D$4-1)/'SLOT_RULES'!$E$4)+1)*'SLOT_RULES'!$E$4</x:f>
        <x:v>46325</x:v>
      </x:c>
      <x:c r="F50" s="84" t="n">
        <x:f>'SLOT_RULES'!$D$5+IF($A50&lt;='SLOT_RULES'!$D$5,0,INT(($A50-'SLOT_RULES'!$D$5-1)/'SLOT_RULES'!$E$5)+1)*'SLOT_RULES'!$E$5</x:f>
        <x:v>46332</x:v>
      </x:c>
      <x:c r="G50" s="84" t="n">
        <x:f>'SLOT_RULES'!$D$6+IF($A50&lt;='SLOT_RULES'!$D$6,0,INT(($A50-'SLOT_RULES'!$D$6-1)/'SLOT_RULES'!$E$6)+1)*'SLOT_RULES'!$E$6</x:f>
        <x:v>46339</x:v>
      </x:c>
      <x:c r="H50" s="84" t="n">
        <x:f>'SLOT_RULES'!$D$7+IF($A50&lt;='SLOT_RULES'!$D$7,0,INT(($A50-'SLOT_RULES'!$D$7-1)/'SLOT_RULES'!$E$7)+1)*'SLOT_RULES'!$E$7</x:f>
        <x:v>46318</x:v>
      </x:c>
      <x:c r="I50" s="84" t="n">
        <x:f>'SLOT_RULES'!$D$8+IF($A50&lt;='SLOT_RULES'!$D$8,0,INT(($A50-'SLOT_RULES'!$D$8-1)/'SLOT_RULES'!$E$8)+1)*'SLOT_RULES'!$E$8</x:f>
        <x:v>46328</x:v>
      </x:c>
      <x:c r="J50" s="84" t="n">
        <x:f>'SLOT_RULES'!$D$9+IF($A50&lt;='SLOT_RULES'!$D$9,0,INT(($A50-'SLOT_RULES'!$D$9-1)/'SLOT_RULES'!$E$9)+1)*'SLOT_RULES'!$E$9</x:f>
        <x:v>46314</x:v>
      </x:c>
      <x:c r="K50" s="84" t="n">
        <x:f>'SLOT_RULES'!$D$10+IF($A50&lt;='SLOT_RULES'!$D$10,0,INT(($A50-'SLOT_RULES'!$D$10-1)/'SLOT_RULES'!$E$10)+1)*'SLOT_RULES'!$E$10</x:f>
        <x:v>46329</x:v>
      </x:c>
      <x:c r="L50" s="84" t="n">
        <x:f>'SLOT_RULES'!$D$11+IF($A50&lt;='SLOT_RULES'!$D$11,0,INT(($A50-'SLOT_RULES'!$D$11-1)/'SLOT_RULES'!$E$11)+1)*'SLOT_RULES'!$E$11</x:f>
        <x:v>46336</x:v>
      </x:c>
      <x:c r="M50" s="84" t="n">
        <x:f>'SLOT_RULES'!$D$12+IF($A50&lt;='SLOT_RULES'!$D$12,0,INT(($A50-'SLOT_RULES'!$D$12-1)/'SLOT_RULES'!$E$12)+1)*'SLOT_RULES'!$E$12</x:f>
        <x:v>46313</x:v>
      </x:c>
      <x:c r="N50" s="84" t="n">
        <x:f>'SLOT_RULES'!$D$13+IF($A50&lt;='SLOT_RULES'!$D$13,0,INT(($A50-'SLOT_RULES'!$D$13-1)/'SLOT_RULES'!$E$13)+1)*'SLOT_RULES'!$E$13</x:f>
        <x:v>46321</x:v>
      </x:c>
      <x:c r="O50" s="84" t="n">
        <x:f>'SLOT_RULES'!$D$14+IF($A50&lt;='SLOT_RULES'!$D$14,0,INT(($A50-'SLOT_RULES'!$D$14-1)/'SLOT_RULES'!$E$14)+1)*'SLOT_RULES'!$E$14</x:f>
        <x:v>46350</x:v>
      </x:c>
      <x:c r="P50" s="84" t="n">
        <x:f>'SLOT_RULES'!$D$15+IF($A50&lt;='SLOT_RULES'!$D$15,0,INT(($A50-'SLOT_RULES'!$D$15-1)/'SLOT_RULES'!$E$15)+1)*'SLOT_RULES'!$E$15</x:f>
        <x:v>46422</x:v>
      </x:c>
      <x:c r="Q50" s="85" t="n">
        <x:f>MIN(E50:P50)-A50</x:f>
        <x:v>0</x:v>
      </x:c>
      <x:c r="R50" s="85" t="n">
        <x:f>MAX(E50:P50)-A50</x:f>
        <x:v>109</x:v>
      </x:c>
      <x:c r="S50" s="86" t="str">
        <x:f>IF(AND(COUNT(E50:P50)=12,MIN(E50:P50)&gt;=A50),"PASS","FAIL")</x:f>
        <x:v>PASS</x:v>
      </x:c>
      <x:c r="T50" s="86" t="str">
        <x:f>IF((COUNTIF('LOCAL_REFERENCE'!$D50:$O50,E50)+COUNTIF('LOCAL_REFERENCE'!$D50:$O50,F50)+COUNTIF('LOCAL_REFERENCE'!$D50:$O50,G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x:f>
        <x:v>PASS</x:v>
      </x:c>
      <x:c r="U50" s="86" t="str">
        <x:f>IF((COUNTIF('VPS_REFERENCE'!$D50:$H50,E50)+COUNTIF('VPS_REFERENCE'!$D50:$H50,F50)+COUNTIF('VPS_REFERENCE'!$D50:$H50,G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x:f>
        <x:v>PASS</x:v>
      </x:c>
      <x:c r="V50" s="86" t="str">
        <x:f>IF(OR(E50=F50,E50=G50,E50=H50,E50=I50,E50=J50,E50=K50,E50=L50,E50=M50,E50=N50,E50=O50,E50=P50,F50=G50,F50=H50,F50=I50,F50=J50,F50=K50,F50=L50,F50=M50,F50=N50,F50=O50,F50=P50,G50=H50,G50=I50,G50=J50,G50=K50,G50=L50,G50=M50,G50=N50,G50=O50,G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x:f>
        <x:v>PASS</x:v>
      </x:c>
      <x:c r="W50" s="87" t="str">
        <x:f>'CRAWL_LOG'!B50</x:f>
        <x:v>Chưa chạy</x:v>
      </x:c>
      <x:c r="X50" s="95" t="str">
        <x:v>Aux-local complementary panel; benchmark gate pending</x:v>
      </x:c>
    </x:row>
    <x:row r="51">
      <x:c r="A51" s="82" t="n">
        <x:v>46314</x:v>
      </x:c>
      <x:c r="B51" s="83" t="str">
        <x:v>Thứ Hai</x:v>
      </x:c>
      <x:c r="C51" s="83" t="str">
        <x:v>Official</x:v>
      </x:c>
      <x:c r="D51" s="83" t="str">
        <x:v>00:30</x:v>
      </x:c>
      <x:c r="E51" s="84" t="n">
        <x:f>'SLOT_RULES'!$D$4+IF($A51&lt;='SLOT_RULES'!$D$4,0,INT(($A51-'SLOT_RULES'!$D$4-1)/'SLOT_RULES'!$E$4)+1)*'SLOT_RULES'!$E$4</x:f>
        <x:v>46325</x:v>
      </x:c>
      <x:c r="F51" s="84" t="n">
        <x:f>'SLOT_RULES'!$D$5+IF($A51&lt;='SLOT_RULES'!$D$5,0,INT(($A51-'SLOT_RULES'!$D$5-1)/'SLOT_RULES'!$E$5)+1)*'SLOT_RULES'!$E$5</x:f>
        <x:v>46332</x:v>
      </x:c>
      <x:c r="G51" s="84" t="n">
        <x:f>'SLOT_RULES'!$D$6+IF($A51&lt;='SLOT_RULES'!$D$6,0,INT(($A51-'SLOT_RULES'!$D$6-1)/'SLOT_RULES'!$E$6)+1)*'SLOT_RULES'!$E$6</x:f>
        <x:v>46339</x:v>
      </x:c>
      <x:c r="H51" s="84" t="n">
        <x:f>'SLOT_RULES'!$D$7+IF($A51&lt;='SLOT_RULES'!$D$7,0,INT(($A51-'SLOT_RULES'!$D$7-1)/'SLOT_RULES'!$E$7)+1)*'SLOT_RULES'!$E$7</x:f>
        <x:v>46318</x:v>
      </x:c>
      <x:c r="I51" s="84" t="n">
        <x:f>'SLOT_RULES'!$D$8+IF($A51&lt;='SLOT_RULES'!$D$8,0,INT(($A51-'SLOT_RULES'!$D$8-1)/'SLOT_RULES'!$E$8)+1)*'SLOT_RULES'!$E$8</x:f>
        <x:v>46328</x:v>
      </x:c>
      <x:c r="J51" s="84" t="n">
        <x:f>'SLOT_RULES'!$D$9+IF($A51&lt;='SLOT_RULES'!$D$9,0,INT(($A51-'SLOT_RULES'!$D$9-1)/'SLOT_RULES'!$E$9)+1)*'SLOT_RULES'!$E$9</x:f>
        <x:v>46314</x:v>
      </x:c>
      <x:c r="K51" s="84" t="n">
        <x:f>'SLOT_RULES'!$D$10+IF($A51&lt;='SLOT_RULES'!$D$10,0,INT(($A51-'SLOT_RULES'!$D$10-1)/'SLOT_RULES'!$E$10)+1)*'SLOT_RULES'!$E$10</x:f>
        <x:v>46329</x:v>
      </x:c>
      <x:c r="L51" s="84" t="n">
        <x:f>'SLOT_RULES'!$D$11+IF($A51&lt;='SLOT_RULES'!$D$11,0,INT(($A51-'SLOT_RULES'!$D$11-1)/'SLOT_RULES'!$E$11)+1)*'SLOT_RULES'!$E$11</x:f>
        <x:v>46336</x:v>
      </x:c>
      <x:c r="M51" s="84" t="n">
        <x:f>'SLOT_RULES'!$D$12+IF($A51&lt;='SLOT_RULES'!$D$12,0,INT(($A51-'SLOT_RULES'!$D$12-1)/'SLOT_RULES'!$E$12)+1)*'SLOT_RULES'!$E$12</x:f>
        <x:v>46341</x:v>
      </x:c>
      <x:c r="N51" s="84" t="n">
        <x:f>'SLOT_RULES'!$D$13+IF($A51&lt;='SLOT_RULES'!$D$13,0,INT(($A51-'SLOT_RULES'!$D$13-1)/'SLOT_RULES'!$E$13)+1)*'SLOT_RULES'!$E$13</x:f>
        <x:v>46321</x:v>
      </x:c>
      <x:c r="O51" s="84" t="n">
        <x:f>'SLOT_RULES'!$D$14+IF($A51&lt;='SLOT_RULES'!$D$14,0,INT(($A51-'SLOT_RULES'!$D$14-1)/'SLOT_RULES'!$E$14)+1)*'SLOT_RULES'!$E$14</x:f>
        <x:v>46350</x:v>
      </x:c>
      <x:c r="P51" s="84" t="n">
        <x:f>'SLOT_RULES'!$D$15+IF($A51&lt;='SLOT_RULES'!$D$15,0,INT(($A51-'SLOT_RULES'!$D$15-1)/'SLOT_RULES'!$E$15)+1)*'SLOT_RULES'!$E$15</x:f>
        <x:v>46422</x:v>
      </x:c>
      <x:c r="Q51" s="85" t="n">
        <x:f>MIN(E51:P51)-A51</x:f>
        <x:v>0</x:v>
      </x:c>
      <x:c r="R51" s="85" t="n">
        <x:f>MAX(E51:P51)-A51</x:f>
        <x:v>108</x:v>
      </x:c>
      <x:c r="S51" s="86" t="str">
        <x:f>IF(AND(COUNT(E51:P51)=12,MIN(E51:P51)&gt;=A51),"PASS","FAIL")</x:f>
        <x:v>PASS</x:v>
      </x:c>
      <x:c r="T51" s="86" t="str">
        <x:f>IF((COUNTIF('LOCAL_REFERENCE'!$D51:$O51,E51)+COUNTIF('LOCAL_REFERENCE'!$D51:$O51,F51)+COUNTIF('LOCAL_REFERENCE'!$D51:$O51,G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x:f>
        <x:v>PASS</x:v>
      </x:c>
      <x:c r="U51" s="86" t="str">
        <x:f>IF((COUNTIF('VPS_REFERENCE'!$D51:$H51,E51)+COUNTIF('VPS_REFERENCE'!$D51:$H51,F51)+COUNTIF('VPS_REFERENCE'!$D51:$H51,G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x:f>
        <x:v>PASS</x:v>
      </x:c>
      <x:c r="V51" s="86" t="str">
        <x:f>IF(OR(E51=F51,E51=G51,E51=H51,E51=I51,E51=J51,E51=K51,E51=L51,E51=M51,E51=N51,E51=O51,E51=P51,F51=G51,F51=H51,F51=I51,F51=J51,F51=K51,F51=L51,F51=M51,F51=N51,F51=O51,F51=P51,G51=H51,G51=I51,G51=J51,G51=K51,G51=L51,G51=M51,G51=N51,G51=O51,G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x:f>
        <x:v>PASS</x:v>
      </x:c>
      <x:c r="W51" s="87" t="str">
        <x:f>'CRAWL_LOG'!B51</x:f>
        <x:v>Chưa chạy</x:v>
      </x:c>
      <x:c r="X51" s="95" t="str">
        <x:v>Aux-local complementary panel; benchmark gate pending</x:v>
      </x:c>
    </x:row>
    <x:row r="52">
      <x:c r="A52" s="82" t="n">
        <x:v>46315</x:v>
      </x:c>
      <x:c r="B52" s="83" t="str">
        <x:v>Thứ Ba</x:v>
      </x:c>
      <x:c r="C52" s="83" t="str">
        <x:v>Official</x:v>
      </x:c>
      <x:c r="D52" s="83" t="str">
        <x:v>00:30</x:v>
      </x:c>
      <x:c r="E52" s="84" t="n">
        <x:f>'SLOT_RULES'!$D$4+IF($A52&lt;='SLOT_RULES'!$D$4,0,INT(($A52-'SLOT_RULES'!$D$4-1)/'SLOT_RULES'!$E$4)+1)*'SLOT_RULES'!$E$4</x:f>
        <x:v>46325</x:v>
      </x:c>
      <x:c r="F52" s="84" t="n">
        <x:f>'SLOT_RULES'!$D$5+IF($A52&lt;='SLOT_RULES'!$D$5,0,INT(($A52-'SLOT_RULES'!$D$5-1)/'SLOT_RULES'!$E$5)+1)*'SLOT_RULES'!$E$5</x:f>
        <x:v>46332</x:v>
      </x:c>
      <x:c r="G52" s="84" t="n">
        <x:f>'SLOT_RULES'!$D$6+IF($A52&lt;='SLOT_RULES'!$D$6,0,INT(($A52-'SLOT_RULES'!$D$6-1)/'SLOT_RULES'!$E$6)+1)*'SLOT_RULES'!$E$6</x:f>
        <x:v>46339</x:v>
      </x:c>
      <x:c r="H52" s="84" t="n">
        <x:f>'SLOT_RULES'!$D$7+IF($A52&lt;='SLOT_RULES'!$D$7,0,INT(($A52-'SLOT_RULES'!$D$7-1)/'SLOT_RULES'!$E$7)+1)*'SLOT_RULES'!$E$7</x:f>
        <x:v>46318</x:v>
      </x:c>
      <x:c r="I52" s="84" t="n">
        <x:f>'SLOT_RULES'!$D$8+IF($A52&lt;='SLOT_RULES'!$D$8,0,INT(($A52-'SLOT_RULES'!$D$8-1)/'SLOT_RULES'!$E$8)+1)*'SLOT_RULES'!$E$8</x:f>
        <x:v>46328</x:v>
      </x:c>
      <x:c r="J52" s="84" t="n">
        <x:f>'SLOT_RULES'!$D$9+IF($A52&lt;='SLOT_RULES'!$D$9,0,INT(($A52-'SLOT_RULES'!$D$9-1)/'SLOT_RULES'!$E$9)+1)*'SLOT_RULES'!$E$9</x:f>
        <x:v>46342</x:v>
      </x:c>
      <x:c r="K52" s="84" t="n">
        <x:f>'SLOT_RULES'!$D$10+IF($A52&lt;='SLOT_RULES'!$D$10,0,INT(($A52-'SLOT_RULES'!$D$10-1)/'SLOT_RULES'!$E$10)+1)*'SLOT_RULES'!$E$10</x:f>
        <x:v>46329</x:v>
      </x:c>
      <x:c r="L52" s="84" t="n">
        <x:f>'SLOT_RULES'!$D$11+IF($A52&lt;='SLOT_RULES'!$D$11,0,INT(($A52-'SLOT_RULES'!$D$11-1)/'SLOT_RULES'!$E$11)+1)*'SLOT_RULES'!$E$11</x:f>
        <x:v>46336</x:v>
      </x:c>
      <x:c r="M52" s="84" t="n">
        <x:f>'SLOT_RULES'!$D$12+IF($A52&lt;='SLOT_RULES'!$D$12,0,INT(($A52-'SLOT_RULES'!$D$12-1)/'SLOT_RULES'!$E$12)+1)*'SLOT_RULES'!$E$12</x:f>
        <x:v>46341</x:v>
      </x:c>
      <x:c r="N52" s="84" t="n">
        <x:f>'SLOT_RULES'!$D$13+IF($A52&lt;='SLOT_RULES'!$D$13,0,INT(($A52-'SLOT_RULES'!$D$13-1)/'SLOT_RULES'!$E$13)+1)*'SLOT_RULES'!$E$13</x:f>
        <x:v>46321</x:v>
      </x:c>
      <x:c r="O52" s="84" t="n">
        <x:f>'SLOT_RULES'!$D$14+IF($A52&lt;='SLOT_RULES'!$D$14,0,INT(($A52-'SLOT_RULES'!$D$14-1)/'SLOT_RULES'!$E$14)+1)*'SLOT_RULES'!$E$14</x:f>
        <x:v>46350</x:v>
      </x:c>
      <x:c r="P52" s="84" t="n">
        <x:f>'SLOT_RULES'!$D$15+IF($A52&lt;='SLOT_RULES'!$D$15,0,INT(($A52-'SLOT_RULES'!$D$15-1)/'SLOT_RULES'!$E$15)+1)*'SLOT_RULES'!$E$15</x:f>
        <x:v>46422</x:v>
      </x:c>
      <x:c r="Q52" s="85" t="n">
        <x:f>MIN(E52:P52)-A52</x:f>
        <x:v>3</x:v>
      </x:c>
      <x:c r="R52" s="85" t="n">
        <x:f>MAX(E52:P52)-A52</x:f>
        <x:v>107</x:v>
      </x:c>
      <x:c r="S52" s="86" t="str">
        <x:f>IF(AND(COUNT(E52:P52)=12,MIN(E52:P52)&gt;=A52),"PASS","FAIL")</x:f>
        <x:v>PASS</x:v>
      </x:c>
      <x:c r="T52" s="86" t="str">
        <x:f>IF((COUNTIF('LOCAL_REFERENCE'!$D52:$O52,E52)+COUNTIF('LOCAL_REFERENCE'!$D52:$O52,F52)+COUNTIF('LOCAL_REFERENCE'!$D52:$O52,G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x:f>
        <x:v>PASS</x:v>
      </x:c>
      <x:c r="U52" s="86" t="str">
        <x:f>IF((COUNTIF('VPS_REFERENCE'!$D52:$H52,E52)+COUNTIF('VPS_REFERENCE'!$D52:$H52,F52)+COUNTIF('VPS_REFERENCE'!$D52:$H52,G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x:f>
        <x:v>PASS</x:v>
      </x:c>
      <x:c r="V52" s="86" t="str">
        <x:f>IF(OR(E52=F52,E52=G52,E52=H52,E52=I52,E52=J52,E52=K52,E52=L52,E52=M52,E52=N52,E52=O52,E52=P52,F52=G52,F52=H52,F52=I52,F52=J52,F52=K52,F52=L52,F52=M52,F52=N52,F52=O52,F52=P52,G52=H52,G52=I52,G52=J52,G52=K52,G52=L52,G52=M52,G52=N52,G52=O52,G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x:f>
        <x:v>PASS</x:v>
      </x:c>
      <x:c r="W52" s="87" t="str">
        <x:f>'CRAWL_LOG'!B52</x:f>
        <x:v>Chưa chạy</x:v>
      </x:c>
      <x:c r="X52" s="95" t="str">
        <x:v>Aux-local complementary panel; benchmark gate pending</x:v>
      </x:c>
    </x:row>
    <x:row r="53">
      <x:c r="A53" s="82" t="n">
        <x:v>46316</x:v>
      </x:c>
      <x:c r="B53" s="83" t="str">
        <x:v>Thứ Tư</x:v>
      </x:c>
      <x:c r="C53" s="83" t="str">
        <x:v>Official</x:v>
      </x:c>
      <x:c r="D53" s="83" t="str">
        <x:v>00:30</x:v>
      </x:c>
      <x:c r="E53" s="84" t="n">
        <x:f>'SLOT_RULES'!$D$4+IF($A53&lt;='SLOT_RULES'!$D$4,0,INT(($A53-'SLOT_RULES'!$D$4-1)/'SLOT_RULES'!$E$4)+1)*'SLOT_RULES'!$E$4</x:f>
        <x:v>46325</x:v>
      </x:c>
      <x:c r="F53" s="84" t="n">
        <x:f>'SLOT_RULES'!$D$5+IF($A53&lt;='SLOT_RULES'!$D$5,0,INT(($A53-'SLOT_RULES'!$D$5-1)/'SLOT_RULES'!$E$5)+1)*'SLOT_RULES'!$E$5</x:f>
        <x:v>46332</x:v>
      </x:c>
      <x:c r="G53" s="84" t="n">
        <x:f>'SLOT_RULES'!$D$6+IF($A53&lt;='SLOT_RULES'!$D$6,0,INT(($A53-'SLOT_RULES'!$D$6-1)/'SLOT_RULES'!$E$6)+1)*'SLOT_RULES'!$E$6</x:f>
        <x:v>46339</x:v>
      </x:c>
      <x:c r="H53" s="84" t="n">
        <x:f>'SLOT_RULES'!$D$7+IF($A53&lt;='SLOT_RULES'!$D$7,0,INT(($A53-'SLOT_RULES'!$D$7-1)/'SLOT_RULES'!$E$7)+1)*'SLOT_RULES'!$E$7</x:f>
        <x:v>46318</x:v>
      </x:c>
      <x:c r="I53" s="84" t="n">
        <x:f>'SLOT_RULES'!$D$8+IF($A53&lt;='SLOT_RULES'!$D$8,0,INT(($A53-'SLOT_RULES'!$D$8-1)/'SLOT_RULES'!$E$8)+1)*'SLOT_RULES'!$E$8</x:f>
        <x:v>46328</x:v>
      </x:c>
      <x:c r="J53" s="84" t="n">
        <x:f>'SLOT_RULES'!$D$9+IF($A53&lt;='SLOT_RULES'!$D$9,0,INT(($A53-'SLOT_RULES'!$D$9-1)/'SLOT_RULES'!$E$9)+1)*'SLOT_RULES'!$E$9</x:f>
        <x:v>46342</x:v>
      </x:c>
      <x:c r="K53" s="84" t="n">
        <x:f>'SLOT_RULES'!$D$10+IF($A53&lt;='SLOT_RULES'!$D$10,0,INT(($A53-'SLOT_RULES'!$D$10-1)/'SLOT_RULES'!$E$10)+1)*'SLOT_RULES'!$E$10</x:f>
        <x:v>46329</x:v>
      </x:c>
      <x:c r="L53" s="84" t="n">
        <x:f>'SLOT_RULES'!$D$11+IF($A53&lt;='SLOT_RULES'!$D$11,0,INT(($A53-'SLOT_RULES'!$D$11-1)/'SLOT_RULES'!$E$11)+1)*'SLOT_RULES'!$E$11</x:f>
        <x:v>46336</x:v>
      </x:c>
      <x:c r="M53" s="84" t="n">
        <x:f>'SLOT_RULES'!$D$12+IF($A53&lt;='SLOT_RULES'!$D$12,0,INT(($A53-'SLOT_RULES'!$D$12-1)/'SLOT_RULES'!$E$12)+1)*'SLOT_RULES'!$E$12</x:f>
        <x:v>46341</x:v>
      </x:c>
      <x:c r="N53" s="84" t="n">
        <x:f>'SLOT_RULES'!$D$13+IF($A53&lt;='SLOT_RULES'!$D$13,0,INT(($A53-'SLOT_RULES'!$D$13-1)/'SLOT_RULES'!$E$13)+1)*'SLOT_RULES'!$E$13</x:f>
        <x:v>46321</x:v>
      </x:c>
      <x:c r="O53" s="84" t="n">
        <x:f>'SLOT_RULES'!$D$14+IF($A53&lt;='SLOT_RULES'!$D$14,0,INT(($A53-'SLOT_RULES'!$D$14-1)/'SLOT_RULES'!$E$14)+1)*'SLOT_RULES'!$E$14</x:f>
        <x:v>46350</x:v>
      </x:c>
      <x:c r="P53" s="84" t="n">
        <x:f>'SLOT_RULES'!$D$15+IF($A53&lt;='SLOT_RULES'!$D$15,0,INT(($A53-'SLOT_RULES'!$D$15-1)/'SLOT_RULES'!$E$15)+1)*'SLOT_RULES'!$E$15</x:f>
        <x:v>46422</x:v>
      </x:c>
      <x:c r="Q53" s="85" t="n">
        <x:f>MIN(E53:P53)-A53</x:f>
        <x:v>2</x:v>
      </x:c>
      <x:c r="R53" s="85" t="n">
        <x:f>MAX(E53:P53)-A53</x:f>
        <x:v>106</x:v>
      </x:c>
      <x:c r="S53" s="86" t="str">
        <x:f>IF(AND(COUNT(E53:P53)=12,MIN(E53:P53)&gt;=A53),"PASS","FAIL")</x:f>
        <x:v>PASS</x:v>
      </x:c>
      <x:c r="T53" s="86" t="str">
        <x:f>IF((COUNTIF('LOCAL_REFERENCE'!$D53:$O53,E53)+COUNTIF('LOCAL_REFERENCE'!$D53:$O53,F53)+COUNTIF('LOCAL_REFERENCE'!$D53:$O53,G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x:f>
        <x:v>PASS</x:v>
      </x:c>
      <x:c r="U53" s="86" t="str">
        <x:f>IF((COUNTIF('VPS_REFERENCE'!$D53:$H53,E53)+COUNTIF('VPS_REFERENCE'!$D53:$H53,F53)+COUNTIF('VPS_REFERENCE'!$D53:$H53,G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x:f>
        <x:v>PASS</x:v>
      </x:c>
      <x:c r="V53" s="86" t="str">
        <x:f>IF(OR(E53=F53,E53=G53,E53=H53,E53=I53,E53=J53,E53=K53,E53=L53,E53=M53,E53=N53,E53=O53,E53=P53,F53=G53,F53=H53,F53=I53,F53=J53,F53=K53,F53=L53,F53=M53,F53=N53,F53=O53,F53=P53,G53=H53,G53=I53,G53=J53,G53=K53,G53=L53,G53=M53,G53=N53,G53=O53,G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x:f>
        <x:v>PASS</x:v>
      </x:c>
      <x:c r="W53" s="87" t="str">
        <x:f>'CRAWL_LOG'!B53</x:f>
        <x:v>Chưa chạy</x:v>
      </x:c>
      <x:c r="X53" s="95" t="str">
        <x:v>Aux-local complementary panel; benchmark gate pending</x:v>
      </x:c>
    </x:row>
    <x:row r="54">
      <x:c r="A54" s="82" t="n">
        <x:v>46317</x:v>
      </x:c>
      <x:c r="B54" s="83" t="str">
        <x:v>Thứ Năm</x:v>
      </x:c>
      <x:c r="C54" s="83" t="str">
        <x:v>Official</x:v>
      </x:c>
      <x:c r="D54" s="83" t="str">
        <x:v>00:30</x:v>
      </x:c>
      <x:c r="E54" s="84" t="n">
        <x:f>'SLOT_RULES'!$D$4+IF($A54&lt;='SLOT_RULES'!$D$4,0,INT(($A54-'SLOT_RULES'!$D$4-1)/'SLOT_RULES'!$E$4)+1)*'SLOT_RULES'!$E$4</x:f>
        <x:v>46325</x:v>
      </x:c>
      <x:c r="F54" s="84" t="n">
        <x:f>'SLOT_RULES'!$D$5+IF($A54&lt;='SLOT_RULES'!$D$5,0,INT(($A54-'SLOT_RULES'!$D$5-1)/'SLOT_RULES'!$E$5)+1)*'SLOT_RULES'!$E$5</x:f>
        <x:v>46332</x:v>
      </x:c>
      <x:c r="G54" s="84" t="n">
        <x:f>'SLOT_RULES'!$D$6+IF($A54&lt;='SLOT_RULES'!$D$6,0,INT(($A54-'SLOT_RULES'!$D$6-1)/'SLOT_RULES'!$E$6)+1)*'SLOT_RULES'!$E$6</x:f>
        <x:v>46339</x:v>
      </x:c>
      <x:c r="H54" s="84" t="n">
        <x:f>'SLOT_RULES'!$D$7+IF($A54&lt;='SLOT_RULES'!$D$7,0,INT(($A54-'SLOT_RULES'!$D$7-1)/'SLOT_RULES'!$E$7)+1)*'SLOT_RULES'!$E$7</x:f>
        <x:v>46318</x:v>
      </x:c>
      <x:c r="I54" s="84" t="n">
        <x:f>'SLOT_RULES'!$D$8+IF($A54&lt;='SLOT_RULES'!$D$8,0,INT(($A54-'SLOT_RULES'!$D$8-1)/'SLOT_RULES'!$E$8)+1)*'SLOT_RULES'!$E$8</x:f>
        <x:v>46328</x:v>
      </x:c>
      <x:c r="J54" s="84" t="n">
        <x:f>'SLOT_RULES'!$D$9+IF($A54&lt;='SLOT_RULES'!$D$9,0,INT(($A54-'SLOT_RULES'!$D$9-1)/'SLOT_RULES'!$E$9)+1)*'SLOT_RULES'!$E$9</x:f>
        <x:v>46342</x:v>
      </x:c>
      <x:c r="K54" s="84" t="n">
        <x:f>'SLOT_RULES'!$D$10+IF($A54&lt;='SLOT_RULES'!$D$10,0,INT(($A54-'SLOT_RULES'!$D$10-1)/'SLOT_RULES'!$E$10)+1)*'SLOT_RULES'!$E$10</x:f>
        <x:v>46329</x:v>
      </x:c>
      <x:c r="L54" s="84" t="n">
        <x:f>'SLOT_RULES'!$D$11+IF($A54&lt;='SLOT_RULES'!$D$11,0,INT(($A54-'SLOT_RULES'!$D$11-1)/'SLOT_RULES'!$E$11)+1)*'SLOT_RULES'!$E$11</x:f>
        <x:v>46336</x:v>
      </x:c>
      <x:c r="M54" s="84" t="n">
        <x:f>'SLOT_RULES'!$D$12+IF($A54&lt;='SLOT_RULES'!$D$12,0,INT(($A54-'SLOT_RULES'!$D$12-1)/'SLOT_RULES'!$E$12)+1)*'SLOT_RULES'!$E$12</x:f>
        <x:v>46341</x:v>
      </x:c>
      <x:c r="N54" s="84" t="n">
        <x:f>'SLOT_RULES'!$D$13+IF($A54&lt;='SLOT_RULES'!$D$13,0,INT(($A54-'SLOT_RULES'!$D$13-1)/'SLOT_RULES'!$E$13)+1)*'SLOT_RULES'!$E$13</x:f>
        <x:v>46321</x:v>
      </x:c>
      <x:c r="O54" s="84" t="n">
        <x:f>'SLOT_RULES'!$D$14+IF($A54&lt;='SLOT_RULES'!$D$14,0,INT(($A54-'SLOT_RULES'!$D$14-1)/'SLOT_RULES'!$E$14)+1)*'SLOT_RULES'!$E$14</x:f>
        <x:v>46350</x:v>
      </x:c>
      <x:c r="P54" s="84" t="n">
        <x:f>'SLOT_RULES'!$D$15+IF($A54&lt;='SLOT_RULES'!$D$15,0,INT(($A54-'SLOT_RULES'!$D$15-1)/'SLOT_RULES'!$E$15)+1)*'SLOT_RULES'!$E$15</x:f>
        <x:v>46422</x:v>
      </x:c>
      <x:c r="Q54" s="85" t="n">
        <x:f>MIN(E54:P54)-A54</x:f>
        <x:v>1</x:v>
      </x:c>
      <x:c r="R54" s="85" t="n">
        <x:f>MAX(E54:P54)-A54</x:f>
        <x:v>105</x:v>
      </x:c>
      <x:c r="S54" s="86" t="str">
        <x:f>IF(AND(COUNT(E54:P54)=12,MIN(E54:P54)&gt;=A54),"PASS","FAIL")</x:f>
        <x:v>PASS</x:v>
      </x:c>
      <x:c r="T54" s="86" t="str">
        <x:f>IF((COUNTIF('LOCAL_REFERENCE'!$D54:$O54,E54)+COUNTIF('LOCAL_REFERENCE'!$D54:$O54,F54)+COUNTIF('LOCAL_REFERENCE'!$D54:$O54,G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x:f>
        <x:v>PASS</x:v>
      </x:c>
      <x:c r="U54" s="86" t="str">
        <x:f>IF((COUNTIF('VPS_REFERENCE'!$D54:$H54,E54)+COUNTIF('VPS_REFERENCE'!$D54:$H54,F54)+COUNTIF('VPS_REFERENCE'!$D54:$H54,G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x:f>
        <x:v>PASS</x:v>
      </x:c>
      <x:c r="V54" s="86" t="str">
        <x:f>IF(OR(E54=F54,E54=G54,E54=H54,E54=I54,E54=J54,E54=K54,E54=L54,E54=M54,E54=N54,E54=O54,E54=P54,F54=G54,F54=H54,F54=I54,F54=J54,F54=K54,F54=L54,F54=M54,F54=N54,F54=O54,F54=P54,G54=H54,G54=I54,G54=J54,G54=K54,G54=L54,G54=M54,G54=N54,G54=O54,G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x:f>
        <x:v>PASS</x:v>
      </x:c>
      <x:c r="W54" s="87" t="str">
        <x:f>'CRAWL_LOG'!B54</x:f>
        <x:v>Chưa chạy</x:v>
      </x:c>
      <x:c r="X54" s="95" t="str">
        <x:v>Aux-local complementary panel; benchmark gate pending</x:v>
      </x:c>
    </x:row>
    <x:row r="55">
      <x:c r="A55" s="82" t="n">
        <x:v>46318</x:v>
      </x:c>
      <x:c r="B55" s="83" t="str">
        <x:v>Thứ Sáu</x:v>
      </x:c>
      <x:c r="C55" s="83" t="str">
        <x:v>Official</x:v>
      </x:c>
      <x:c r="D55" s="83" t="str">
        <x:v>00:30</x:v>
      </x:c>
      <x:c r="E55" s="84" t="n">
        <x:f>'SLOT_RULES'!$D$4+IF($A55&lt;='SLOT_RULES'!$D$4,0,INT(($A55-'SLOT_RULES'!$D$4-1)/'SLOT_RULES'!$E$4)+1)*'SLOT_RULES'!$E$4</x:f>
        <x:v>46325</x:v>
      </x:c>
      <x:c r="F55" s="84" t="n">
        <x:f>'SLOT_RULES'!$D$5+IF($A55&lt;='SLOT_RULES'!$D$5,0,INT(($A55-'SLOT_RULES'!$D$5-1)/'SLOT_RULES'!$E$5)+1)*'SLOT_RULES'!$E$5</x:f>
        <x:v>46332</x:v>
      </x:c>
      <x:c r="G55" s="84" t="n">
        <x:f>'SLOT_RULES'!$D$6+IF($A55&lt;='SLOT_RULES'!$D$6,0,INT(($A55-'SLOT_RULES'!$D$6-1)/'SLOT_RULES'!$E$6)+1)*'SLOT_RULES'!$E$6</x:f>
        <x:v>46339</x:v>
      </x:c>
      <x:c r="H55" s="84" t="n">
        <x:f>'SLOT_RULES'!$D$7+IF($A55&lt;='SLOT_RULES'!$D$7,0,INT(($A55-'SLOT_RULES'!$D$7-1)/'SLOT_RULES'!$E$7)+1)*'SLOT_RULES'!$E$7</x:f>
        <x:v>46318</x:v>
      </x:c>
      <x:c r="I55" s="84" t="n">
        <x:f>'SLOT_RULES'!$D$8+IF($A55&lt;='SLOT_RULES'!$D$8,0,INT(($A55-'SLOT_RULES'!$D$8-1)/'SLOT_RULES'!$E$8)+1)*'SLOT_RULES'!$E$8</x:f>
        <x:v>46328</x:v>
      </x:c>
      <x:c r="J55" s="84" t="n">
        <x:f>'SLOT_RULES'!$D$9+IF($A55&lt;='SLOT_RULES'!$D$9,0,INT(($A55-'SLOT_RULES'!$D$9-1)/'SLOT_RULES'!$E$9)+1)*'SLOT_RULES'!$E$9</x:f>
        <x:v>46342</x:v>
      </x:c>
      <x:c r="K55" s="84" t="n">
        <x:f>'SLOT_RULES'!$D$10+IF($A55&lt;='SLOT_RULES'!$D$10,0,INT(($A55-'SLOT_RULES'!$D$10-1)/'SLOT_RULES'!$E$10)+1)*'SLOT_RULES'!$E$10</x:f>
        <x:v>46329</x:v>
      </x:c>
      <x:c r="L55" s="84" t="n">
        <x:f>'SLOT_RULES'!$D$11+IF($A55&lt;='SLOT_RULES'!$D$11,0,INT(($A55-'SLOT_RULES'!$D$11-1)/'SLOT_RULES'!$E$11)+1)*'SLOT_RULES'!$E$11</x:f>
        <x:v>46336</x:v>
      </x:c>
      <x:c r="M55" s="84" t="n">
        <x:f>'SLOT_RULES'!$D$12+IF($A55&lt;='SLOT_RULES'!$D$12,0,INT(($A55-'SLOT_RULES'!$D$12-1)/'SLOT_RULES'!$E$12)+1)*'SLOT_RULES'!$E$12</x:f>
        <x:v>46341</x:v>
      </x:c>
      <x:c r="N55" s="84" t="n">
        <x:f>'SLOT_RULES'!$D$13+IF($A55&lt;='SLOT_RULES'!$D$13,0,INT(($A55-'SLOT_RULES'!$D$13-1)/'SLOT_RULES'!$E$13)+1)*'SLOT_RULES'!$E$13</x:f>
        <x:v>46321</x:v>
      </x:c>
      <x:c r="O55" s="84" t="n">
        <x:f>'SLOT_RULES'!$D$14+IF($A55&lt;='SLOT_RULES'!$D$14,0,INT(($A55-'SLOT_RULES'!$D$14-1)/'SLOT_RULES'!$E$14)+1)*'SLOT_RULES'!$E$14</x:f>
        <x:v>46350</x:v>
      </x:c>
      <x:c r="P55" s="84" t="n">
        <x:f>'SLOT_RULES'!$D$15+IF($A55&lt;='SLOT_RULES'!$D$15,0,INT(($A55-'SLOT_RULES'!$D$15-1)/'SLOT_RULES'!$E$15)+1)*'SLOT_RULES'!$E$15</x:f>
        <x:v>46422</x:v>
      </x:c>
      <x:c r="Q55" s="85" t="n">
        <x:f>MIN(E55:P55)-A55</x:f>
        <x:v>0</x:v>
      </x:c>
      <x:c r="R55" s="85" t="n">
        <x:f>MAX(E55:P55)-A55</x:f>
        <x:v>104</x:v>
      </x:c>
      <x:c r="S55" s="86" t="str">
        <x:f>IF(AND(COUNT(E55:P55)=12,MIN(E55:P55)&gt;=A55),"PASS","FAIL")</x:f>
        <x:v>PASS</x:v>
      </x:c>
      <x:c r="T55" s="86" t="str">
        <x:f>IF((COUNTIF('LOCAL_REFERENCE'!$D55:$O55,E55)+COUNTIF('LOCAL_REFERENCE'!$D55:$O55,F55)+COUNTIF('LOCAL_REFERENCE'!$D55:$O55,G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x:f>
        <x:v>PASS</x:v>
      </x:c>
      <x:c r="U55" s="86" t="str">
        <x:f>IF((COUNTIF('VPS_REFERENCE'!$D55:$H55,E55)+COUNTIF('VPS_REFERENCE'!$D55:$H55,F55)+COUNTIF('VPS_REFERENCE'!$D55:$H55,G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x:f>
        <x:v>PASS</x:v>
      </x:c>
      <x:c r="V55" s="86" t="str">
        <x:f>IF(OR(E55=F55,E55=G55,E55=H55,E55=I55,E55=J55,E55=K55,E55=L55,E55=M55,E55=N55,E55=O55,E55=P55,F55=G55,F55=H55,F55=I55,F55=J55,F55=K55,F55=L55,F55=M55,F55=N55,F55=O55,F55=P55,G55=H55,G55=I55,G55=J55,G55=K55,G55=L55,G55=M55,G55=N55,G55=O55,G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x:f>
        <x:v>PASS</x:v>
      </x:c>
      <x:c r="W55" s="87" t="str">
        <x:f>'CRAWL_LOG'!B55</x:f>
        <x:v>Chưa chạy</x:v>
      </x:c>
      <x:c r="X55" s="95" t="str">
        <x:v>Aux-local complementary panel; benchmark gate pending</x:v>
      </x:c>
    </x:row>
    <x:row r="56">
      <x:c r="A56" s="82" t="n">
        <x:v>46319</x:v>
      </x:c>
      <x:c r="B56" s="83" t="str">
        <x:v>Thứ Bảy</x:v>
      </x:c>
      <x:c r="C56" s="83" t="str">
        <x:v>Official</x:v>
      </x:c>
      <x:c r="D56" s="83" t="str">
        <x:v>00:30</x:v>
      </x:c>
      <x:c r="E56" s="84" t="n">
        <x:f>'SLOT_RULES'!$D$4+IF($A56&lt;='SLOT_RULES'!$D$4,0,INT(($A56-'SLOT_RULES'!$D$4-1)/'SLOT_RULES'!$E$4)+1)*'SLOT_RULES'!$E$4</x:f>
        <x:v>46325</x:v>
      </x:c>
      <x:c r="F56" s="84" t="n">
        <x:f>'SLOT_RULES'!$D$5+IF($A56&lt;='SLOT_RULES'!$D$5,0,INT(($A56-'SLOT_RULES'!$D$5-1)/'SLOT_RULES'!$E$5)+1)*'SLOT_RULES'!$E$5</x:f>
        <x:v>46332</x:v>
      </x:c>
      <x:c r="G56" s="84" t="n">
        <x:f>'SLOT_RULES'!$D$6+IF($A56&lt;='SLOT_RULES'!$D$6,0,INT(($A56-'SLOT_RULES'!$D$6-1)/'SLOT_RULES'!$E$6)+1)*'SLOT_RULES'!$E$6</x:f>
        <x:v>46339</x:v>
      </x:c>
      <x:c r="H56" s="84" t="n">
        <x:f>'SLOT_RULES'!$D$7+IF($A56&lt;='SLOT_RULES'!$D$7,0,INT(($A56-'SLOT_RULES'!$D$7-1)/'SLOT_RULES'!$E$7)+1)*'SLOT_RULES'!$E$7</x:f>
        <x:v>46346</x:v>
      </x:c>
      <x:c r="I56" s="84" t="n">
        <x:f>'SLOT_RULES'!$D$8+IF($A56&lt;='SLOT_RULES'!$D$8,0,INT(($A56-'SLOT_RULES'!$D$8-1)/'SLOT_RULES'!$E$8)+1)*'SLOT_RULES'!$E$8</x:f>
        <x:v>46328</x:v>
      </x:c>
      <x:c r="J56" s="84" t="n">
        <x:f>'SLOT_RULES'!$D$9+IF($A56&lt;='SLOT_RULES'!$D$9,0,INT(($A56-'SLOT_RULES'!$D$9-1)/'SLOT_RULES'!$E$9)+1)*'SLOT_RULES'!$E$9</x:f>
        <x:v>46342</x:v>
      </x:c>
      <x:c r="K56" s="84" t="n">
        <x:f>'SLOT_RULES'!$D$10+IF($A56&lt;='SLOT_RULES'!$D$10,0,INT(($A56-'SLOT_RULES'!$D$10-1)/'SLOT_RULES'!$E$10)+1)*'SLOT_RULES'!$E$10</x:f>
        <x:v>46329</x:v>
      </x:c>
      <x:c r="L56" s="84" t="n">
        <x:f>'SLOT_RULES'!$D$11+IF($A56&lt;='SLOT_RULES'!$D$11,0,INT(($A56-'SLOT_RULES'!$D$11-1)/'SLOT_RULES'!$E$11)+1)*'SLOT_RULES'!$E$11</x:f>
        <x:v>46336</x:v>
      </x:c>
      <x:c r="M56" s="84" t="n">
        <x:f>'SLOT_RULES'!$D$12+IF($A56&lt;='SLOT_RULES'!$D$12,0,INT(($A56-'SLOT_RULES'!$D$12-1)/'SLOT_RULES'!$E$12)+1)*'SLOT_RULES'!$E$12</x:f>
        <x:v>46341</x:v>
      </x:c>
      <x:c r="N56" s="84" t="n">
        <x:f>'SLOT_RULES'!$D$13+IF($A56&lt;='SLOT_RULES'!$D$13,0,INT(($A56-'SLOT_RULES'!$D$13-1)/'SLOT_RULES'!$E$13)+1)*'SLOT_RULES'!$E$13</x:f>
        <x:v>46321</x:v>
      </x:c>
      <x:c r="O56" s="84" t="n">
        <x:f>'SLOT_RULES'!$D$14+IF($A56&lt;='SLOT_RULES'!$D$14,0,INT(($A56-'SLOT_RULES'!$D$14-1)/'SLOT_RULES'!$E$14)+1)*'SLOT_RULES'!$E$14</x:f>
        <x:v>46350</x:v>
      </x:c>
      <x:c r="P56" s="84" t="n">
        <x:f>'SLOT_RULES'!$D$15+IF($A56&lt;='SLOT_RULES'!$D$15,0,INT(($A56-'SLOT_RULES'!$D$15-1)/'SLOT_RULES'!$E$15)+1)*'SLOT_RULES'!$E$15</x:f>
        <x:v>46422</x:v>
      </x:c>
      <x:c r="Q56" s="85" t="n">
        <x:f>MIN(E56:P56)-A56</x:f>
        <x:v>2</x:v>
      </x:c>
      <x:c r="R56" s="85" t="n">
        <x:f>MAX(E56:P56)-A56</x:f>
        <x:v>103</x:v>
      </x:c>
      <x:c r="S56" s="86" t="str">
        <x:f>IF(AND(COUNT(E56:P56)=12,MIN(E56:P56)&gt;=A56),"PASS","FAIL")</x:f>
        <x:v>PASS</x:v>
      </x:c>
      <x:c r="T56" s="86" t="str">
        <x:f>IF((COUNTIF('LOCAL_REFERENCE'!$D56:$O56,E56)+COUNTIF('LOCAL_REFERENCE'!$D56:$O56,F56)+COUNTIF('LOCAL_REFERENCE'!$D56:$O56,G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x:f>
        <x:v>PASS</x:v>
      </x:c>
      <x:c r="U56" s="86" t="str">
        <x:f>IF((COUNTIF('VPS_REFERENCE'!$D56:$H56,E56)+COUNTIF('VPS_REFERENCE'!$D56:$H56,F56)+COUNTIF('VPS_REFERENCE'!$D56:$H56,G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x:f>
        <x:v>PASS</x:v>
      </x:c>
      <x:c r="V56" s="86" t="str">
        <x:f>IF(OR(E56=F56,E56=G56,E56=H56,E56=I56,E56=J56,E56=K56,E56=L56,E56=M56,E56=N56,E56=O56,E56=P56,F56=G56,F56=H56,F56=I56,F56=J56,F56=K56,F56=L56,F56=M56,F56=N56,F56=O56,F56=P56,G56=H56,G56=I56,G56=J56,G56=K56,G56=L56,G56=M56,G56=N56,G56=O56,G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x:f>
        <x:v>PASS</x:v>
      </x:c>
      <x:c r="W56" s="87" t="str">
        <x:f>'CRAWL_LOG'!B56</x:f>
        <x:v>Chưa chạy</x:v>
      </x:c>
      <x:c r="X56" s="95" t="str">
        <x:v>Aux-local complementary panel; benchmark gate pending</x:v>
      </x:c>
    </x:row>
    <x:row r="57">
      <x:c r="A57" s="82" t="n">
        <x:v>46320</x:v>
      </x:c>
      <x:c r="B57" s="83" t="str">
        <x:v>Chủ Nhật</x:v>
      </x:c>
      <x:c r="C57" s="83" t="str">
        <x:v>Official</x:v>
      </x:c>
      <x:c r="D57" s="83" t="str">
        <x:v>00:30</x:v>
      </x:c>
      <x:c r="E57" s="84" t="n">
        <x:f>'SLOT_RULES'!$D$4+IF($A57&lt;='SLOT_RULES'!$D$4,0,INT(($A57-'SLOT_RULES'!$D$4-1)/'SLOT_RULES'!$E$4)+1)*'SLOT_RULES'!$E$4</x:f>
        <x:v>46325</x:v>
      </x:c>
      <x:c r="F57" s="84" t="n">
        <x:f>'SLOT_RULES'!$D$5+IF($A57&lt;='SLOT_RULES'!$D$5,0,INT(($A57-'SLOT_RULES'!$D$5-1)/'SLOT_RULES'!$E$5)+1)*'SLOT_RULES'!$E$5</x:f>
        <x:v>46332</x:v>
      </x:c>
      <x:c r="G57" s="84" t="n">
        <x:f>'SLOT_RULES'!$D$6+IF($A57&lt;='SLOT_RULES'!$D$6,0,INT(($A57-'SLOT_RULES'!$D$6-1)/'SLOT_RULES'!$E$6)+1)*'SLOT_RULES'!$E$6</x:f>
        <x:v>46339</x:v>
      </x:c>
      <x:c r="H57" s="84" t="n">
        <x:f>'SLOT_RULES'!$D$7+IF($A57&lt;='SLOT_RULES'!$D$7,0,INT(($A57-'SLOT_RULES'!$D$7-1)/'SLOT_RULES'!$E$7)+1)*'SLOT_RULES'!$E$7</x:f>
        <x:v>46346</x:v>
      </x:c>
      <x:c r="I57" s="84" t="n">
        <x:f>'SLOT_RULES'!$D$8+IF($A57&lt;='SLOT_RULES'!$D$8,0,INT(($A57-'SLOT_RULES'!$D$8-1)/'SLOT_RULES'!$E$8)+1)*'SLOT_RULES'!$E$8</x:f>
        <x:v>46328</x:v>
      </x:c>
      <x:c r="J57" s="84" t="n">
        <x:f>'SLOT_RULES'!$D$9+IF($A57&lt;='SLOT_RULES'!$D$9,0,INT(($A57-'SLOT_RULES'!$D$9-1)/'SLOT_RULES'!$E$9)+1)*'SLOT_RULES'!$E$9</x:f>
        <x:v>46342</x:v>
      </x:c>
      <x:c r="K57" s="84" t="n">
        <x:f>'SLOT_RULES'!$D$10+IF($A57&lt;='SLOT_RULES'!$D$10,0,INT(($A57-'SLOT_RULES'!$D$10-1)/'SLOT_RULES'!$E$10)+1)*'SLOT_RULES'!$E$10</x:f>
        <x:v>46329</x:v>
      </x:c>
      <x:c r="L57" s="84" t="n">
        <x:f>'SLOT_RULES'!$D$11+IF($A57&lt;='SLOT_RULES'!$D$11,0,INT(($A57-'SLOT_RULES'!$D$11-1)/'SLOT_RULES'!$E$11)+1)*'SLOT_RULES'!$E$11</x:f>
        <x:v>46336</x:v>
      </x:c>
      <x:c r="M57" s="84" t="n">
        <x:f>'SLOT_RULES'!$D$12+IF($A57&lt;='SLOT_RULES'!$D$12,0,INT(($A57-'SLOT_RULES'!$D$12-1)/'SLOT_RULES'!$E$12)+1)*'SLOT_RULES'!$E$12</x:f>
        <x:v>46341</x:v>
      </x:c>
      <x:c r="N57" s="84" t="n">
        <x:f>'SLOT_RULES'!$D$13+IF($A57&lt;='SLOT_RULES'!$D$13,0,INT(($A57-'SLOT_RULES'!$D$13-1)/'SLOT_RULES'!$E$13)+1)*'SLOT_RULES'!$E$13</x:f>
        <x:v>46321</x:v>
      </x:c>
      <x:c r="O57" s="84" t="n">
        <x:f>'SLOT_RULES'!$D$14+IF($A57&lt;='SLOT_RULES'!$D$14,0,INT(($A57-'SLOT_RULES'!$D$14-1)/'SLOT_RULES'!$E$14)+1)*'SLOT_RULES'!$E$14</x:f>
        <x:v>46350</x:v>
      </x:c>
      <x:c r="P57" s="84" t="n">
        <x:f>'SLOT_RULES'!$D$15+IF($A57&lt;='SLOT_RULES'!$D$15,0,INT(($A57-'SLOT_RULES'!$D$15-1)/'SLOT_RULES'!$E$15)+1)*'SLOT_RULES'!$E$15</x:f>
        <x:v>46422</x:v>
      </x:c>
      <x:c r="Q57" s="85" t="n">
        <x:f>MIN(E57:P57)-A57</x:f>
        <x:v>1</x:v>
      </x:c>
      <x:c r="R57" s="85" t="n">
        <x:f>MAX(E57:P57)-A57</x:f>
        <x:v>102</x:v>
      </x:c>
      <x:c r="S57" s="86" t="str">
        <x:f>IF(AND(COUNT(E57:P57)=12,MIN(E57:P57)&gt;=A57),"PASS","FAIL")</x:f>
        <x:v>PASS</x:v>
      </x:c>
      <x:c r="T57" s="86" t="str">
        <x:f>IF((COUNTIF('LOCAL_REFERENCE'!$D57:$O57,E57)+COUNTIF('LOCAL_REFERENCE'!$D57:$O57,F57)+COUNTIF('LOCAL_REFERENCE'!$D57:$O57,G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x:f>
        <x:v>PASS</x:v>
      </x:c>
      <x:c r="U57" s="86" t="str">
        <x:f>IF((COUNTIF('VPS_REFERENCE'!$D57:$H57,E57)+COUNTIF('VPS_REFERENCE'!$D57:$H57,F57)+COUNTIF('VPS_REFERENCE'!$D57:$H57,G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x:f>
        <x:v>PASS</x:v>
      </x:c>
      <x:c r="V57" s="86" t="str">
        <x:f>IF(OR(E57=F57,E57=G57,E57=H57,E57=I57,E57=J57,E57=K57,E57=L57,E57=M57,E57=N57,E57=O57,E57=P57,F57=G57,F57=H57,F57=I57,F57=J57,F57=K57,F57=L57,F57=M57,F57=N57,F57=O57,F57=P57,G57=H57,G57=I57,G57=J57,G57=K57,G57=L57,G57=M57,G57=N57,G57=O57,G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x:f>
        <x:v>PASS</x:v>
      </x:c>
      <x:c r="W57" s="87" t="str">
        <x:f>'CRAWL_LOG'!B57</x:f>
        <x:v>Chưa chạy</x:v>
      </x:c>
      <x:c r="X57" s="95" t="str">
        <x:v>Aux-local complementary panel; benchmark gate pending</x:v>
      </x:c>
    </x:row>
    <x:row r="58">
      <x:c r="A58" s="82" t="n">
        <x:v>46321</x:v>
      </x:c>
      <x:c r="B58" s="83" t="str">
        <x:v>Thứ Hai</x:v>
      </x:c>
      <x:c r="C58" s="83" t="str">
        <x:v>Official</x:v>
      </x:c>
      <x:c r="D58" s="83" t="str">
        <x:v>00:30</x:v>
      </x:c>
      <x:c r="E58" s="84" t="n">
        <x:f>'SLOT_RULES'!$D$4+IF($A58&lt;='SLOT_RULES'!$D$4,0,INT(($A58-'SLOT_RULES'!$D$4-1)/'SLOT_RULES'!$E$4)+1)*'SLOT_RULES'!$E$4</x:f>
        <x:v>46325</x:v>
      </x:c>
      <x:c r="F58" s="84" t="n">
        <x:f>'SLOT_RULES'!$D$5+IF($A58&lt;='SLOT_RULES'!$D$5,0,INT(($A58-'SLOT_RULES'!$D$5-1)/'SLOT_RULES'!$E$5)+1)*'SLOT_RULES'!$E$5</x:f>
        <x:v>46332</x:v>
      </x:c>
      <x:c r="G58" s="84" t="n">
        <x:f>'SLOT_RULES'!$D$6+IF($A58&lt;='SLOT_RULES'!$D$6,0,INT(($A58-'SLOT_RULES'!$D$6-1)/'SLOT_RULES'!$E$6)+1)*'SLOT_RULES'!$E$6</x:f>
        <x:v>46339</x:v>
      </x:c>
      <x:c r="H58" s="84" t="n">
        <x:f>'SLOT_RULES'!$D$7+IF($A58&lt;='SLOT_RULES'!$D$7,0,INT(($A58-'SLOT_RULES'!$D$7-1)/'SLOT_RULES'!$E$7)+1)*'SLOT_RULES'!$E$7</x:f>
        <x:v>46346</x:v>
      </x:c>
      <x:c r="I58" s="84" t="n">
        <x:f>'SLOT_RULES'!$D$8+IF($A58&lt;='SLOT_RULES'!$D$8,0,INT(($A58-'SLOT_RULES'!$D$8-1)/'SLOT_RULES'!$E$8)+1)*'SLOT_RULES'!$E$8</x:f>
        <x:v>46328</x:v>
      </x:c>
      <x:c r="J58" s="84" t="n">
        <x:f>'SLOT_RULES'!$D$9+IF($A58&lt;='SLOT_RULES'!$D$9,0,INT(($A58-'SLOT_RULES'!$D$9-1)/'SLOT_RULES'!$E$9)+1)*'SLOT_RULES'!$E$9</x:f>
        <x:v>46342</x:v>
      </x:c>
      <x:c r="K58" s="84" t="n">
        <x:f>'SLOT_RULES'!$D$10+IF($A58&lt;='SLOT_RULES'!$D$10,0,INT(($A58-'SLOT_RULES'!$D$10-1)/'SLOT_RULES'!$E$10)+1)*'SLOT_RULES'!$E$10</x:f>
        <x:v>46329</x:v>
      </x:c>
      <x:c r="L58" s="84" t="n">
        <x:f>'SLOT_RULES'!$D$11+IF($A58&lt;='SLOT_RULES'!$D$11,0,INT(($A58-'SLOT_RULES'!$D$11-1)/'SLOT_RULES'!$E$11)+1)*'SLOT_RULES'!$E$11</x:f>
        <x:v>46336</x:v>
      </x:c>
      <x:c r="M58" s="84" t="n">
        <x:f>'SLOT_RULES'!$D$12+IF($A58&lt;='SLOT_RULES'!$D$12,0,INT(($A58-'SLOT_RULES'!$D$12-1)/'SLOT_RULES'!$E$12)+1)*'SLOT_RULES'!$E$12</x:f>
        <x:v>46341</x:v>
      </x:c>
      <x:c r="N58" s="84" t="n">
        <x:f>'SLOT_RULES'!$D$13+IF($A58&lt;='SLOT_RULES'!$D$13,0,INT(($A58-'SLOT_RULES'!$D$13-1)/'SLOT_RULES'!$E$13)+1)*'SLOT_RULES'!$E$13</x:f>
        <x:v>46321</x:v>
      </x:c>
      <x:c r="O58" s="84" t="n">
        <x:f>'SLOT_RULES'!$D$14+IF($A58&lt;='SLOT_RULES'!$D$14,0,INT(($A58-'SLOT_RULES'!$D$14-1)/'SLOT_RULES'!$E$14)+1)*'SLOT_RULES'!$E$14</x:f>
        <x:v>46350</x:v>
      </x:c>
      <x:c r="P58" s="84" t="n">
        <x:f>'SLOT_RULES'!$D$15+IF($A58&lt;='SLOT_RULES'!$D$15,0,INT(($A58-'SLOT_RULES'!$D$15-1)/'SLOT_RULES'!$E$15)+1)*'SLOT_RULES'!$E$15</x:f>
        <x:v>46422</x:v>
      </x:c>
      <x:c r="Q58" s="85" t="n">
        <x:f>MIN(E58:P58)-A58</x:f>
        <x:v>0</x:v>
      </x:c>
      <x:c r="R58" s="85" t="n">
        <x:f>MAX(E58:P58)-A58</x:f>
        <x:v>101</x:v>
      </x:c>
      <x:c r="S58" s="86" t="str">
        <x:f>IF(AND(COUNT(E58:P58)=12,MIN(E58:P58)&gt;=A58),"PASS","FAIL")</x:f>
        <x:v>PASS</x:v>
      </x:c>
      <x:c r="T58" s="86" t="str">
        <x:f>IF((COUNTIF('LOCAL_REFERENCE'!$D58:$O58,E58)+COUNTIF('LOCAL_REFERENCE'!$D58:$O58,F58)+COUNTIF('LOCAL_REFERENCE'!$D58:$O58,G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x:f>
        <x:v>PASS</x:v>
      </x:c>
      <x:c r="U58" s="86" t="str">
        <x:f>IF((COUNTIF('VPS_REFERENCE'!$D58:$H58,E58)+COUNTIF('VPS_REFERENCE'!$D58:$H58,F58)+COUNTIF('VPS_REFERENCE'!$D58:$H58,G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x:f>
        <x:v>PASS</x:v>
      </x:c>
      <x:c r="V58" s="86" t="str">
        <x:f>IF(OR(E58=F58,E58=G58,E58=H58,E58=I58,E58=J58,E58=K58,E58=L58,E58=M58,E58=N58,E58=O58,E58=P58,F58=G58,F58=H58,F58=I58,F58=J58,F58=K58,F58=L58,F58=M58,F58=N58,F58=O58,F58=P58,G58=H58,G58=I58,G58=J58,G58=K58,G58=L58,G58=M58,G58=N58,G58=O58,G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x:f>
        <x:v>PASS</x:v>
      </x:c>
      <x:c r="W58" s="87" t="str">
        <x:f>'CRAWL_LOG'!B58</x:f>
        <x:v>Chưa chạy</x:v>
      </x:c>
      <x:c r="X58" s="95" t="str">
        <x:v>Aux-local complementary panel; benchmark gate pending</x:v>
      </x:c>
    </x:row>
    <x:row r="59">
      <x:c r="A59" s="82" t="n">
        <x:v>46322</x:v>
      </x:c>
      <x:c r="B59" s="83" t="str">
        <x:v>Thứ Ba</x:v>
      </x:c>
      <x:c r="C59" s="83" t="str">
        <x:v>Official</x:v>
      </x:c>
      <x:c r="D59" s="83" t="str">
        <x:v>00:30</x:v>
      </x:c>
      <x:c r="E59" s="84" t="n">
        <x:f>'SLOT_RULES'!$D$4+IF($A59&lt;='SLOT_RULES'!$D$4,0,INT(($A59-'SLOT_RULES'!$D$4-1)/'SLOT_RULES'!$E$4)+1)*'SLOT_RULES'!$E$4</x:f>
        <x:v>46325</x:v>
      </x:c>
      <x:c r="F59" s="84" t="n">
        <x:f>'SLOT_RULES'!$D$5+IF($A59&lt;='SLOT_RULES'!$D$5,0,INT(($A59-'SLOT_RULES'!$D$5-1)/'SLOT_RULES'!$E$5)+1)*'SLOT_RULES'!$E$5</x:f>
        <x:v>46332</x:v>
      </x:c>
      <x:c r="G59" s="84" t="n">
        <x:f>'SLOT_RULES'!$D$6+IF($A59&lt;='SLOT_RULES'!$D$6,0,INT(($A59-'SLOT_RULES'!$D$6-1)/'SLOT_RULES'!$E$6)+1)*'SLOT_RULES'!$E$6</x:f>
        <x:v>46339</x:v>
      </x:c>
      <x:c r="H59" s="84" t="n">
        <x:f>'SLOT_RULES'!$D$7+IF($A59&lt;='SLOT_RULES'!$D$7,0,INT(($A59-'SLOT_RULES'!$D$7-1)/'SLOT_RULES'!$E$7)+1)*'SLOT_RULES'!$E$7</x:f>
        <x:v>46346</x:v>
      </x:c>
      <x:c r="I59" s="84" t="n">
        <x:f>'SLOT_RULES'!$D$8+IF($A59&lt;='SLOT_RULES'!$D$8,0,INT(($A59-'SLOT_RULES'!$D$8-1)/'SLOT_RULES'!$E$8)+1)*'SLOT_RULES'!$E$8</x:f>
        <x:v>46328</x:v>
      </x:c>
      <x:c r="J59" s="84" t="n">
        <x:f>'SLOT_RULES'!$D$9+IF($A59&lt;='SLOT_RULES'!$D$9,0,INT(($A59-'SLOT_RULES'!$D$9-1)/'SLOT_RULES'!$E$9)+1)*'SLOT_RULES'!$E$9</x:f>
        <x:v>46342</x:v>
      </x:c>
      <x:c r="K59" s="84" t="n">
        <x:f>'SLOT_RULES'!$D$10+IF($A59&lt;='SLOT_RULES'!$D$10,0,INT(($A59-'SLOT_RULES'!$D$10-1)/'SLOT_RULES'!$E$10)+1)*'SLOT_RULES'!$E$10</x:f>
        <x:v>46329</x:v>
      </x:c>
      <x:c r="L59" s="84" t="n">
        <x:f>'SLOT_RULES'!$D$11+IF($A59&lt;='SLOT_RULES'!$D$11,0,INT(($A59-'SLOT_RULES'!$D$11-1)/'SLOT_RULES'!$E$11)+1)*'SLOT_RULES'!$E$11</x:f>
        <x:v>46336</x:v>
      </x:c>
      <x:c r="M59" s="84" t="n">
        <x:f>'SLOT_RULES'!$D$12+IF($A59&lt;='SLOT_RULES'!$D$12,0,INT(($A59-'SLOT_RULES'!$D$12-1)/'SLOT_RULES'!$E$12)+1)*'SLOT_RULES'!$E$12</x:f>
        <x:v>46341</x:v>
      </x:c>
      <x:c r="N59" s="84" t="n">
        <x:f>'SLOT_RULES'!$D$13+IF($A59&lt;='SLOT_RULES'!$D$13,0,INT(($A59-'SLOT_RULES'!$D$13-1)/'SLOT_RULES'!$E$13)+1)*'SLOT_RULES'!$E$13</x:f>
        <x:v>46391</x:v>
      </x:c>
      <x:c r="O59" s="84" t="n">
        <x:f>'SLOT_RULES'!$D$14+IF($A59&lt;='SLOT_RULES'!$D$14,0,INT(($A59-'SLOT_RULES'!$D$14-1)/'SLOT_RULES'!$E$14)+1)*'SLOT_RULES'!$E$14</x:f>
        <x:v>46350</x:v>
      </x:c>
      <x:c r="P59" s="84" t="n">
        <x:f>'SLOT_RULES'!$D$15+IF($A59&lt;='SLOT_RULES'!$D$15,0,INT(($A59-'SLOT_RULES'!$D$15-1)/'SLOT_RULES'!$E$15)+1)*'SLOT_RULES'!$E$15</x:f>
        <x:v>46422</x:v>
      </x:c>
      <x:c r="Q59" s="85" t="n">
        <x:f>MIN(E59:P59)-A59</x:f>
        <x:v>3</x:v>
      </x:c>
      <x:c r="R59" s="85" t="n">
        <x:f>MAX(E59:P59)-A59</x:f>
        <x:v>100</x:v>
      </x:c>
      <x:c r="S59" s="86" t="str">
        <x:f>IF(AND(COUNT(E59:P59)=12,MIN(E59:P59)&gt;=A59),"PASS","FAIL")</x:f>
        <x:v>PASS</x:v>
      </x:c>
      <x:c r="T59" s="86" t="str">
        <x:f>IF((COUNTIF('LOCAL_REFERENCE'!$D59:$O59,E59)+COUNTIF('LOCAL_REFERENCE'!$D59:$O59,F59)+COUNTIF('LOCAL_REFERENCE'!$D59:$O59,G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x:f>
        <x:v>PASS</x:v>
      </x:c>
      <x:c r="U59" s="86" t="str">
        <x:f>IF((COUNTIF('VPS_REFERENCE'!$D59:$H59,E59)+COUNTIF('VPS_REFERENCE'!$D59:$H59,F59)+COUNTIF('VPS_REFERENCE'!$D59:$H59,G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x:f>
        <x:v>PASS</x:v>
      </x:c>
      <x:c r="V59" s="86" t="str">
        <x:f>IF(OR(E59=F59,E59=G59,E59=H59,E59=I59,E59=J59,E59=K59,E59=L59,E59=M59,E59=N59,E59=O59,E59=P59,F59=G59,F59=H59,F59=I59,F59=J59,F59=K59,F59=L59,F59=M59,F59=N59,F59=O59,F59=P59,G59=H59,G59=I59,G59=J59,G59=K59,G59=L59,G59=M59,G59=N59,G59=O59,G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x:f>
        <x:v>PASS</x:v>
      </x:c>
      <x:c r="W59" s="87" t="str">
        <x:f>'CRAWL_LOG'!B59</x:f>
        <x:v>Chưa chạy</x:v>
      </x:c>
      <x:c r="X59" s="95" t="str">
        <x:v>Aux-local complementary panel; benchmark gate pending</x:v>
      </x:c>
    </x:row>
    <x:row r="60">
      <x:c r="A60" s="82" t="n">
        <x:v>46323</x:v>
      </x:c>
      <x:c r="B60" s="83" t="str">
        <x:v>Thứ Tư</x:v>
      </x:c>
      <x:c r="C60" s="83" t="str">
        <x:v>Official</x:v>
      </x:c>
      <x:c r="D60" s="83" t="str">
        <x:v>00:30</x:v>
      </x:c>
      <x:c r="E60" s="84" t="n">
        <x:f>'SLOT_RULES'!$D$4+IF($A60&lt;='SLOT_RULES'!$D$4,0,INT(($A60-'SLOT_RULES'!$D$4-1)/'SLOT_RULES'!$E$4)+1)*'SLOT_RULES'!$E$4</x:f>
        <x:v>46325</x:v>
      </x:c>
      <x:c r="F60" s="84" t="n">
        <x:f>'SLOT_RULES'!$D$5+IF($A60&lt;='SLOT_RULES'!$D$5,0,INT(($A60-'SLOT_RULES'!$D$5-1)/'SLOT_RULES'!$E$5)+1)*'SLOT_RULES'!$E$5</x:f>
        <x:v>46332</x:v>
      </x:c>
      <x:c r="G60" s="84" t="n">
        <x:f>'SLOT_RULES'!$D$6+IF($A60&lt;='SLOT_RULES'!$D$6,0,INT(($A60-'SLOT_RULES'!$D$6-1)/'SLOT_RULES'!$E$6)+1)*'SLOT_RULES'!$E$6</x:f>
        <x:v>46339</x:v>
      </x:c>
      <x:c r="H60" s="84" t="n">
        <x:f>'SLOT_RULES'!$D$7+IF($A60&lt;='SLOT_RULES'!$D$7,0,INT(($A60-'SLOT_RULES'!$D$7-1)/'SLOT_RULES'!$E$7)+1)*'SLOT_RULES'!$E$7</x:f>
        <x:v>46346</x:v>
      </x:c>
      <x:c r="I60" s="84" t="n">
        <x:f>'SLOT_RULES'!$D$8+IF($A60&lt;='SLOT_RULES'!$D$8,0,INT(($A60-'SLOT_RULES'!$D$8-1)/'SLOT_RULES'!$E$8)+1)*'SLOT_RULES'!$E$8</x:f>
        <x:v>46328</x:v>
      </x:c>
      <x:c r="J60" s="84" t="n">
        <x:f>'SLOT_RULES'!$D$9+IF($A60&lt;='SLOT_RULES'!$D$9,0,INT(($A60-'SLOT_RULES'!$D$9-1)/'SLOT_RULES'!$E$9)+1)*'SLOT_RULES'!$E$9</x:f>
        <x:v>46342</x:v>
      </x:c>
      <x:c r="K60" s="84" t="n">
        <x:f>'SLOT_RULES'!$D$10+IF($A60&lt;='SLOT_RULES'!$D$10,0,INT(($A60-'SLOT_RULES'!$D$10-1)/'SLOT_RULES'!$E$10)+1)*'SLOT_RULES'!$E$10</x:f>
        <x:v>46329</x:v>
      </x:c>
      <x:c r="L60" s="84" t="n">
        <x:f>'SLOT_RULES'!$D$11+IF($A60&lt;='SLOT_RULES'!$D$11,0,INT(($A60-'SLOT_RULES'!$D$11-1)/'SLOT_RULES'!$E$11)+1)*'SLOT_RULES'!$E$11</x:f>
        <x:v>46336</x:v>
      </x:c>
      <x:c r="M60" s="84" t="n">
        <x:f>'SLOT_RULES'!$D$12+IF($A60&lt;='SLOT_RULES'!$D$12,0,INT(($A60-'SLOT_RULES'!$D$12-1)/'SLOT_RULES'!$E$12)+1)*'SLOT_RULES'!$E$12</x:f>
        <x:v>46341</x:v>
      </x:c>
      <x:c r="N60" s="84" t="n">
        <x:f>'SLOT_RULES'!$D$13+IF($A60&lt;='SLOT_RULES'!$D$13,0,INT(($A60-'SLOT_RULES'!$D$13-1)/'SLOT_RULES'!$E$13)+1)*'SLOT_RULES'!$E$13</x:f>
        <x:v>46391</x:v>
      </x:c>
      <x:c r="O60" s="84" t="n">
        <x:f>'SLOT_RULES'!$D$14+IF($A60&lt;='SLOT_RULES'!$D$14,0,INT(($A60-'SLOT_RULES'!$D$14-1)/'SLOT_RULES'!$E$14)+1)*'SLOT_RULES'!$E$14</x:f>
        <x:v>46350</x:v>
      </x:c>
      <x:c r="P60" s="84" t="n">
        <x:f>'SLOT_RULES'!$D$15+IF($A60&lt;='SLOT_RULES'!$D$15,0,INT(($A60-'SLOT_RULES'!$D$15-1)/'SLOT_RULES'!$E$15)+1)*'SLOT_RULES'!$E$15</x:f>
        <x:v>46422</x:v>
      </x:c>
      <x:c r="Q60" s="85" t="n">
        <x:f>MIN(E60:P60)-A60</x:f>
        <x:v>2</x:v>
      </x:c>
      <x:c r="R60" s="85" t="n">
        <x:f>MAX(E60:P60)-A60</x:f>
        <x:v>99</x:v>
      </x:c>
      <x:c r="S60" s="86" t="str">
        <x:f>IF(AND(COUNT(E60:P60)=12,MIN(E60:P60)&gt;=A60),"PASS","FAIL")</x:f>
        <x:v>PASS</x:v>
      </x:c>
      <x:c r="T60" s="86" t="str">
        <x:f>IF((COUNTIF('LOCAL_REFERENCE'!$D60:$O60,E60)+COUNTIF('LOCAL_REFERENCE'!$D60:$O60,F60)+COUNTIF('LOCAL_REFERENCE'!$D60:$O60,G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x:f>
        <x:v>PASS</x:v>
      </x:c>
      <x:c r="U60" s="86" t="str">
        <x:f>IF((COUNTIF('VPS_REFERENCE'!$D60:$H60,E60)+COUNTIF('VPS_REFERENCE'!$D60:$H60,F60)+COUNTIF('VPS_REFERENCE'!$D60:$H60,G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x:f>
        <x:v>PASS</x:v>
      </x:c>
      <x:c r="V60" s="86" t="str">
        <x:f>IF(OR(E60=F60,E60=G60,E60=H60,E60=I60,E60=J60,E60=K60,E60=L60,E60=M60,E60=N60,E60=O60,E60=P60,F60=G60,F60=H60,F60=I60,F60=J60,F60=K60,F60=L60,F60=M60,F60=N60,F60=O60,F60=P60,G60=H60,G60=I60,G60=J60,G60=K60,G60=L60,G60=M60,G60=N60,G60=O60,G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x:f>
        <x:v>PASS</x:v>
      </x:c>
      <x:c r="W60" s="87" t="str">
        <x:f>'CRAWL_LOG'!B60</x:f>
        <x:v>Chưa chạy</x:v>
      </x:c>
      <x:c r="X60" s="95" t="str">
        <x:v>Aux-local complementary panel; benchmark gate pending</x:v>
      </x:c>
    </x:row>
    <x:row r="61">
      <x:c r="A61" s="82" t="n">
        <x:v>46324</x:v>
      </x:c>
      <x:c r="B61" s="83" t="str">
        <x:v>Thứ Năm</x:v>
      </x:c>
      <x:c r="C61" s="83" t="str">
        <x:v>Official</x:v>
      </x:c>
      <x:c r="D61" s="83" t="str">
        <x:v>00:30</x:v>
      </x:c>
      <x:c r="E61" s="84" t="n">
        <x:f>'SLOT_RULES'!$D$4+IF($A61&lt;='SLOT_RULES'!$D$4,0,INT(($A61-'SLOT_RULES'!$D$4-1)/'SLOT_RULES'!$E$4)+1)*'SLOT_RULES'!$E$4</x:f>
        <x:v>46325</x:v>
      </x:c>
      <x:c r="F61" s="84" t="n">
        <x:f>'SLOT_RULES'!$D$5+IF($A61&lt;='SLOT_RULES'!$D$5,0,INT(($A61-'SLOT_RULES'!$D$5-1)/'SLOT_RULES'!$E$5)+1)*'SLOT_RULES'!$E$5</x:f>
        <x:v>46332</x:v>
      </x:c>
      <x:c r="G61" s="84" t="n">
        <x:f>'SLOT_RULES'!$D$6+IF($A61&lt;='SLOT_RULES'!$D$6,0,INT(($A61-'SLOT_RULES'!$D$6-1)/'SLOT_RULES'!$E$6)+1)*'SLOT_RULES'!$E$6</x:f>
        <x:v>46339</x:v>
      </x:c>
      <x:c r="H61" s="84" t="n">
        <x:f>'SLOT_RULES'!$D$7+IF($A61&lt;='SLOT_RULES'!$D$7,0,INT(($A61-'SLOT_RULES'!$D$7-1)/'SLOT_RULES'!$E$7)+1)*'SLOT_RULES'!$E$7</x:f>
        <x:v>46346</x:v>
      </x:c>
      <x:c r="I61" s="84" t="n">
        <x:f>'SLOT_RULES'!$D$8+IF($A61&lt;='SLOT_RULES'!$D$8,0,INT(($A61-'SLOT_RULES'!$D$8-1)/'SLOT_RULES'!$E$8)+1)*'SLOT_RULES'!$E$8</x:f>
        <x:v>46328</x:v>
      </x:c>
      <x:c r="J61" s="84" t="n">
        <x:f>'SLOT_RULES'!$D$9+IF($A61&lt;='SLOT_RULES'!$D$9,0,INT(($A61-'SLOT_RULES'!$D$9-1)/'SLOT_RULES'!$E$9)+1)*'SLOT_RULES'!$E$9</x:f>
        <x:v>46342</x:v>
      </x:c>
      <x:c r="K61" s="84" t="n">
        <x:f>'SLOT_RULES'!$D$10+IF($A61&lt;='SLOT_RULES'!$D$10,0,INT(($A61-'SLOT_RULES'!$D$10-1)/'SLOT_RULES'!$E$10)+1)*'SLOT_RULES'!$E$10</x:f>
        <x:v>46329</x:v>
      </x:c>
      <x:c r="L61" s="84" t="n">
        <x:f>'SLOT_RULES'!$D$11+IF($A61&lt;='SLOT_RULES'!$D$11,0,INT(($A61-'SLOT_RULES'!$D$11-1)/'SLOT_RULES'!$E$11)+1)*'SLOT_RULES'!$E$11</x:f>
        <x:v>46336</x:v>
      </x:c>
      <x:c r="M61" s="84" t="n">
        <x:f>'SLOT_RULES'!$D$12+IF($A61&lt;='SLOT_RULES'!$D$12,0,INT(($A61-'SLOT_RULES'!$D$12-1)/'SLOT_RULES'!$E$12)+1)*'SLOT_RULES'!$E$12</x:f>
        <x:v>46341</x:v>
      </x:c>
      <x:c r="N61" s="84" t="n">
        <x:f>'SLOT_RULES'!$D$13+IF($A61&lt;='SLOT_RULES'!$D$13,0,INT(($A61-'SLOT_RULES'!$D$13-1)/'SLOT_RULES'!$E$13)+1)*'SLOT_RULES'!$E$13</x:f>
        <x:v>46391</x:v>
      </x:c>
      <x:c r="O61" s="84" t="n">
        <x:f>'SLOT_RULES'!$D$14+IF($A61&lt;='SLOT_RULES'!$D$14,0,INT(($A61-'SLOT_RULES'!$D$14-1)/'SLOT_RULES'!$E$14)+1)*'SLOT_RULES'!$E$14</x:f>
        <x:v>46350</x:v>
      </x:c>
      <x:c r="P61" s="84" t="n">
        <x:f>'SLOT_RULES'!$D$15+IF($A61&lt;='SLOT_RULES'!$D$15,0,INT(($A61-'SLOT_RULES'!$D$15-1)/'SLOT_RULES'!$E$15)+1)*'SLOT_RULES'!$E$15</x:f>
        <x:v>46422</x:v>
      </x:c>
      <x:c r="Q61" s="85" t="n">
        <x:f>MIN(E61:P61)-A61</x:f>
        <x:v>1</x:v>
      </x:c>
      <x:c r="R61" s="85" t="n">
        <x:f>MAX(E61:P61)-A61</x:f>
        <x:v>98</x:v>
      </x:c>
      <x:c r="S61" s="86" t="str">
        <x:f>IF(AND(COUNT(E61:P61)=12,MIN(E61:P61)&gt;=A61),"PASS","FAIL")</x:f>
        <x:v>PASS</x:v>
      </x:c>
      <x:c r="T61" s="86" t="str">
        <x:f>IF((COUNTIF('LOCAL_REFERENCE'!$D61:$O61,E61)+COUNTIF('LOCAL_REFERENCE'!$D61:$O61,F61)+COUNTIF('LOCAL_REFERENCE'!$D61:$O61,G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x:f>
        <x:v>PASS</x:v>
      </x:c>
      <x:c r="U61" s="86" t="str">
        <x:f>IF((COUNTIF('VPS_REFERENCE'!$D61:$H61,E61)+COUNTIF('VPS_REFERENCE'!$D61:$H61,F61)+COUNTIF('VPS_REFERENCE'!$D61:$H61,G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x:f>
        <x:v>PASS</x:v>
      </x:c>
      <x:c r="V61" s="86" t="str">
        <x:f>IF(OR(E61=F61,E61=G61,E61=H61,E61=I61,E61=J61,E61=K61,E61=L61,E61=M61,E61=N61,E61=O61,E61=P61,F61=G61,F61=H61,F61=I61,F61=J61,F61=K61,F61=L61,F61=M61,F61=N61,F61=O61,F61=P61,G61=H61,G61=I61,G61=J61,G61=K61,G61=L61,G61=M61,G61=N61,G61=O61,G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x:f>
        <x:v>PASS</x:v>
      </x:c>
      <x:c r="W61" s="87" t="str">
        <x:f>'CRAWL_LOG'!B61</x:f>
        <x:v>Chưa chạy</x:v>
      </x:c>
      <x:c r="X61" s="95" t="str">
        <x:v>Aux-local complementary panel; benchmark gate pending</x:v>
      </x:c>
    </x:row>
    <x:row r="62">
      <x:c r="A62" s="82" t="n">
        <x:v>46325</x:v>
      </x:c>
      <x:c r="B62" s="83" t="str">
        <x:v>Thứ Sáu</x:v>
      </x:c>
      <x:c r="C62" s="83" t="str">
        <x:v>Official</x:v>
      </x:c>
      <x:c r="D62" s="83" t="str">
        <x:v>00:30</x:v>
      </x:c>
      <x:c r="E62" s="84" t="n">
        <x:f>'SLOT_RULES'!$D$4+IF($A62&lt;='SLOT_RULES'!$D$4,0,INT(($A62-'SLOT_RULES'!$D$4-1)/'SLOT_RULES'!$E$4)+1)*'SLOT_RULES'!$E$4</x:f>
        <x:v>46325</x:v>
      </x:c>
      <x:c r="F62" s="84" t="n">
        <x:f>'SLOT_RULES'!$D$5+IF($A62&lt;='SLOT_RULES'!$D$5,0,INT(($A62-'SLOT_RULES'!$D$5-1)/'SLOT_RULES'!$E$5)+1)*'SLOT_RULES'!$E$5</x:f>
        <x:v>46332</x:v>
      </x:c>
      <x:c r="G62" s="84" t="n">
        <x:f>'SLOT_RULES'!$D$6+IF($A62&lt;='SLOT_RULES'!$D$6,0,INT(($A62-'SLOT_RULES'!$D$6-1)/'SLOT_RULES'!$E$6)+1)*'SLOT_RULES'!$E$6</x:f>
        <x:v>46339</x:v>
      </x:c>
      <x:c r="H62" s="84" t="n">
        <x:f>'SLOT_RULES'!$D$7+IF($A62&lt;='SLOT_RULES'!$D$7,0,INT(($A62-'SLOT_RULES'!$D$7-1)/'SLOT_RULES'!$E$7)+1)*'SLOT_RULES'!$E$7</x:f>
        <x:v>46346</x:v>
      </x:c>
      <x:c r="I62" s="84" t="n">
        <x:f>'SLOT_RULES'!$D$8+IF($A62&lt;='SLOT_RULES'!$D$8,0,INT(($A62-'SLOT_RULES'!$D$8-1)/'SLOT_RULES'!$E$8)+1)*'SLOT_RULES'!$E$8</x:f>
        <x:v>46328</x:v>
      </x:c>
      <x:c r="J62" s="84" t="n">
        <x:f>'SLOT_RULES'!$D$9+IF($A62&lt;='SLOT_RULES'!$D$9,0,INT(($A62-'SLOT_RULES'!$D$9-1)/'SLOT_RULES'!$E$9)+1)*'SLOT_RULES'!$E$9</x:f>
        <x:v>46342</x:v>
      </x:c>
      <x:c r="K62" s="84" t="n">
        <x:f>'SLOT_RULES'!$D$10+IF($A62&lt;='SLOT_RULES'!$D$10,0,INT(($A62-'SLOT_RULES'!$D$10-1)/'SLOT_RULES'!$E$10)+1)*'SLOT_RULES'!$E$10</x:f>
        <x:v>46329</x:v>
      </x:c>
      <x:c r="L62" s="84" t="n">
        <x:f>'SLOT_RULES'!$D$11+IF($A62&lt;='SLOT_RULES'!$D$11,0,INT(($A62-'SLOT_RULES'!$D$11-1)/'SLOT_RULES'!$E$11)+1)*'SLOT_RULES'!$E$11</x:f>
        <x:v>46336</x:v>
      </x:c>
      <x:c r="M62" s="84" t="n">
        <x:f>'SLOT_RULES'!$D$12+IF($A62&lt;='SLOT_RULES'!$D$12,0,INT(($A62-'SLOT_RULES'!$D$12-1)/'SLOT_RULES'!$E$12)+1)*'SLOT_RULES'!$E$12</x:f>
        <x:v>46341</x:v>
      </x:c>
      <x:c r="N62" s="84" t="n">
        <x:f>'SLOT_RULES'!$D$13+IF($A62&lt;='SLOT_RULES'!$D$13,0,INT(($A62-'SLOT_RULES'!$D$13-1)/'SLOT_RULES'!$E$13)+1)*'SLOT_RULES'!$E$13</x:f>
        <x:v>46391</x:v>
      </x:c>
      <x:c r="O62" s="84" t="n">
        <x:f>'SLOT_RULES'!$D$14+IF($A62&lt;='SLOT_RULES'!$D$14,0,INT(($A62-'SLOT_RULES'!$D$14-1)/'SLOT_RULES'!$E$14)+1)*'SLOT_RULES'!$E$14</x:f>
        <x:v>46350</x:v>
      </x:c>
      <x:c r="P62" s="84" t="n">
        <x:f>'SLOT_RULES'!$D$15+IF($A62&lt;='SLOT_RULES'!$D$15,0,INT(($A62-'SLOT_RULES'!$D$15-1)/'SLOT_RULES'!$E$15)+1)*'SLOT_RULES'!$E$15</x:f>
        <x:v>46422</x:v>
      </x:c>
      <x:c r="Q62" s="85" t="n">
        <x:f>MIN(E62:P62)-A62</x:f>
        <x:v>0</x:v>
      </x:c>
      <x:c r="R62" s="85" t="n">
        <x:f>MAX(E62:P62)-A62</x:f>
        <x:v>97</x:v>
      </x:c>
      <x:c r="S62" s="86" t="str">
        <x:f>IF(AND(COUNT(E62:P62)=12,MIN(E62:P62)&gt;=A62),"PASS","FAIL")</x:f>
        <x:v>PASS</x:v>
      </x:c>
      <x:c r="T62" s="86" t="str">
        <x:f>IF((COUNTIF('LOCAL_REFERENCE'!$D62:$O62,E62)+COUNTIF('LOCAL_REFERENCE'!$D62:$O62,F62)+COUNTIF('LOCAL_REFERENCE'!$D62:$O62,G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x:f>
        <x:v>PASS</x:v>
      </x:c>
      <x:c r="U62" s="86" t="str">
        <x:f>IF((COUNTIF('VPS_REFERENCE'!$D62:$H62,E62)+COUNTIF('VPS_REFERENCE'!$D62:$H62,F62)+COUNTIF('VPS_REFERENCE'!$D62:$H62,G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x:f>
        <x:v>PASS</x:v>
      </x:c>
      <x:c r="V62" s="86" t="str">
        <x:f>IF(OR(E62=F62,E62=G62,E62=H62,E62=I62,E62=J62,E62=K62,E62=L62,E62=M62,E62=N62,E62=O62,E62=P62,F62=G62,F62=H62,F62=I62,F62=J62,F62=K62,F62=L62,F62=M62,F62=N62,F62=O62,F62=P62,G62=H62,G62=I62,G62=J62,G62=K62,G62=L62,G62=M62,G62=N62,G62=O62,G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x:f>
        <x:v>PASS</x:v>
      </x:c>
      <x:c r="W62" s="87" t="str">
        <x:f>'CRAWL_LOG'!B62</x:f>
        <x:v>Chưa chạy</x:v>
      </x:c>
      <x:c r="X62" s="95" t="str">
        <x:v>Aux-local complementary panel; benchmark gate pending</x:v>
      </x:c>
    </x:row>
    <x:row r="63">
      <x:c r="A63" s="82" t="n">
        <x:v>46326</x:v>
      </x:c>
      <x:c r="B63" s="83" t="str">
        <x:v>Thứ Bảy</x:v>
      </x:c>
      <x:c r="C63" s="83" t="str">
        <x:v>Official</x:v>
      </x:c>
      <x:c r="D63" s="83" t="str">
        <x:v>00:30</x:v>
      </x:c>
      <x:c r="E63" s="84" t="n">
        <x:f>'SLOT_RULES'!$D$4+IF($A63&lt;='SLOT_RULES'!$D$4,0,INT(($A63-'SLOT_RULES'!$D$4-1)/'SLOT_RULES'!$E$4)+1)*'SLOT_RULES'!$E$4</x:f>
        <x:v>46353</x:v>
      </x:c>
      <x:c r="F63" s="84" t="n">
        <x:f>'SLOT_RULES'!$D$5+IF($A63&lt;='SLOT_RULES'!$D$5,0,INT(($A63-'SLOT_RULES'!$D$5-1)/'SLOT_RULES'!$E$5)+1)*'SLOT_RULES'!$E$5</x:f>
        <x:v>46332</x:v>
      </x:c>
      <x:c r="G63" s="84" t="n">
        <x:f>'SLOT_RULES'!$D$6+IF($A63&lt;='SLOT_RULES'!$D$6,0,INT(($A63-'SLOT_RULES'!$D$6-1)/'SLOT_RULES'!$E$6)+1)*'SLOT_RULES'!$E$6</x:f>
        <x:v>46339</x:v>
      </x:c>
      <x:c r="H63" s="84" t="n">
        <x:f>'SLOT_RULES'!$D$7+IF($A63&lt;='SLOT_RULES'!$D$7,0,INT(($A63-'SLOT_RULES'!$D$7-1)/'SLOT_RULES'!$E$7)+1)*'SLOT_RULES'!$E$7</x:f>
        <x:v>46346</x:v>
      </x:c>
      <x:c r="I63" s="84" t="n">
        <x:f>'SLOT_RULES'!$D$8+IF($A63&lt;='SLOT_RULES'!$D$8,0,INT(($A63-'SLOT_RULES'!$D$8-1)/'SLOT_RULES'!$E$8)+1)*'SLOT_RULES'!$E$8</x:f>
        <x:v>46328</x:v>
      </x:c>
      <x:c r="J63" s="84" t="n">
        <x:f>'SLOT_RULES'!$D$9+IF($A63&lt;='SLOT_RULES'!$D$9,0,INT(($A63-'SLOT_RULES'!$D$9-1)/'SLOT_RULES'!$E$9)+1)*'SLOT_RULES'!$E$9</x:f>
        <x:v>46342</x:v>
      </x:c>
      <x:c r="K63" s="84" t="n">
        <x:f>'SLOT_RULES'!$D$10+IF($A63&lt;='SLOT_RULES'!$D$10,0,INT(($A63-'SLOT_RULES'!$D$10-1)/'SLOT_RULES'!$E$10)+1)*'SLOT_RULES'!$E$10</x:f>
        <x:v>46329</x:v>
      </x:c>
      <x:c r="L63" s="84" t="n">
        <x:f>'SLOT_RULES'!$D$11+IF($A63&lt;='SLOT_RULES'!$D$11,0,INT(($A63-'SLOT_RULES'!$D$11-1)/'SLOT_RULES'!$E$11)+1)*'SLOT_RULES'!$E$11</x:f>
        <x:v>46336</x:v>
      </x:c>
      <x:c r="M63" s="84" t="n">
        <x:f>'SLOT_RULES'!$D$12+IF($A63&lt;='SLOT_RULES'!$D$12,0,INT(($A63-'SLOT_RULES'!$D$12-1)/'SLOT_RULES'!$E$12)+1)*'SLOT_RULES'!$E$12</x:f>
        <x:v>46341</x:v>
      </x:c>
      <x:c r="N63" s="84" t="n">
        <x:f>'SLOT_RULES'!$D$13+IF($A63&lt;='SLOT_RULES'!$D$13,0,INT(($A63-'SLOT_RULES'!$D$13-1)/'SLOT_RULES'!$E$13)+1)*'SLOT_RULES'!$E$13</x:f>
        <x:v>46391</x:v>
      </x:c>
      <x:c r="O63" s="84" t="n">
        <x:f>'SLOT_RULES'!$D$14+IF($A63&lt;='SLOT_RULES'!$D$14,0,INT(($A63-'SLOT_RULES'!$D$14-1)/'SLOT_RULES'!$E$14)+1)*'SLOT_RULES'!$E$14</x:f>
        <x:v>46350</x:v>
      </x:c>
      <x:c r="P63" s="84" t="n">
        <x:f>'SLOT_RULES'!$D$15+IF($A63&lt;='SLOT_RULES'!$D$15,0,INT(($A63-'SLOT_RULES'!$D$15-1)/'SLOT_RULES'!$E$15)+1)*'SLOT_RULES'!$E$15</x:f>
        <x:v>46422</x:v>
      </x:c>
      <x:c r="Q63" s="85" t="n">
        <x:f>MIN(E63:P63)-A63</x:f>
        <x:v>2</x:v>
      </x:c>
      <x:c r="R63" s="85" t="n">
        <x:f>MAX(E63:P63)-A63</x:f>
        <x:v>96</x:v>
      </x:c>
      <x:c r="S63" s="86" t="str">
        <x:f>IF(AND(COUNT(E63:P63)=12,MIN(E63:P63)&gt;=A63),"PASS","FAIL")</x:f>
        <x:v>PASS</x:v>
      </x:c>
      <x:c r="T63" s="86" t="str">
        <x:f>IF((COUNTIF('LOCAL_REFERENCE'!$D63:$O63,E63)+COUNTIF('LOCAL_REFERENCE'!$D63:$O63,F63)+COUNTIF('LOCAL_REFERENCE'!$D63:$O63,G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x:f>
        <x:v>PASS</x:v>
      </x:c>
      <x:c r="U63" s="86" t="str">
        <x:f>IF((COUNTIF('VPS_REFERENCE'!$D63:$H63,E63)+COUNTIF('VPS_REFERENCE'!$D63:$H63,F63)+COUNTIF('VPS_REFERENCE'!$D63:$H63,G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x:f>
        <x:v>PASS</x:v>
      </x:c>
      <x:c r="V63" s="86" t="str">
        <x:f>IF(OR(E63=F63,E63=G63,E63=H63,E63=I63,E63=J63,E63=K63,E63=L63,E63=M63,E63=N63,E63=O63,E63=P63,F63=G63,F63=H63,F63=I63,F63=J63,F63=K63,F63=L63,F63=M63,F63=N63,F63=O63,F63=P63,G63=H63,G63=I63,G63=J63,G63=K63,G63=L63,G63=M63,G63=N63,G63=O63,G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x:f>
        <x:v>PASS</x:v>
      </x:c>
      <x:c r="W63" s="87" t="str">
        <x:f>'CRAWL_LOG'!B63</x:f>
        <x:v>Chưa chạy</x:v>
      </x:c>
      <x:c r="X63" s="95" t="str">
        <x:v>Aux-local complementary panel; benchmark gate pending</x:v>
      </x:c>
    </x:row>
    <x:row r="64">
      <x:c r="A64" s="82" t="n">
        <x:v>46327</x:v>
      </x:c>
      <x:c r="B64" s="83" t="str">
        <x:v>Chủ Nhật</x:v>
      </x:c>
      <x:c r="C64" s="83" t="str">
        <x:v>Official</x:v>
      </x:c>
      <x:c r="D64" s="83" t="str">
        <x:v>00:30</x:v>
      </x:c>
      <x:c r="E64" s="84" t="n">
        <x:f>'SLOT_RULES'!$D$4+IF($A64&lt;='SLOT_RULES'!$D$4,0,INT(($A64-'SLOT_RULES'!$D$4-1)/'SLOT_RULES'!$E$4)+1)*'SLOT_RULES'!$E$4</x:f>
        <x:v>46353</x:v>
      </x:c>
      <x:c r="F64" s="84" t="n">
        <x:f>'SLOT_RULES'!$D$5+IF($A64&lt;='SLOT_RULES'!$D$5,0,INT(($A64-'SLOT_RULES'!$D$5-1)/'SLOT_RULES'!$E$5)+1)*'SLOT_RULES'!$E$5</x:f>
        <x:v>46332</x:v>
      </x:c>
      <x:c r="G64" s="84" t="n">
        <x:f>'SLOT_RULES'!$D$6+IF($A64&lt;='SLOT_RULES'!$D$6,0,INT(($A64-'SLOT_RULES'!$D$6-1)/'SLOT_RULES'!$E$6)+1)*'SLOT_RULES'!$E$6</x:f>
        <x:v>46339</x:v>
      </x:c>
      <x:c r="H64" s="84" t="n">
        <x:f>'SLOT_RULES'!$D$7+IF($A64&lt;='SLOT_RULES'!$D$7,0,INT(($A64-'SLOT_RULES'!$D$7-1)/'SLOT_RULES'!$E$7)+1)*'SLOT_RULES'!$E$7</x:f>
        <x:v>46346</x:v>
      </x:c>
      <x:c r="I64" s="84" t="n">
        <x:f>'SLOT_RULES'!$D$8+IF($A64&lt;='SLOT_RULES'!$D$8,0,INT(($A64-'SLOT_RULES'!$D$8-1)/'SLOT_RULES'!$E$8)+1)*'SLOT_RULES'!$E$8</x:f>
        <x:v>46328</x:v>
      </x:c>
      <x:c r="J64" s="84" t="n">
        <x:f>'SLOT_RULES'!$D$9+IF($A64&lt;='SLOT_RULES'!$D$9,0,INT(($A64-'SLOT_RULES'!$D$9-1)/'SLOT_RULES'!$E$9)+1)*'SLOT_RULES'!$E$9</x:f>
        <x:v>46342</x:v>
      </x:c>
      <x:c r="K64" s="84" t="n">
        <x:f>'SLOT_RULES'!$D$10+IF($A64&lt;='SLOT_RULES'!$D$10,0,INT(($A64-'SLOT_RULES'!$D$10-1)/'SLOT_RULES'!$E$10)+1)*'SLOT_RULES'!$E$10</x:f>
        <x:v>46329</x:v>
      </x:c>
      <x:c r="L64" s="84" t="n">
        <x:f>'SLOT_RULES'!$D$11+IF($A64&lt;='SLOT_RULES'!$D$11,0,INT(($A64-'SLOT_RULES'!$D$11-1)/'SLOT_RULES'!$E$11)+1)*'SLOT_RULES'!$E$11</x:f>
        <x:v>46336</x:v>
      </x:c>
      <x:c r="M64" s="84" t="n">
        <x:f>'SLOT_RULES'!$D$12+IF($A64&lt;='SLOT_RULES'!$D$12,0,INT(($A64-'SLOT_RULES'!$D$12-1)/'SLOT_RULES'!$E$12)+1)*'SLOT_RULES'!$E$12</x:f>
        <x:v>46341</x:v>
      </x:c>
      <x:c r="N64" s="84" t="n">
        <x:f>'SLOT_RULES'!$D$13+IF($A64&lt;='SLOT_RULES'!$D$13,0,INT(($A64-'SLOT_RULES'!$D$13-1)/'SLOT_RULES'!$E$13)+1)*'SLOT_RULES'!$E$13</x:f>
        <x:v>46391</x:v>
      </x:c>
      <x:c r="O64" s="84" t="n">
        <x:f>'SLOT_RULES'!$D$14+IF($A64&lt;='SLOT_RULES'!$D$14,0,INT(($A64-'SLOT_RULES'!$D$14-1)/'SLOT_RULES'!$E$14)+1)*'SLOT_RULES'!$E$14</x:f>
        <x:v>46350</x:v>
      </x:c>
      <x:c r="P64" s="84" t="n">
        <x:f>'SLOT_RULES'!$D$15+IF($A64&lt;='SLOT_RULES'!$D$15,0,INT(($A64-'SLOT_RULES'!$D$15-1)/'SLOT_RULES'!$E$15)+1)*'SLOT_RULES'!$E$15</x:f>
        <x:v>46422</x:v>
      </x:c>
      <x:c r="Q64" s="85" t="n">
        <x:f>MIN(E64:P64)-A64</x:f>
        <x:v>1</x:v>
      </x:c>
      <x:c r="R64" s="85" t="n">
        <x:f>MAX(E64:P64)-A64</x:f>
        <x:v>95</x:v>
      </x:c>
      <x:c r="S64" s="86" t="str">
        <x:f>IF(AND(COUNT(E64:P64)=12,MIN(E64:P64)&gt;=A64),"PASS","FAIL")</x:f>
        <x:v>PASS</x:v>
      </x:c>
      <x:c r="T64" s="86" t="str">
        <x:f>IF((COUNTIF('LOCAL_REFERENCE'!$D64:$O64,E64)+COUNTIF('LOCAL_REFERENCE'!$D64:$O64,F64)+COUNTIF('LOCAL_REFERENCE'!$D64:$O64,G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x:f>
        <x:v>PASS</x:v>
      </x:c>
      <x:c r="U64" s="86" t="str">
        <x:f>IF((COUNTIF('VPS_REFERENCE'!$D64:$H64,E64)+COUNTIF('VPS_REFERENCE'!$D64:$H64,F64)+COUNTIF('VPS_REFERENCE'!$D64:$H64,G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x:f>
        <x:v>PASS</x:v>
      </x:c>
      <x:c r="V64" s="86" t="str">
        <x:f>IF(OR(E64=F64,E64=G64,E64=H64,E64=I64,E64=J64,E64=K64,E64=L64,E64=M64,E64=N64,E64=O64,E64=P64,F64=G64,F64=H64,F64=I64,F64=J64,F64=K64,F64=L64,F64=M64,F64=N64,F64=O64,F64=P64,G64=H64,G64=I64,G64=J64,G64=K64,G64=L64,G64=M64,G64=N64,G64=O64,G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x:f>
        <x:v>PASS</x:v>
      </x:c>
      <x:c r="W64" s="87" t="str">
        <x:f>'CRAWL_LOG'!B64</x:f>
        <x:v>Chưa chạy</x:v>
      </x:c>
      <x:c r="X64" s="95" t="str">
        <x:v>Aux-local complementary panel; benchmark gate pending</x:v>
      </x:c>
    </x:row>
    <x:row r="65">
      <x:c r="A65" s="82" t="n">
        <x:v>46328</x:v>
      </x:c>
      <x:c r="B65" s="83" t="str">
        <x:v>Thứ Hai</x:v>
      </x:c>
      <x:c r="C65" s="83" t="str">
        <x:v>Official</x:v>
      </x:c>
      <x:c r="D65" s="83" t="str">
        <x:v>00:30</x:v>
      </x:c>
      <x:c r="E65" s="84" t="n">
        <x:f>'SLOT_RULES'!$D$4+IF($A65&lt;='SLOT_RULES'!$D$4,0,INT(($A65-'SLOT_RULES'!$D$4-1)/'SLOT_RULES'!$E$4)+1)*'SLOT_RULES'!$E$4</x:f>
        <x:v>46353</x:v>
      </x:c>
      <x:c r="F65" s="84" t="n">
        <x:f>'SLOT_RULES'!$D$5+IF($A65&lt;='SLOT_RULES'!$D$5,0,INT(($A65-'SLOT_RULES'!$D$5-1)/'SLOT_RULES'!$E$5)+1)*'SLOT_RULES'!$E$5</x:f>
        <x:v>46332</x:v>
      </x:c>
      <x:c r="G65" s="84" t="n">
        <x:f>'SLOT_RULES'!$D$6+IF($A65&lt;='SLOT_RULES'!$D$6,0,INT(($A65-'SLOT_RULES'!$D$6-1)/'SLOT_RULES'!$E$6)+1)*'SLOT_RULES'!$E$6</x:f>
        <x:v>46339</x:v>
      </x:c>
      <x:c r="H65" s="84" t="n">
        <x:f>'SLOT_RULES'!$D$7+IF($A65&lt;='SLOT_RULES'!$D$7,0,INT(($A65-'SLOT_RULES'!$D$7-1)/'SLOT_RULES'!$E$7)+1)*'SLOT_RULES'!$E$7</x:f>
        <x:v>46346</x:v>
      </x:c>
      <x:c r="I65" s="84" t="n">
        <x:f>'SLOT_RULES'!$D$8+IF($A65&lt;='SLOT_RULES'!$D$8,0,INT(($A65-'SLOT_RULES'!$D$8-1)/'SLOT_RULES'!$E$8)+1)*'SLOT_RULES'!$E$8</x:f>
        <x:v>46328</x:v>
      </x:c>
      <x:c r="J65" s="84" t="n">
        <x:f>'SLOT_RULES'!$D$9+IF($A65&lt;='SLOT_RULES'!$D$9,0,INT(($A65-'SLOT_RULES'!$D$9-1)/'SLOT_RULES'!$E$9)+1)*'SLOT_RULES'!$E$9</x:f>
        <x:v>46342</x:v>
      </x:c>
      <x:c r="K65" s="84" t="n">
        <x:f>'SLOT_RULES'!$D$10+IF($A65&lt;='SLOT_RULES'!$D$10,0,INT(($A65-'SLOT_RULES'!$D$10-1)/'SLOT_RULES'!$E$10)+1)*'SLOT_RULES'!$E$10</x:f>
        <x:v>46329</x:v>
      </x:c>
      <x:c r="L65" s="84" t="n">
        <x:f>'SLOT_RULES'!$D$11+IF($A65&lt;='SLOT_RULES'!$D$11,0,INT(($A65-'SLOT_RULES'!$D$11-1)/'SLOT_RULES'!$E$11)+1)*'SLOT_RULES'!$E$11</x:f>
        <x:v>46336</x:v>
      </x:c>
      <x:c r="M65" s="84" t="n">
        <x:f>'SLOT_RULES'!$D$12+IF($A65&lt;='SLOT_RULES'!$D$12,0,INT(($A65-'SLOT_RULES'!$D$12-1)/'SLOT_RULES'!$E$12)+1)*'SLOT_RULES'!$E$12</x:f>
        <x:v>46341</x:v>
      </x:c>
      <x:c r="N65" s="84" t="n">
        <x:f>'SLOT_RULES'!$D$13+IF($A65&lt;='SLOT_RULES'!$D$13,0,INT(($A65-'SLOT_RULES'!$D$13-1)/'SLOT_RULES'!$E$13)+1)*'SLOT_RULES'!$E$13</x:f>
        <x:v>46391</x:v>
      </x:c>
      <x:c r="O65" s="84" t="n">
        <x:f>'SLOT_RULES'!$D$14+IF($A65&lt;='SLOT_RULES'!$D$14,0,INT(($A65-'SLOT_RULES'!$D$14-1)/'SLOT_RULES'!$E$14)+1)*'SLOT_RULES'!$E$14</x:f>
        <x:v>46350</x:v>
      </x:c>
      <x:c r="P65" s="84" t="n">
        <x:f>'SLOT_RULES'!$D$15+IF($A65&lt;='SLOT_RULES'!$D$15,0,INT(($A65-'SLOT_RULES'!$D$15-1)/'SLOT_RULES'!$E$15)+1)*'SLOT_RULES'!$E$15</x:f>
        <x:v>46422</x:v>
      </x:c>
      <x:c r="Q65" s="85" t="n">
        <x:f>MIN(E65:P65)-A65</x:f>
        <x:v>0</x:v>
      </x:c>
      <x:c r="R65" s="85" t="n">
        <x:f>MAX(E65:P65)-A65</x:f>
        <x:v>94</x:v>
      </x:c>
      <x:c r="S65" s="86" t="str">
        <x:f>IF(AND(COUNT(E65:P65)=12,MIN(E65:P65)&gt;=A65),"PASS","FAIL")</x:f>
        <x:v>PASS</x:v>
      </x:c>
      <x:c r="T65" s="86" t="str">
        <x:f>IF((COUNTIF('LOCAL_REFERENCE'!$D65:$O65,E65)+COUNTIF('LOCAL_REFERENCE'!$D65:$O65,F65)+COUNTIF('LOCAL_REFERENCE'!$D65:$O65,G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x:f>
        <x:v>PASS</x:v>
      </x:c>
      <x:c r="U65" s="86" t="str">
        <x:f>IF((COUNTIF('VPS_REFERENCE'!$D65:$H65,E65)+COUNTIF('VPS_REFERENCE'!$D65:$H65,F65)+COUNTIF('VPS_REFERENCE'!$D65:$H65,G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x:f>
        <x:v>PASS</x:v>
      </x:c>
      <x:c r="V65" s="86" t="str">
        <x:f>IF(OR(E65=F65,E65=G65,E65=H65,E65=I65,E65=J65,E65=K65,E65=L65,E65=M65,E65=N65,E65=O65,E65=P65,F65=G65,F65=H65,F65=I65,F65=J65,F65=K65,F65=L65,F65=M65,F65=N65,F65=O65,F65=P65,G65=H65,G65=I65,G65=J65,G65=K65,G65=L65,G65=M65,G65=N65,G65=O65,G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x:f>
        <x:v>PASS</x:v>
      </x:c>
      <x:c r="W65" s="87" t="str">
        <x:f>'CRAWL_LOG'!B65</x:f>
        <x:v>Chưa chạy</x:v>
      </x:c>
      <x:c r="X65" s="95" t="str">
        <x:v>Aux-local complementary panel; benchmark gate pending</x:v>
      </x:c>
    </x:row>
    <x:row r="66">
      <x:c r="A66" s="82" t="n">
        <x:v>46329</x:v>
      </x:c>
      <x:c r="B66" s="83" t="str">
        <x:v>Thứ Ba</x:v>
      </x:c>
      <x:c r="C66" s="83" t="str">
        <x:v>Official</x:v>
      </x:c>
      <x:c r="D66" s="83" t="str">
        <x:v>00:30</x:v>
      </x:c>
      <x:c r="E66" s="84" t="n">
        <x:f>'SLOT_RULES'!$D$4+IF($A66&lt;='SLOT_RULES'!$D$4,0,INT(($A66-'SLOT_RULES'!$D$4-1)/'SLOT_RULES'!$E$4)+1)*'SLOT_RULES'!$E$4</x:f>
        <x:v>46353</x:v>
      </x:c>
      <x:c r="F66" s="84" t="n">
        <x:f>'SLOT_RULES'!$D$5+IF($A66&lt;='SLOT_RULES'!$D$5,0,INT(($A66-'SLOT_RULES'!$D$5-1)/'SLOT_RULES'!$E$5)+1)*'SLOT_RULES'!$E$5</x:f>
        <x:v>46332</x:v>
      </x:c>
      <x:c r="G66" s="84" t="n">
        <x:f>'SLOT_RULES'!$D$6+IF($A66&lt;='SLOT_RULES'!$D$6,0,INT(($A66-'SLOT_RULES'!$D$6-1)/'SLOT_RULES'!$E$6)+1)*'SLOT_RULES'!$E$6</x:f>
        <x:v>46339</x:v>
      </x:c>
      <x:c r="H66" s="84" t="n">
        <x:f>'SLOT_RULES'!$D$7+IF($A66&lt;='SLOT_RULES'!$D$7,0,INT(($A66-'SLOT_RULES'!$D$7-1)/'SLOT_RULES'!$E$7)+1)*'SLOT_RULES'!$E$7</x:f>
        <x:v>46346</x:v>
      </x:c>
      <x:c r="I66" s="84" t="n">
        <x:f>'SLOT_RULES'!$D$8+IF($A66&lt;='SLOT_RULES'!$D$8,0,INT(($A66-'SLOT_RULES'!$D$8-1)/'SLOT_RULES'!$E$8)+1)*'SLOT_RULES'!$E$8</x:f>
        <x:v>46356</x:v>
      </x:c>
      <x:c r="J66" s="84" t="n">
        <x:f>'SLOT_RULES'!$D$9+IF($A66&lt;='SLOT_RULES'!$D$9,0,INT(($A66-'SLOT_RULES'!$D$9-1)/'SLOT_RULES'!$E$9)+1)*'SLOT_RULES'!$E$9</x:f>
        <x:v>46342</x:v>
      </x:c>
      <x:c r="K66" s="84" t="n">
        <x:f>'SLOT_RULES'!$D$10+IF($A66&lt;='SLOT_RULES'!$D$10,0,INT(($A66-'SLOT_RULES'!$D$10-1)/'SLOT_RULES'!$E$10)+1)*'SLOT_RULES'!$E$10</x:f>
        <x:v>46329</x:v>
      </x:c>
      <x:c r="L66" s="84" t="n">
        <x:f>'SLOT_RULES'!$D$11+IF($A66&lt;='SLOT_RULES'!$D$11,0,INT(($A66-'SLOT_RULES'!$D$11-1)/'SLOT_RULES'!$E$11)+1)*'SLOT_RULES'!$E$11</x:f>
        <x:v>46336</x:v>
      </x:c>
      <x:c r="M66" s="84" t="n">
        <x:f>'SLOT_RULES'!$D$12+IF($A66&lt;='SLOT_RULES'!$D$12,0,INT(($A66-'SLOT_RULES'!$D$12-1)/'SLOT_RULES'!$E$12)+1)*'SLOT_RULES'!$E$12</x:f>
        <x:v>46341</x:v>
      </x:c>
      <x:c r="N66" s="84" t="n">
        <x:f>'SLOT_RULES'!$D$13+IF($A66&lt;='SLOT_RULES'!$D$13,0,INT(($A66-'SLOT_RULES'!$D$13-1)/'SLOT_RULES'!$E$13)+1)*'SLOT_RULES'!$E$13</x:f>
        <x:v>46391</x:v>
      </x:c>
      <x:c r="O66" s="84" t="n">
        <x:f>'SLOT_RULES'!$D$14+IF($A66&lt;='SLOT_RULES'!$D$14,0,INT(($A66-'SLOT_RULES'!$D$14-1)/'SLOT_RULES'!$E$14)+1)*'SLOT_RULES'!$E$14</x:f>
        <x:v>46350</x:v>
      </x:c>
      <x:c r="P66" s="84" t="n">
        <x:f>'SLOT_RULES'!$D$15+IF($A66&lt;='SLOT_RULES'!$D$15,0,INT(($A66-'SLOT_RULES'!$D$15-1)/'SLOT_RULES'!$E$15)+1)*'SLOT_RULES'!$E$15</x:f>
        <x:v>46422</x:v>
      </x:c>
      <x:c r="Q66" s="85" t="n">
        <x:f>MIN(E66:P66)-A66</x:f>
        <x:v>0</x:v>
      </x:c>
      <x:c r="R66" s="85" t="n">
        <x:f>MAX(E66:P66)-A66</x:f>
        <x:v>93</x:v>
      </x:c>
      <x:c r="S66" s="86" t="str">
        <x:f>IF(AND(COUNT(E66:P66)=12,MIN(E66:P66)&gt;=A66),"PASS","FAIL")</x:f>
        <x:v>PASS</x:v>
      </x:c>
      <x:c r="T66" s="86" t="str">
        <x:f>IF((COUNTIF('LOCAL_REFERENCE'!$D66:$O66,E66)+COUNTIF('LOCAL_REFERENCE'!$D66:$O66,F66)+COUNTIF('LOCAL_REFERENCE'!$D66:$O66,G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x:f>
        <x:v>PASS</x:v>
      </x:c>
      <x:c r="U66" s="86" t="str">
        <x:f>IF((COUNTIF('VPS_REFERENCE'!$D66:$H66,E66)+COUNTIF('VPS_REFERENCE'!$D66:$H66,F66)+COUNTIF('VPS_REFERENCE'!$D66:$H66,G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x:f>
        <x:v>PASS</x:v>
      </x:c>
      <x:c r="V66" s="86" t="str">
        <x:f>IF(OR(E66=F66,E66=G66,E66=H66,E66=I66,E66=J66,E66=K66,E66=L66,E66=M66,E66=N66,E66=O66,E66=P66,F66=G66,F66=H66,F66=I66,F66=J66,F66=K66,F66=L66,F66=M66,F66=N66,F66=O66,F66=P66,G66=H66,G66=I66,G66=J66,G66=K66,G66=L66,G66=M66,G66=N66,G66=O66,G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x:f>
        <x:v>PASS</x:v>
      </x:c>
      <x:c r="W66" s="87" t="str">
        <x:f>'CRAWL_LOG'!B66</x:f>
        <x:v>Chưa chạy</x:v>
      </x:c>
      <x:c r="X66" s="95" t="str">
        <x:v>Aux-local complementary panel; benchmark gate pending</x:v>
      </x:c>
    </x:row>
    <x:row r="67">
      <x:c r="A67" s="82" t="n">
        <x:v>46330</x:v>
      </x:c>
      <x:c r="B67" s="83" t="str">
        <x:v>Thứ Tư</x:v>
      </x:c>
      <x:c r="C67" s="83" t="str">
        <x:v>Official</x:v>
      </x:c>
      <x:c r="D67" s="83" t="str">
        <x:v>00:30</x:v>
      </x:c>
      <x:c r="E67" s="84" t="n">
        <x:f>'SLOT_RULES'!$D$4+IF($A67&lt;='SLOT_RULES'!$D$4,0,INT(($A67-'SLOT_RULES'!$D$4-1)/'SLOT_RULES'!$E$4)+1)*'SLOT_RULES'!$E$4</x:f>
        <x:v>46353</x:v>
      </x:c>
      <x:c r="F67" s="84" t="n">
        <x:f>'SLOT_RULES'!$D$5+IF($A67&lt;='SLOT_RULES'!$D$5,0,INT(($A67-'SLOT_RULES'!$D$5-1)/'SLOT_RULES'!$E$5)+1)*'SLOT_RULES'!$E$5</x:f>
        <x:v>46332</x:v>
      </x:c>
      <x:c r="G67" s="84" t="n">
        <x:f>'SLOT_RULES'!$D$6+IF($A67&lt;='SLOT_RULES'!$D$6,0,INT(($A67-'SLOT_RULES'!$D$6-1)/'SLOT_RULES'!$E$6)+1)*'SLOT_RULES'!$E$6</x:f>
        <x:v>46339</x:v>
      </x:c>
      <x:c r="H67" s="84" t="n">
        <x:f>'SLOT_RULES'!$D$7+IF($A67&lt;='SLOT_RULES'!$D$7,0,INT(($A67-'SLOT_RULES'!$D$7-1)/'SLOT_RULES'!$E$7)+1)*'SLOT_RULES'!$E$7</x:f>
        <x:v>46346</x:v>
      </x:c>
      <x:c r="I67" s="84" t="n">
        <x:f>'SLOT_RULES'!$D$8+IF($A67&lt;='SLOT_RULES'!$D$8,0,INT(($A67-'SLOT_RULES'!$D$8-1)/'SLOT_RULES'!$E$8)+1)*'SLOT_RULES'!$E$8</x:f>
        <x:v>46356</x:v>
      </x:c>
      <x:c r="J67" s="84" t="n">
        <x:f>'SLOT_RULES'!$D$9+IF($A67&lt;='SLOT_RULES'!$D$9,0,INT(($A67-'SLOT_RULES'!$D$9-1)/'SLOT_RULES'!$E$9)+1)*'SLOT_RULES'!$E$9</x:f>
        <x:v>46342</x:v>
      </x:c>
      <x:c r="K67" s="84" t="n">
        <x:f>'SLOT_RULES'!$D$10+IF($A67&lt;='SLOT_RULES'!$D$10,0,INT(($A67-'SLOT_RULES'!$D$10-1)/'SLOT_RULES'!$E$10)+1)*'SLOT_RULES'!$E$10</x:f>
        <x:v>46357</x:v>
      </x:c>
      <x:c r="L67" s="84" t="n">
        <x:f>'SLOT_RULES'!$D$11+IF($A67&lt;='SLOT_RULES'!$D$11,0,INT(($A67-'SLOT_RULES'!$D$11-1)/'SLOT_RULES'!$E$11)+1)*'SLOT_RULES'!$E$11</x:f>
        <x:v>46336</x:v>
      </x:c>
      <x:c r="M67" s="84" t="n">
        <x:f>'SLOT_RULES'!$D$12+IF($A67&lt;='SLOT_RULES'!$D$12,0,INT(($A67-'SLOT_RULES'!$D$12-1)/'SLOT_RULES'!$E$12)+1)*'SLOT_RULES'!$E$12</x:f>
        <x:v>46341</x:v>
      </x:c>
      <x:c r="N67" s="84" t="n">
        <x:f>'SLOT_RULES'!$D$13+IF($A67&lt;='SLOT_RULES'!$D$13,0,INT(($A67-'SLOT_RULES'!$D$13-1)/'SLOT_RULES'!$E$13)+1)*'SLOT_RULES'!$E$13</x:f>
        <x:v>46391</x:v>
      </x:c>
      <x:c r="O67" s="84" t="n">
        <x:f>'SLOT_RULES'!$D$14+IF($A67&lt;='SLOT_RULES'!$D$14,0,INT(($A67-'SLOT_RULES'!$D$14-1)/'SLOT_RULES'!$E$14)+1)*'SLOT_RULES'!$E$14</x:f>
        <x:v>46350</x:v>
      </x:c>
      <x:c r="P67" s="84" t="n">
        <x:f>'SLOT_RULES'!$D$15+IF($A67&lt;='SLOT_RULES'!$D$15,0,INT(($A67-'SLOT_RULES'!$D$15-1)/'SLOT_RULES'!$E$15)+1)*'SLOT_RULES'!$E$15</x:f>
        <x:v>46422</x:v>
      </x:c>
      <x:c r="Q67" s="85" t="n">
        <x:f>MIN(E67:P67)-A67</x:f>
        <x:v>2</x:v>
      </x:c>
      <x:c r="R67" s="85" t="n">
        <x:f>MAX(E67:P67)-A67</x:f>
        <x:v>92</x:v>
      </x:c>
      <x:c r="S67" s="86" t="str">
        <x:f>IF(AND(COUNT(E67:P67)=12,MIN(E67:P67)&gt;=A67),"PASS","FAIL")</x:f>
        <x:v>PASS</x:v>
      </x:c>
      <x:c r="T67" s="86" t="str">
        <x:f>IF((COUNTIF('LOCAL_REFERENCE'!$D67:$O67,E67)+COUNTIF('LOCAL_REFERENCE'!$D67:$O67,F67)+COUNTIF('LOCAL_REFERENCE'!$D67:$O67,G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x:f>
        <x:v>PASS</x:v>
      </x:c>
      <x:c r="U67" s="86" t="str">
        <x:f>IF((COUNTIF('VPS_REFERENCE'!$D67:$H67,E67)+COUNTIF('VPS_REFERENCE'!$D67:$H67,F67)+COUNTIF('VPS_REFERENCE'!$D67:$H67,G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x:f>
        <x:v>PASS</x:v>
      </x:c>
      <x:c r="V67" s="86" t="str">
        <x:f>IF(OR(E67=F67,E67=G67,E67=H67,E67=I67,E67=J67,E67=K67,E67=L67,E67=M67,E67=N67,E67=O67,E67=P67,F67=G67,F67=H67,F67=I67,F67=J67,F67=K67,F67=L67,F67=M67,F67=N67,F67=O67,F67=P67,G67=H67,G67=I67,G67=J67,G67=K67,G67=L67,G67=M67,G67=N67,G67=O67,G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x:f>
        <x:v>PASS</x:v>
      </x:c>
      <x:c r="W67" s="87" t="str">
        <x:f>'CRAWL_LOG'!B67</x:f>
        <x:v>Chưa chạy</x:v>
      </x:c>
      <x:c r="X67" s="95" t="str">
        <x:v>Aux-local complementary panel; benchmark gate pending</x:v>
      </x:c>
    </x:row>
    <x:row r="68">
      <x:c r="A68" s="82" t="n">
        <x:v>46331</x:v>
      </x:c>
      <x:c r="B68" s="83" t="str">
        <x:v>Thứ Năm</x:v>
      </x:c>
      <x:c r="C68" s="83" t="str">
        <x:v>Official</x:v>
      </x:c>
      <x:c r="D68" s="83" t="str">
        <x:v>00:30</x:v>
      </x:c>
      <x:c r="E68" s="84" t="n">
        <x:f>'SLOT_RULES'!$D$4+IF($A68&lt;='SLOT_RULES'!$D$4,0,INT(($A68-'SLOT_RULES'!$D$4-1)/'SLOT_RULES'!$E$4)+1)*'SLOT_RULES'!$E$4</x:f>
        <x:v>46353</x:v>
      </x:c>
      <x:c r="F68" s="84" t="n">
        <x:f>'SLOT_RULES'!$D$5+IF($A68&lt;='SLOT_RULES'!$D$5,0,INT(($A68-'SLOT_RULES'!$D$5-1)/'SLOT_RULES'!$E$5)+1)*'SLOT_RULES'!$E$5</x:f>
        <x:v>46332</x:v>
      </x:c>
      <x:c r="G68" s="84" t="n">
        <x:f>'SLOT_RULES'!$D$6+IF($A68&lt;='SLOT_RULES'!$D$6,0,INT(($A68-'SLOT_RULES'!$D$6-1)/'SLOT_RULES'!$E$6)+1)*'SLOT_RULES'!$E$6</x:f>
        <x:v>46339</x:v>
      </x:c>
      <x:c r="H68" s="84" t="n">
        <x:f>'SLOT_RULES'!$D$7+IF($A68&lt;='SLOT_RULES'!$D$7,0,INT(($A68-'SLOT_RULES'!$D$7-1)/'SLOT_RULES'!$E$7)+1)*'SLOT_RULES'!$E$7</x:f>
        <x:v>46346</x:v>
      </x:c>
      <x:c r="I68" s="84" t="n">
        <x:f>'SLOT_RULES'!$D$8+IF($A68&lt;='SLOT_RULES'!$D$8,0,INT(($A68-'SLOT_RULES'!$D$8-1)/'SLOT_RULES'!$E$8)+1)*'SLOT_RULES'!$E$8</x:f>
        <x:v>46356</x:v>
      </x:c>
      <x:c r="J68" s="84" t="n">
        <x:f>'SLOT_RULES'!$D$9+IF($A68&lt;='SLOT_RULES'!$D$9,0,INT(($A68-'SLOT_RULES'!$D$9-1)/'SLOT_RULES'!$E$9)+1)*'SLOT_RULES'!$E$9</x:f>
        <x:v>46342</x:v>
      </x:c>
      <x:c r="K68" s="84" t="n">
        <x:f>'SLOT_RULES'!$D$10+IF($A68&lt;='SLOT_RULES'!$D$10,0,INT(($A68-'SLOT_RULES'!$D$10-1)/'SLOT_RULES'!$E$10)+1)*'SLOT_RULES'!$E$10</x:f>
        <x:v>46357</x:v>
      </x:c>
      <x:c r="L68" s="84" t="n">
        <x:f>'SLOT_RULES'!$D$11+IF($A68&lt;='SLOT_RULES'!$D$11,0,INT(($A68-'SLOT_RULES'!$D$11-1)/'SLOT_RULES'!$E$11)+1)*'SLOT_RULES'!$E$11</x:f>
        <x:v>46336</x:v>
      </x:c>
      <x:c r="M68" s="84" t="n">
        <x:f>'SLOT_RULES'!$D$12+IF($A68&lt;='SLOT_RULES'!$D$12,0,INT(($A68-'SLOT_RULES'!$D$12-1)/'SLOT_RULES'!$E$12)+1)*'SLOT_RULES'!$E$12</x:f>
        <x:v>46341</x:v>
      </x:c>
      <x:c r="N68" s="84" t="n">
        <x:f>'SLOT_RULES'!$D$13+IF($A68&lt;='SLOT_RULES'!$D$13,0,INT(($A68-'SLOT_RULES'!$D$13-1)/'SLOT_RULES'!$E$13)+1)*'SLOT_RULES'!$E$13</x:f>
        <x:v>46391</x:v>
      </x:c>
      <x:c r="O68" s="84" t="n">
        <x:f>'SLOT_RULES'!$D$14+IF($A68&lt;='SLOT_RULES'!$D$14,0,INT(($A68-'SLOT_RULES'!$D$14-1)/'SLOT_RULES'!$E$14)+1)*'SLOT_RULES'!$E$14</x:f>
        <x:v>46350</x:v>
      </x:c>
      <x:c r="P68" s="84" t="n">
        <x:f>'SLOT_RULES'!$D$15+IF($A68&lt;='SLOT_RULES'!$D$15,0,INT(($A68-'SLOT_RULES'!$D$15-1)/'SLOT_RULES'!$E$15)+1)*'SLOT_RULES'!$E$15</x:f>
        <x:v>46422</x:v>
      </x:c>
      <x:c r="Q68" s="85" t="n">
        <x:f>MIN(E68:P68)-A68</x:f>
        <x:v>1</x:v>
      </x:c>
      <x:c r="R68" s="85" t="n">
        <x:f>MAX(E68:P68)-A68</x:f>
        <x:v>91</x:v>
      </x:c>
      <x:c r="S68" s="86" t="str">
        <x:f>IF(AND(COUNT(E68:P68)=12,MIN(E68:P68)&gt;=A68),"PASS","FAIL")</x:f>
        <x:v>PASS</x:v>
      </x:c>
      <x:c r="T68" s="86" t="str">
        <x:f>IF((COUNTIF('LOCAL_REFERENCE'!$D68:$O68,E68)+COUNTIF('LOCAL_REFERENCE'!$D68:$O68,F68)+COUNTIF('LOCAL_REFERENCE'!$D68:$O68,G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x:f>
        <x:v>PASS</x:v>
      </x:c>
      <x:c r="U68" s="86" t="str">
        <x:f>IF((COUNTIF('VPS_REFERENCE'!$D68:$H68,E68)+COUNTIF('VPS_REFERENCE'!$D68:$H68,F68)+COUNTIF('VPS_REFERENCE'!$D68:$H68,G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x:f>
        <x:v>PASS</x:v>
      </x:c>
      <x:c r="V68" s="86" t="str">
        <x:f>IF(OR(E68=F68,E68=G68,E68=H68,E68=I68,E68=J68,E68=K68,E68=L68,E68=M68,E68=N68,E68=O68,E68=P68,F68=G68,F68=H68,F68=I68,F68=J68,F68=K68,F68=L68,F68=M68,F68=N68,F68=O68,F68=P68,G68=H68,G68=I68,G68=J68,G68=K68,G68=L68,G68=M68,G68=N68,G68=O68,G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x:f>
        <x:v>PASS</x:v>
      </x:c>
      <x:c r="W68" s="87" t="str">
        <x:f>'CRAWL_LOG'!B68</x:f>
        <x:v>Chưa chạy</x:v>
      </x:c>
      <x:c r="X68" s="95" t="str">
        <x:v>Aux-local complementary panel; benchmark gate pending</x:v>
      </x:c>
    </x:row>
    <x:row r="69">
      <x:c r="A69" s="82" t="n">
        <x:v>46332</x:v>
      </x:c>
      <x:c r="B69" s="83" t="str">
        <x:v>Thứ Sáu</x:v>
      </x:c>
      <x:c r="C69" s="83" t="str">
        <x:v>Official</x:v>
      </x:c>
      <x:c r="D69" s="83" t="str">
        <x:v>00:30</x:v>
      </x:c>
      <x:c r="E69" s="84" t="n">
        <x:f>'SLOT_RULES'!$D$4+IF($A69&lt;='SLOT_RULES'!$D$4,0,INT(($A69-'SLOT_RULES'!$D$4-1)/'SLOT_RULES'!$E$4)+1)*'SLOT_RULES'!$E$4</x:f>
        <x:v>46353</x:v>
      </x:c>
      <x:c r="F69" s="84" t="n">
        <x:f>'SLOT_RULES'!$D$5+IF($A69&lt;='SLOT_RULES'!$D$5,0,INT(($A69-'SLOT_RULES'!$D$5-1)/'SLOT_RULES'!$E$5)+1)*'SLOT_RULES'!$E$5</x:f>
        <x:v>46332</x:v>
      </x:c>
      <x:c r="G69" s="84" t="n">
        <x:f>'SLOT_RULES'!$D$6+IF($A69&lt;='SLOT_RULES'!$D$6,0,INT(($A69-'SLOT_RULES'!$D$6-1)/'SLOT_RULES'!$E$6)+1)*'SLOT_RULES'!$E$6</x:f>
        <x:v>46339</x:v>
      </x:c>
      <x:c r="H69" s="84" t="n">
        <x:f>'SLOT_RULES'!$D$7+IF($A69&lt;='SLOT_RULES'!$D$7,0,INT(($A69-'SLOT_RULES'!$D$7-1)/'SLOT_RULES'!$E$7)+1)*'SLOT_RULES'!$E$7</x:f>
        <x:v>46346</x:v>
      </x:c>
      <x:c r="I69" s="84" t="n">
        <x:f>'SLOT_RULES'!$D$8+IF($A69&lt;='SLOT_RULES'!$D$8,0,INT(($A69-'SLOT_RULES'!$D$8-1)/'SLOT_RULES'!$E$8)+1)*'SLOT_RULES'!$E$8</x:f>
        <x:v>46356</x:v>
      </x:c>
      <x:c r="J69" s="84" t="n">
        <x:f>'SLOT_RULES'!$D$9+IF($A69&lt;='SLOT_RULES'!$D$9,0,INT(($A69-'SLOT_RULES'!$D$9-1)/'SLOT_RULES'!$E$9)+1)*'SLOT_RULES'!$E$9</x:f>
        <x:v>46342</x:v>
      </x:c>
      <x:c r="K69" s="84" t="n">
        <x:f>'SLOT_RULES'!$D$10+IF($A69&lt;='SLOT_RULES'!$D$10,0,INT(($A69-'SLOT_RULES'!$D$10-1)/'SLOT_RULES'!$E$10)+1)*'SLOT_RULES'!$E$10</x:f>
        <x:v>46357</x:v>
      </x:c>
      <x:c r="L69" s="84" t="n">
        <x:f>'SLOT_RULES'!$D$11+IF($A69&lt;='SLOT_RULES'!$D$11,0,INT(($A69-'SLOT_RULES'!$D$11-1)/'SLOT_RULES'!$E$11)+1)*'SLOT_RULES'!$E$11</x:f>
        <x:v>46336</x:v>
      </x:c>
      <x:c r="M69" s="84" t="n">
        <x:f>'SLOT_RULES'!$D$12+IF($A69&lt;='SLOT_RULES'!$D$12,0,INT(($A69-'SLOT_RULES'!$D$12-1)/'SLOT_RULES'!$E$12)+1)*'SLOT_RULES'!$E$12</x:f>
        <x:v>46341</x:v>
      </x:c>
      <x:c r="N69" s="84" t="n">
        <x:f>'SLOT_RULES'!$D$13+IF($A69&lt;='SLOT_RULES'!$D$13,0,INT(($A69-'SLOT_RULES'!$D$13-1)/'SLOT_RULES'!$E$13)+1)*'SLOT_RULES'!$E$13</x:f>
        <x:v>46391</x:v>
      </x:c>
      <x:c r="O69" s="84" t="n">
        <x:f>'SLOT_RULES'!$D$14+IF($A69&lt;='SLOT_RULES'!$D$14,0,INT(($A69-'SLOT_RULES'!$D$14-1)/'SLOT_RULES'!$E$14)+1)*'SLOT_RULES'!$E$14</x:f>
        <x:v>46350</x:v>
      </x:c>
      <x:c r="P69" s="84" t="n">
        <x:f>'SLOT_RULES'!$D$15+IF($A69&lt;='SLOT_RULES'!$D$15,0,INT(($A69-'SLOT_RULES'!$D$15-1)/'SLOT_RULES'!$E$15)+1)*'SLOT_RULES'!$E$15</x:f>
        <x:v>46422</x:v>
      </x:c>
      <x:c r="Q69" s="85" t="n">
        <x:f>MIN(E69:P69)-A69</x:f>
        <x:v>0</x:v>
      </x:c>
      <x:c r="R69" s="85" t="n">
        <x:f>MAX(E69:P69)-A69</x:f>
        <x:v>90</x:v>
      </x:c>
      <x:c r="S69" s="86" t="str">
        <x:f>IF(AND(COUNT(E69:P69)=12,MIN(E69:P69)&gt;=A69),"PASS","FAIL")</x:f>
        <x:v>PASS</x:v>
      </x:c>
      <x:c r="T69" s="86" t="str">
        <x:f>IF((COUNTIF('LOCAL_REFERENCE'!$D69:$O69,E69)+COUNTIF('LOCAL_REFERENCE'!$D69:$O69,F69)+COUNTIF('LOCAL_REFERENCE'!$D69:$O69,G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x:f>
        <x:v>PASS</x:v>
      </x:c>
      <x:c r="U69" s="86" t="str">
        <x:f>IF((COUNTIF('VPS_REFERENCE'!$D69:$H69,E69)+COUNTIF('VPS_REFERENCE'!$D69:$H69,F69)+COUNTIF('VPS_REFERENCE'!$D69:$H69,G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x:f>
        <x:v>PASS</x:v>
      </x:c>
      <x:c r="V69" s="86" t="str">
        <x:f>IF(OR(E69=F69,E69=G69,E69=H69,E69=I69,E69=J69,E69=K69,E69=L69,E69=M69,E69=N69,E69=O69,E69=P69,F69=G69,F69=H69,F69=I69,F69=J69,F69=K69,F69=L69,F69=M69,F69=N69,F69=O69,F69=P69,G69=H69,G69=I69,G69=J69,G69=K69,G69=L69,G69=M69,G69=N69,G69=O69,G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x:f>
        <x:v>PASS</x:v>
      </x:c>
      <x:c r="W69" s="87" t="str">
        <x:f>'CRAWL_LOG'!B69</x:f>
        <x:v>Chưa chạy</x:v>
      </x:c>
      <x:c r="X69" s="95" t="str">
        <x:v>Aux-local complementary panel; benchmark gate pending</x:v>
      </x:c>
    </x:row>
    <x:row r="70">
      <x:c r="A70" s="82" t="n">
        <x:v>46333</x:v>
      </x:c>
      <x:c r="B70" s="83" t="str">
        <x:v>Thứ Bảy</x:v>
      </x:c>
      <x:c r="C70" s="83" t="str">
        <x:v>Official</x:v>
      </x:c>
      <x:c r="D70" s="83" t="str">
        <x:v>00:30</x:v>
      </x:c>
      <x:c r="E70" s="84" t="n">
        <x:f>'SLOT_RULES'!$D$4+IF($A70&lt;='SLOT_RULES'!$D$4,0,INT(($A70-'SLOT_RULES'!$D$4-1)/'SLOT_RULES'!$E$4)+1)*'SLOT_RULES'!$E$4</x:f>
        <x:v>46353</x:v>
      </x:c>
      <x:c r="F70" s="84" t="n">
        <x:f>'SLOT_RULES'!$D$5+IF($A70&lt;='SLOT_RULES'!$D$5,0,INT(($A70-'SLOT_RULES'!$D$5-1)/'SLOT_RULES'!$E$5)+1)*'SLOT_RULES'!$E$5</x:f>
        <x:v>46360</x:v>
      </x:c>
      <x:c r="G70" s="84" t="n">
        <x:f>'SLOT_RULES'!$D$6+IF($A70&lt;='SLOT_RULES'!$D$6,0,INT(($A70-'SLOT_RULES'!$D$6-1)/'SLOT_RULES'!$E$6)+1)*'SLOT_RULES'!$E$6</x:f>
        <x:v>46339</x:v>
      </x:c>
      <x:c r="H70" s="84" t="n">
        <x:f>'SLOT_RULES'!$D$7+IF($A70&lt;='SLOT_RULES'!$D$7,0,INT(($A70-'SLOT_RULES'!$D$7-1)/'SLOT_RULES'!$E$7)+1)*'SLOT_RULES'!$E$7</x:f>
        <x:v>46346</x:v>
      </x:c>
      <x:c r="I70" s="84" t="n">
        <x:f>'SLOT_RULES'!$D$8+IF($A70&lt;='SLOT_RULES'!$D$8,0,INT(($A70-'SLOT_RULES'!$D$8-1)/'SLOT_RULES'!$E$8)+1)*'SLOT_RULES'!$E$8</x:f>
        <x:v>46356</x:v>
      </x:c>
      <x:c r="J70" s="84" t="n">
        <x:f>'SLOT_RULES'!$D$9+IF($A70&lt;='SLOT_RULES'!$D$9,0,INT(($A70-'SLOT_RULES'!$D$9-1)/'SLOT_RULES'!$E$9)+1)*'SLOT_RULES'!$E$9</x:f>
        <x:v>46342</x:v>
      </x:c>
      <x:c r="K70" s="84" t="n">
        <x:f>'SLOT_RULES'!$D$10+IF($A70&lt;='SLOT_RULES'!$D$10,0,INT(($A70-'SLOT_RULES'!$D$10-1)/'SLOT_RULES'!$E$10)+1)*'SLOT_RULES'!$E$10</x:f>
        <x:v>46357</x:v>
      </x:c>
      <x:c r="L70" s="84" t="n">
        <x:f>'SLOT_RULES'!$D$11+IF($A70&lt;='SLOT_RULES'!$D$11,0,INT(($A70-'SLOT_RULES'!$D$11-1)/'SLOT_RULES'!$E$11)+1)*'SLOT_RULES'!$E$11</x:f>
        <x:v>46336</x:v>
      </x:c>
      <x:c r="M70" s="84" t="n">
        <x:f>'SLOT_RULES'!$D$12+IF($A70&lt;='SLOT_RULES'!$D$12,0,INT(($A70-'SLOT_RULES'!$D$12-1)/'SLOT_RULES'!$E$12)+1)*'SLOT_RULES'!$E$12</x:f>
        <x:v>46341</x:v>
      </x:c>
      <x:c r="N70" s="84" t="n">
        <x:f>'SLOT_RULES'!$D$13+IF($A70&lt;='SLOT_RULES'!$D$13,0,INT(($A70-'SLOT_RULES'!$D$13-1)/'SLOT_RULES'!$E$13)+1)*'SLOT_RULES'!$E$13</x:f>
        <x:v>46391</x:v>
      </x:c>
      <x:c r="O70" s="84" t="n">
        <x:f>'SLOT_RULES'!$D$14+IF($A70&lt;='SLOT_RULES'!$D$14,0,INT(($A70-'SLOT_RULES'!$D$14-1)/'SLOT_RULES'!$E$14)+1)*'SLOT_RULES'!$E$14</x:f>
        <x:v>46350</x:v>
      </x:c>
      <x:c r="P70" s="84" t="n">
        <x:f>'SLOT_RULES'!$D$15+IF($A70&lt;='SLOT_RULES'!$D$15,0,INT(($A70-'SLOT_RULES'!$D$15-1)/'SLOT_RULES'!$E$15)+1)*'SLOT_RULES'!$E$15</x:f>
        <x:v>46422</x:v>
      </x:c>
      <x:c r="Q70" s="85" t="n">
        <x:f>MIN(E70:P70)-A70</x:f>
        <x:v>3</x:v>
      </x:c>
      <x:c r="R70" s="85" t="n">
        <x:f>MAX(E70:P70)-A70</x:f>
        <x:v>89</x:v>
      </x:c>
      <x:c r="S70" s="86" t="str">
        <x:f>IF(AND(COUNT(E70:P70)=12,MIN(E70:P70)&gt;=A70),"PASS","FAIL")</x:f>
        <x:v>PASS</x:v>
      </x:c>
      <x:c r="T70" s="86" t="str">
        <x:f>IF((COUNTIF('LOCAL_REFERENCE'!$D70:$O70,E70)+COUNTIF('LOCAL_REFERENCE'!$D70:$O70,F70)+COUNTIF('LOCAL_REFERENCE'!$D70:$O70,G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x:f>
        <x:v>PASS</x:v>
      </x:c>
      <x:c r="U70" s="86" t="str">
        <x:f>IF((COUNTIF('VPS_REFERENCE'!$D70:$H70,E70)+COUNTIF('VPS_REFERENCE'!$D70:$H70,F70)+COUNTIF('VPS_REFERENCE'!$D70:$H70,G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x:f>
        <x:v>PASS</x:v>
      </x:c>
      <x:c r="V70" s="86" t="str">
        <x:f>IF(OR(E70=F70,E70=G70,E70=H70,E70=I70,E70=J70,E70=K70,E70=L70,E70=M70,E70=N70,E70=O70,E70=P70,F70=G70,F70=H70,F70=I70,F70=J70,F70=K70,F70=L70,F70=M70,F70=N70,F70=O70,F70=P70,G70=H70,G70=I70,G70=J70,G70=K70,G70=L70,G70=M70,G70=N70,G70=O70,G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x:f>
        <x:v>PASS</x:v>
      </x:c>
      <x:c r="W70" s="87" t="str">
        <x:f>'CRAWL_LOG'!B70</x:f>
        <x:v>Chưa chạy</x:v>
      </x:c>
      <x:c r="X70" s="95" t="str">
        <x:v>Aux-local complementary panel; benchmark gate pending</x:v>
      </x:c>
    </x:row>
    <x:row r="71">
      <x:c r="A71" s="82" t="n">
        <x:v>46334</x:v>
      </x:c>
      <x:c r="B71" s="83" t="str">
        <x:v>Chủ Nhật</x:v>
      </x:c>
      <x:c r="C71" s="83" t="str">
        <x:v>Official</x:v>
      </x:c>
      <x:c r="D71" s="83" t="str">
        <x:v>00:30</x:v>
      </x:c>
      <x:c r="E71" s="84" t="n">
        <x:f>'SLOT_RULES'!$D$4+IF($A71&lt;='SLOT_RULES'!$D$4,0,INT(($A71-'SLOT_RULES'!$D$4-1)/'SLOT_RULES'!$E$4)+1)*'SLOT_RULES'!$E$4</x:f>
        <x:v>46353</x:v>
      </x:c>
      <x:c r="F71" s="84" t="n">
        <x:f>'SLOT_RULES'!$D$5+IF($A71&lt;='SLOT_RULES'!$D$5,0,INT(($A71-'SLOT_RULES'!$D$5-1)/'SLOT_RULES'!$E$5)+1)*'SLOT_RULES'!$E$5</x:f>
        <x:v>46360</x:v>
      </x:c>
      <x:c r="G71" s="84" t="n">
        <x:f>'SLOT_RULES'!$D$6+IF($A71&lt;='SLOT_RULES'!$D$6,0,INT(($A71-'SLOT_RULES'!$D$6-1)/'SLOT_RULES'!$E$6)+1)*'SLOT_RULES'!$E$6</x:f>
        <x:v>46339</x:v>
      </x:c>
      <x:c r="H71" s="84" t="n">
        <x:f>'SLOT_RULES'!$D$7+IF($A71&lt;='SLOT_RULES'!$D$7,0,INT(($A71-'SLOT_RULES'!$D$7-1)/'SLOT_RULES'!$E$7)+1)*'SLOT_RULES'!$E$7</x:f>
        <x:v>46346</x:v>
      </x:c>
      <x:c r="I71" s="84" t="n">
        <x:f>'SLOT_RULES'!$D$8+IF($A71&lt;='SLOT_RULES'!$D$8,0,INT(($A71-'SLOT_RULES'!$D$8-1)/'SLOT_RULES'!$E$8)+1)*'SLOT_RULES'!$E$8</x:f>
        <x:v>46356</x:v>
      </x:c>
      <x:c r="J71" s="84" t="n">
        <x:f>'SLOT_RULES'!$D$9+IF($A71&lt;='SLOT_RULES'!$D$9,0,INT(($A71-'SLOT_RULES'!$D$9-1)/'SLOT_RULES'!$E$9)+1)*'SLOT_RULES'!$E$9</x:f>
        <x:v>46342</x:v>
      </x:c>
      <x:c r="K71" s="84" t="n">
        <x:f>'SLOT_RULES'!$D$10+IF($A71&lt;='SLOT_RULES'!$D$10,0,INT(($A71-'SLOT_RULES'!$D$10-1)/'SLOT_RULES'!$E$10)+1)*'SLOT_RULES'!$E$10</x:f>
        <x:v>46357</x:v>
      </x:c>
      <x:c r="L71" s="84" t="n">
        <x:f>'SLOT_RULES'!$D$11+IF($A71&lt;='SLOT_RULES'!$D$11,0,INT(($A71-'SLOT_RULES'!$D$11-1)/'SLOT_RULES'!$E$11)+1)*'SLOT_RULES'!$E$11</x:f>
        <x:v>46336</x:v>
      </x:c>
      <x:c r="M71" s="84" t="n">
        <x:f>'SLOT_RULES'!$D$12+IF($A71&lt;='SLOT_RULES'!$D$12,0,INT(($A71-'SLOT_RULES'!$D$12-1)/'SLOT_RULES'!$E$12)+1)*'SLOT_RULES'!$E$12</x:f>
        <x:v>46341</x:v>
      </x:c>
      <x:c r="N71" s="84" t="n">
        <x:f>'SLOT_RULES'!$D$13+IF($A71&lt;='SLOT_RULES'!$D$13,0,INT(($A71-'SLOT_RULES'!$D$13-1)/'SLOT_RULES'!$E$13)+1)*'SLOT_RULES'!$E$13</x:f>
        <x:v>46391</x:v>
      </x:c>
      <x:c r="O71" s="84" t="n">
        <x:f>'SLOT_RULES'!$D$14+IF($A71&lt;='SLOT_RULES'!$D$14,0,INT(($A71-'SLOT_RULES'!$D$14-1)/'SLOT_RULES'!$E$14)+1)*'SLOT_RULES'!$E$14</x:f>
        <x:v>46350</x:v>
      </x:c>
      <x:c r="P71" s="84" t="n">
        <x:f>'SLOT_RULES'!$D$15+IF($A71&lt;='SLOT_RULES'!$D$15,0,INT(($A71-'SLOT_RULES'!$D$15-1)/'SLOT_RULES'!$E$15)+1)*'SLOT_RULES'!$E$15</x:f>
        <x:v>46422</x:v>
      </x:c>
      <x:c r="Q71" s="85" t="n">
        <x:f>MIN(E71:P71)-A71</x:f>
        <x:v>2</x:v>
      </x:c>
      <x:c r="R71" s="85" t="n">
        <x:f>MAX(E71:P71)-A71</x:f>
        <x:v>88</x:v>
      </x:c>
      <x:c r="S71" s="86" t="str">
        <x:f>IF(AND(COUNT(E71:P71)=12,MIN(E71:P71)&gt;=A71),"PASS","FAIL")</x:f>
        <x:v>PASS</x:v>
      </x:c>
      <x:c r="T71" s="86" t="str">
        <x:f>IF((COUNTIF('LOCAL_REFERENCE'!$D71:$O71,E71)+COUNTIF('LOCAL_REFERENCE'!$D71:$O71,F71)+COUNTIF('LOCAL_REFERENCE'!$D71:$O71,G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x:f>
        <x:v>PASS</x:v>
      </x:c>
      <x:c r="U71" s="86" t="str">
        <x:f>IF((COUNTIF('VPS_REFERENCE'!$D71:$H71,E71)+COUNTIF('VPS_REFERENCE'!$D71:$H71,F71)+COUNTIF('VPS_REFERENCE'!$D71:$H71,G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x:f>
        <x:v>PASS</x:v>
      </x:c>
      <x:c r="V71" s="86" t="str">
        <x:f>IF(OR(E71=F71,E71=G71,E71=H71,E71=I71,E71=J71,E71=K71,E71=L71,E71=M71,E71=N71,E71=O71,E71=P71,F71=G71,F71=H71,F71=I71,F71=J71,F71=K71,F71=L71,F71=M71,F71=N71,F71=O71,F71=P71,G71=H71,G71=I71,G71=J71,G71=K71,G71=L71,G71=M71,G71=N71,G71=O71,G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x:f>
        <x:v>PASS</x:v>
      </x:c>
      <x:c r="W71" s="87" t="str">
        <x:f>'CRAWL_LOG'!B71</x:f>
        <x:v>Chưa chạy</x:v>
      </x:c>
      <x:c r="X71" s="95" t="str">
        <x:v>Aux-local complementary panel; benchmark gate pending</x:v>
      </x:c>
    </x:row>
    <x:row r="72">
      <x:c r="A72" s="82" t="n">
        <x:v>46335</x:v>
      </x:c>
      <x:c r="B72" s="83" t="str">
        <x:v>Thứ Hai</x:v>
      </x:c>
      <x:c r="C72" s="83" t="str">
        <x:v>Official</x:v>
      </x:c>
      <x:c r="D72" s="83" t="str">
        <x:v>00:30</x:v>
      </x:c>
      <x:c r="E72" s="84" t="n">
        <x:f>'SLOT_RULES'!$D$4+IF($A72&lt;='SLOT_RULES'!$D$4,0,INT(($A72-'SLOT_RULES'!$D$4-1)/'SLOT_RULES'!$E$4)+1)*'SLOT_RULES'!$E$4</x:f>
        <x:v>46353</x:v>
      </x:c>
      <x:c r="F72" s="84" t="n">
        <x:f>'SLOT_RULES'!$D$5+IF($A72&lt;='SLOT_RULES'!$D$5,0,INT(($A72-'SLOT_RULES'!$D$5-1)/'SLOT_RULES'!$E$5)+1)*'SLOT_RULES'!$E$5</x:f>
        <x:v>46360</x:v>
      </x:c>
      <x:c r="G72" s="84" t="n">
        <x:f>'SLOT_RULES'!$D$6+IF($A72&lt;='SLOT_RULES'!$D$6,0,INT(($A72-'SLOT_RULES'!$D$6-1)/'SLOT_RULES'!$E$6)+1)*'SLOT_RULES'!$E$6</x:f>
        <x:v>46339</x:v>
      </x:c>
      <x:c r="H72" s="84" t="n">
        <x:f>'SLOT_RULES'!$D$7+IF($A72&lt;='SLOT_RULES'!$D$7,0,INT(($A72-'SLOT_RULES'!$D$7-1)/'SLOT_RULES'!$E$7)+1)*'SLOT_RULES'!$E$7</x:f>
        <x:v>46346</x:v>
      </x:c>
      <x:c r="I72" s="84" t="n">
        <x:f>'SLOT_RULES'!$D$8+IF($A72&lt;='SLOT_RULES'!$D$8,0,INT(($A72-'SLOT_RULES'!$D$8-1)/'SLOT_RULES'!$E$8)+1)*'SLOT_RULES'!$E$8</x:f>
        <x:v>46356</x:v>
      </x:c>
      <x:c r="J72" s="84" t="n">
        <x:f>'SLOT_RULES'!$D$9+IF($A72&lt;='SLOT_RULES'!$D$9,0,INT(($A72-'SLOT_RULES'!$D$9-1)/'SLOT_RULES'!$E$9)+1)*'SLOT_RULES'!$E$9</x:f>
        <x:v>46342</x:v>
      </x:c>
      <x:c r="K72" s="84" t="n">
        <x:f>'SLOT_RULES'!$D$10+IF($A72&lt;='SLOT_RULES'!$D$10,0,INT(($A72-'SLOT_RULES'!$D$10-1)/'SLOT_RULES'!$E$10)+1)*'SLOT_RULES'!$E$10</x:f>
        <x:v>46357</x:v>
      </x:c>
      <x:c r="L72" s="84" t="n">
        <x:f>'SLOT_RULES'!$D$11+IF($A72&lt;='SLOT_RULES'!$D$11,0,INT(($A72-'SLOT_RULES'!$D$11-1)/'SLOT_RULES'!$E$11)+1)*'SLOT_RULES'!$E$11</x:f>
        <x:v>46336</x:v>
      </x:c>
      <x:c r="M72" s="84" t="n">
        <x:f>'SLOT_RULES'!$D$12+IF($A72&lt;='SLOT_RULES'!$D$12,0,INT(($A72-'SLOT_RULES'!$D$12-1)/'SLOT_RULES'!$E$12)+1)*'SLOT_RULES'!$E$12</x:f>
        <x:v>46341</x:v>
      </x:c>
      <x:c r="N72" s="84" t="n">
        <x:f>'SLOT_RULES'!$D$13+IF($A72&lt;='SLOT_RULES'!$D$13,0,INT(($A72-'SLOT_RULES'!$D$13-1)/'SLOT_RULES'!$E$13)+1)*'SLOT_RULES'!$E$13</x:f>
        <x:v>46391</x:v>
      </x:c>
      <x:c r="O72" s="84" t="n">
        <x:f>'SLOT_RULES'!$D$14+IF($A72&lt;='SLOT_RULES'!$D$14,0,INT(($A72-'SLOT_RULES'!$D$14-1)/'SLOT_RULES'!$E$14)+1)*'SLOT_RULES'!$E$14</x:f>
        <x:v>46350</x:v>
      </x:c>
      <x:c r="P72" s="84" t="n">
        <x:f>'SLOT_RULES'!$D$15+IF($A72&lt;='SLOT_RULES'!$D$15,0,INT(($A72-'SLOT_RULES'!$D$15-1)/'SLOT_RULES'!$E$15)+1)*'SLOT_RULES'!$E$15</x:f>
        <x:v>46422</x:v>
      </x:c>
      <x:c r="Q72" s="85" t="n">
        <x:f>MIN(E72:P72)-A72</x:f>
        <x:v>1</x:v>
      </x:c>
      <x:c r="R72" s="85" t="n">
        <x:f>MAX(E72:P72)-A72</x:f>
        <x:v>87</x:v>
      </x:c>
      <x:c r="S72" s="86" t="str">
        <x:f>IF(AND(COUNT(E72:P72)=12,MIN(E72:P72)&gt;=A72),"PASS","FAIL")</x:f>
        <x:v>PASS</x:v>
      </x:c>
      <x:c r="T72" s="86" t="str">
        <x:f>IF((COUNTIF('LOCAL_REFERENCE'!$D72:$O72,E72)+COUNTIF('LOCAL_REFERENCE'!$D72:$O72,F72)+COUNTIF('LOCAL_REFERENCE'!$D72:$O72,G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x:f>
        <x:v>PASS</x:v>
      </x:c>
      <x:c r="U72" s="86" t="str">
        <x:f>IF((COUNTIF('VPS_REFERENCE'!$D72:$H72,E72)+COUNTIF('VPS_REFERENCE'!$D72:$H72,F72)+COUNTIF('VPS_REFERENCE'!$D72:$H72,G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x:f>
        <x:v>PASS</x:v>
      </x:c>
      <x:c r="V72" s="86" t="str">
        <x:f>IF(OR(E72=F72,E72=G72,E72=H72,E72=I72,E72=J72,E72=K72,E72=L72,E72=M72,E72=N72,E72=O72,E72=P72,F72=G72,F72=H72,F72=I72,F72=J72,F72=K72,F72=L72,F72=M72,F72=N72,F72=O72,F72=P72,G72=H72,G72=I72,G72=J72,G72=K72,G72=L72,G72=M72,G72=N72,G72=O72,G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x:f>
        <x:v>PASS</x:v>
      </x:c>
      <x:c r="W72" s="87" t="str">
        <x:f>'CRAWL_LOG'!B72</x:f>
        <x:v>Chưa chạy</x:v>
      </x:c>
      <x:c r="X72" s="95" t="str">
        <x:v>Aux-local complementary panel; benchmark gate pending</x:v>
      </x:c>
    </x:row>
    <x:row r="73">
      <x:c r="A73" s="82" t="n">
        <x:v>46336</x:v>
      </x:c>
      <x:c r="B73" s="83" t="str">
        <x:v>Thứ Ba</x:v>
      </x:c>
      <x:c r="C73" s="83" t="str">
        <x:v>Official</x:v>
      </x:c>
      <x:c r="D73" s="83" t="str">
        <x:v>00:30</x:v>
      </x:c>
      <x:c r="E73" s="84" t="n">
        <x:f>'SLOT_RULES'!$D$4+IF($A73&lt;='SLOT_RULES'!$D$4,0,INT(($A73-'SLOT_RULES'!$D$4-1)/'SLOT_RULES'!$E$4)+1)*'SLOT_RULES'!$E$4</x:f>
        <x:v>46353</x:v>
      </x:c>
      <x:c r="F73" s="84" t="n">
        <x:f>'SLOT_RULES'!$D$5+IF($A73&lt;='SLOT_RULES'!$D$5,0,INT(($A73-'SLOT_RULES'!$D$5-1)/'SLOT_RULES'!$E$5)+1)*'SLOT_RULES'!$E$5</x:f>
        <x:v>46360</x:v>
      </x:c>
      <x:c r="G73" s="84" t="n">
        <x:f>'SLOT_RULES'!$D$6+IF($A73&lt;='SLOT_RULES'!$D$6,0,INT(($A73-'SLOT_RULES'!$D$6-1)/'SLOT_RULES'!$E$6)+1)*'SLOT_RULES'!$E$6</x:f>
        <x:v>46339</x:v>
      </x:c>
      <x:c r="H73" s="84" t="n">
        <x:f>'SLOT_RULES'!$D$7+IF($A73&lt;='SLOT_RULES'!$D$7,0,INT(($A73-'SLOT_RULES'!$D$7-1)/'SLOT_RULES'!$E$7)+1)*'SLOT_RULES'!$E$7</x:f>
        <x:v>46346</x:v>
      </x:c>
      <x:c r="I73" s="84" t="n">
        <x:f>'SLOT_RULES'!$D$8+IF($A73&lt;='SLOT_RULES'!$D$8,0,INT(($A73-'SLOT_RULES'!$D$8-1)/'SLOT_RULES'!$E$8)+1)*'SLOT_RULES'!$E$8</x:f>
        <x:v>46356</x:v>
      </x:c>
      <x:c r="J73" s="84" t="n">
        <x:f>'SLOT_RULES'!$D$9+IF($A73&lt;='SLOT_RULES'!$D$9,0,INT(($A73-'SLOT_RULES'!$D$9-1)/'SLOT_RULES'!$E$9)+1)*'SLOT_RULES'!$E$9</x:f>
        <x:v>46342</x:v>
      </x:c>
      <x:c r="K73" s="84" t="n">
        <x:f>'SLOT_RULES'!$D$10+IF($A73&lt;='SLOT_RULES'!$D$10,0,INT(($A73-'SLOT_RULES'!$D$10-1)/'SLOT_RULES'!$E$10)+1)*'SLOT_RULES'!$E$10</x:f>
        <x:v>46357</x:v>
      </x:c>
      <x:c r="L73" s="84" t="n">
        <x:f>'SLOT_RULES'!$D$11+IF($A73&lt;='SLOT_RULES'!$D$11,0,INT(($A73-'SLOT_RULES'!$D$11-1)/'SLOT_RULES'!$E$11)+1)*'SLOT_RULES'!$E$11</x:f>
        <x:v>46336</x:v>
      </x:c>
      <x:c r="M73" s="84" t="n">
        <x:f>'SLOT_RULES'!$D$12+IF($A73&lt;='SLOT_RULES'!$D$12,0,INT(($A73-'SLOT_RULES'!$D$12-1)/'SLOT_RULES'!$E$12)+1)*'SLOT_RULES'!$E$12</x:f>
        <x:v>46341</x:v>
      </x:c>
      <x:c r="N73" s="84" t="n">
        <x:f>'SLOT_RULES'!$D$13+IF($A73&lt;='SLOT_RULES'!$D$13,0,INT(($A73-'SLOT_RULES'!$D$13-1)/'SLOT_RULES'!$E$13)+1)*'SLOT_RULES'!$E$13</x:f>
        <x:v>46391</x:v>
      </x:c>
      <x:c r="O73" s="84" t="n">
        <x:f>'SLOT_RULES'!$D$14+IF($A73&lt;='SLOT_RULES'!$D$14,0,INT(($A73-'SLOT_RULES'!$D$14-1)/'SLOT_RULES'!$E$14)+1)*'SLOT_RULES'!$E$14</x:f>
        <x:v>46350</x:v>
      </x:c>
      <x:c r="P73" s="84" t="n">
        <x:f>'SLOT_RULES'!$D$15+IF($A73&lt;='SLOT_RULES'!$D$15,0,INT(($A73-'SLOT_RULES'!$D$15-1)/'SLOT_RULES'!$E$15)+1)*'SLOT_RULES'!$E$15</x:f>
        <x:v>46422</x:v>
      </x:c>
      <x:c r="Q73" s="85" t="n">
        <x:f>MIN(E73:P73)-A73</x:f>
        <x:v>0</x:v>
      </x:c>
      <x:c r="R73" s="85" t="n">
        <x:f>MAX(E73:P73)-A73</x:f>
        <x:v>86</x:v>
      </x:c>
      <x:c r="S73" s="86" t="str">
        <x:f>IF(AND(COUNT(E73:P73)=12,MIN(E73:P73)&gt;=A73),"PASS","FAIL")</x:f>
        <x:v>PASS</x:v>
      </x:c>
      <x:c r="T73" s="86" t="str">
        <x:f>IF((COUNTIF('LOCAL_REFERENCE'!$D73:$O73,E73)+COUNTIF('LOCAL_REFERENCE'!$D73:$O73,F73)+COUNTIF('LOCAL_REFERENCE'!$D73:$O73,G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x:f>
        <x:v>PASS</x:v>
      </x:c>
      <x:c r="U73" s="86" t="str">
        <x:f>IF((COUNTIF('VPS_REFERENCE'!$D73:$H73,E73)+COUNTIF('VPS_REFERENCE'!$D73:$H73,F73)+COUNTIF('VPS_REFERENCE'!$D73:$H73,G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x:f>
        <x:v>PASS</x:v>
      </x:c>
      <x:c r="V73" s="86" t="str">
        <x:f>IF(OR(E73=F73,E73=G73,E73=H73,E73=I73,E73=J73,E73=K73,E73=L73,E73=M73,E73=N73,E73=O73,E73=P73,F73=G73,F73=H73,F73=I73,F73=J73,F73=K73,F73=L73,F73=M73,F73=N73,F73=O73,F73=P73,G73=H73,G73=I73,G73=J73,G73=K73,G73=L73,G73=M73,G73=N73,G73=O73,G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x:f>
        <x:v>PASS</x:v>
      </x:c>
      <x:c r="W73" s="87" t="str">
        <x:f>'CRAWL_LOG'!B73</x:f>
        <x:v>Chưa chạy</x:v>
      </x:c>
      <x:c r="X73" s="95" t="str">
        <x:v>Aux-local complementary panel; benchmark gate pending</x:v>
      </x:c>
    </x:row>
    <x:row r="74">
      <x:c r="A74" s="82" t="n">
        <x:v>46337</x:v>
      </x:c>
      <x:c r="B74" s="83" t="str">
        <x:v>Thứ Tư</x:v>
      </x:c>
      <x:c r="C74" s="83" t="str">
        <x:v>Official</x:v>
      </x:c>
      <x:c r="D74" s="83" t="str">
        <x:v>00:30</x:v>
      </x:c>
      <x:c r="E74" s="84" t="n">
        <x:f>'SLOT_RULES'!$D$4+IF($A74&lt;='SLOT_RULES'!$D$4,0,INT(($A74-'SLOT_RULES'!$D$4-1)/'SLOT_RULES'!$E$4)+1)*'SLOT_RULES'!$E$4</x:f>
        <x:v>46353</x:v>
      </x:c>
      <x:c r="F74" s="84" t="n">
        <x:f>'SLOT_RULES'!$D$5+IF($A74&lt;='SLOT_RULES'!$D$5,0,INT(($A74-'SLOT_RULES'!$D$5-1)/'SLOT_RULES'!$E$5)+1)*'SLOT_RULES'!$E$5</x:f>
        <x:v>46360</x:v>
      </x:c>
      <x:c r="G74" s="84" t="n">
        <x:f>'SLOT_RULES'!$D$6+IF($A74&lt;='SLOT_RULES'!$D$6,0,INT(($A74-'SLOT_RULES'!$D$6-1)/'SLOT_RULES'!$E$6)+1)*'SLOT_RULES'!$E$6</x:f>
        <x:v>46339</x:v>
      </x:c>
      <x:c r="H74" s="84" t="n">
        <x:f>'SLOT_RULES'!$D$7+IF($A74&lt;='SLOT_RULES'!$D$7,0,INT(($A74-'SLOT_RULES'!$D$7-1)/'SLOT_RULES'!$E$7)+1)*'SLOT_RULES'!$E$7</x:f>
        <x:v>46346</x:v>
      </x:c>
      <x:c r="I74" s="84" t="n">
        <x:f>'SLOT_RULES'!$D$8+IF($A74&lt;='SLOT_RULES'!$D$8,0,INT(($A74-'SLOT_RULES'!$D$8-1)/'SLOT_RULES'!$E$8)+1)*'SLOT_RULES'!$E$8</x:f>
        <x:v>46356</x:v>
      </x:c>
      <x:c r="J74" s="84" t="n">
        <x:f>'SLOT_RULES'!$D$9+IF($A74&lt;='SLOT_RULES'!$D$9,0,INT(($A74-'SLOT_RULES'!$D$9-1)/'SLOT_RULES'!$E$9)+1)*'SLOT_RULES'!$E$9</x:f>
        <x:v>46342</x:v>
      </x:c>
      <x:c r="K74" s="84" t="n">
        <x:f>'SLOT_RULES'!$D$10+IF($A74&lt;='SLOT_RULES'!$D$10,0,INT(($A74-'SLOT_RULES'!$D$10-1)/'SLOT_RULES'!$E$10)+1)*'SLOT_RULES'!$E$10</x:f>
        <x:v>46357</x:v>
      </x:c>
      <x:c r="L74" s="84" t="n">
        <x:f>'SLOT_RULES'!$D$11+IF($A74&lt;='SLOT_RULES'!$D$11,0,INT(($A74-'SLOT_RULES'!$D$11-1)/'SLOT_RULES'!$E$11)+1)*'SLOT_RULES'!$E$11</x:f>
        <x:v>46364</x:v>
      </x:c>
      <x:c r="M74" s="84" t="n">
        <x:f>'SLOT_RULES'!$D$12+IF($A74&lt;='SLOT_RULES'!$D$12,0,INT(($A74-'SLOT_RULES'!$D$12-1)/'SLOT_RULES'!$E$12)+1)*'SLOT_RULES'!$E$12</x:f>
        <x:v>46341</x:v>
      </x:c>
      <x:c r="N74" s="84" t="n">
        <x:f>'SLOT_RULES'!$D$13+IF($A74&lt;='SLOT_RULES'!$D$13,0,INT(($A74-'SLOT_RULES'!$D$13-1)/'SLOT_RULES'!$E$13)+1)*'SLOT_RULES'!$E$13</x:f>
        <x:v>46391</x:v>
      </x:c>
      <x:c r="O74" s="84" t="n">
        <x:f>'SLOT_RULES'!$D$14+IF($A74&lt;='SLOT_RULES'!$D$14,0,INT(($A74-'SLOT_RULES'!$D$14-1)/'SLOT_RULES'!$E$14)+1)*'SLOT_RULES'!$E$14</x:f>
        <x:v>46350</x:v>
      </x:c>
      <x:c r="P74" s="84" t="n">
        <x:f>'SLOT_RULES'!$D$15+IF($A74&lt;='SLOT_RULES'!$D$15,0,INT(($A74-'SLOT_RULES'!$D$15-1)/'SLOT_RULES'!$E$15)+1)*'SLOT_RULES'!$E$15</x:f>
        <x:v>46422</x:v>
      </x:c>
      <x:c r="Q74" s="85" t="n">
        <x:f>MIN(E74:P74)-A74</x:f>
        <x:v>2</x:v>
      </x:c>
      <x:c r="R74" s="85" t="n">
        <x:f>MAX(E74:P74)-A74</x:f>
        <x:v>85</x:v>
      </x:c>
      <x:c r="S74" s="86" t="str">
        <x:f>IF(AND(COUNT(E74:P74)=12,MIN(E74:P74)&gt;=A74),"PASS","FAIL")</x:f>
        <x:v>PASS</x:v>
      </x:c>
      <x:c r="T74" s="86" t="str">
        <x:f>IF((COUNTIF('LOCAL_REFERENCE'!$D74:$O74,E74)+COUNTIF('LOCAL_REFERENCE'!$D74:$O74,F74)+COUNTIF('LOCAL_REFERENCE'!$D74:$O74,G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x:f>
        <x:v>PASS</x:v>
      </x:c>
      <x:c r="U74" s="86" t="str">
        <x:f>IF((COUNTIF('VPS_REFERENCE'!$D74:$H74,E74)+COUNTIF('VPS_REFERENCE'!$D74:$H74,F74)+COUNTIF('VPS_REFERENCE'!$D74:$H74,G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x:f>
        <x:v>PASS</x:v>
      </x:c>
      <x:c r="V74" s="86" t="str">
        <x:f>IF(OR(E74=F74,E74=G74,E74=H74,E74=I74,E74=J74,E74=K74,E74=L74,E74=M74,E74=N74,E74=O74,E74=P74,F74=G74,F74=H74,F74=I74,F74=J74,F74=K74,F74=L74,F74=M74,F74=N74,F74=O74,F74=P74,G74=H74,G74=I74,G74=J74,G74=K74,G74=L74,G74=M74,G74=N74,G74=O74,G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x:f>
        <x:v>PASS</x:v>
      </x:c>
      <x:c r="W74" s="87" t="str">
        <x:f>'CRAWL_LOG'!B74</x:f>
        <x:v>Chưa chạy</x:v>
      </x:c>
      <x:c r="X74" s="95" t="str">
        <x:v>Aux-local complementary panel; benchmark gate pending</x:v>
      </x:c>
    </x:row>
    <x:row r="75">
      <x:c r="A75" s="82" t="n">
        <x:v>46338</x:v>
      </x:c>
      <x:c r="B75" s="83" t="str">
        <x:v>Thứ Năm</x:v>
      </x:c>
      <x:c r="C75" s="83" t="str">
        <x:v>Official</x:v>
      </x:c>
      <x:c r="D75" s="83" t="str">
        <x:v>00:30</x:v>
      </x:c>
      <x:c r="E75" s="84" t="n">
        <x:f>'SLOT_RULES'!$D$4+IF($A75&lt;='SLOT_RULES'!$D$4,0,INT(($A75-'SLOT_RULES'!$D$4-1)/'SLOT_RULES'!$E$4)+1)*'SLOT_RULES'!$E$4</x:f>
        <x:v>46353</x:v>
      </x:c>
      <x:c r="F75" s="84" t="n">
        <x:f>'SLOT_RULES'!$D$5+IF($A75&lt;='SLOT_RULES'!$D$5,0,INT(($A75-'SLOT_RULES'!$D$5-1)/'SLOT_RULES'!$E$5)+1)*'SLOT_RULES'!$E$5</x:f>
        <x:v>46360</x:v>
      </x:c>
      <x:c r="G75" s="84" t="n">
        <x:f>'SLOT_RULES'!$D$6+IF($A75&lt;='SLOT_RULES'!$D$6,0,INT(($A75-'SLOT_RULES'!$D$6-1)/'SLOT_RULES'!$E$6)+1)*'SLOT_RULES'!$E$6</x:f>
        <x:v>46339</x:v>
      </x:c>
      <x:c r="H75" s="84" t="n">
        <x:f>'SLOT_RULES'!$D$7+IF($A75&lt;='SLOT_RULES'!$D$7,0,INT(($A75-'SLOT_RULES'!$D$7-1)/'SLOT_RULES'!$E$7)+1)*'SLOT_RULES'!$E$7</x:f>
        <x:v>46346</x:v>
      </x:c>
      <x:c r="I75" s="84" t="n">
        <x:f>'SLOT_RULES'!$D$8+IF($A75&lt;='SLOT_RULES'!$D$8,0,INT(($A75-'SLOT_RULES'!$D$8-1)/'SLOT_RULES'!$E$8)+1)*'SLOT_RULES'!$E$8</x:f>
        <x:v>46356</x:v>
      </x:c>
      <x:c r="J75" s="84" t="n">
        <x:f>'SLOT_RULES'!$D$9+IF($A75&lt;='SLOT_RULES'!$D$9,0,INT(($A75-'SLOT_RULES'!$D$9-1)/'SLOT_RULES'!$E$9)+1)*'SLOT_RULES'!$E$9</x:f>
        <x:v>46342</x:v>
      </x:c>
      <x:c r="K75" s="84" t="n">
        <x:f>'SLOT_RULES'!$D$10+IF($A75&lt;='SLOT_RULES'!$D$10,0,INT(($A75-'SLOT_RULES'!$D$10-1)/'SLOT_RULES'!$E$10)+1)*'SLOT_RULES'!$E$10</x:f>
        <x:v>46357</x:v>
      </x:c>
      <x:c r="L75" s="84" t="n">
        <x:f>'SLOT_RULES'!$D$11+IF($A75&lt;='SLOT_RULES'!$D$11,0,INT(($A75-'SLOT_RULES'!$D$11-1)/'SLOT_RULES'!$E$11)+1)*'SLOT_RULES'!$E$11</x:f>
        <x:v>46364</x:v>
      </x:c>
      <x:c r="M75" s="84" t="n">
        <x:f>'SLOT_RULES'!$D$12+IF($A75&lt;='SLOT_RULES'!$D$12,0,INT(($A75-'SLOT_RULES'!$D$12-1)/'SLOT_RULES'!$E$12)+1)*'SLOT_RULES'!$E$12</x:f>
        <x:v>46341</x:v>
      </x:c>
      <x:c r="N75" s="84" t="n">
        <x:f>'SLOT_RULES'!$D$13+IF($A75&lt;='SLOT_RULES'!$D$13,0,INT(($A75-'SLOT_RULES'!$D$13-1)/'SLOT_RULES'!$E$13)+1)*'SLOT_RULES'!$E$13</x:f>
        <x:v>46391</x:v>
      </x:c>
      <x:c r="O75" s="84" t="n">
        <x:f>'SLOT_RULES'!$D$14+IF($A75&lt;='SLOT_RULES'!$D$14,0,INT(($A75-'SLOT_RULES'!$D$14-1)/'SLOT_RULES'!$E$14)+1)*'SLOT_RULES'!$E$14</x:f>
        <x:v>46350</x:v>
      </x:c>
      <x:c r="P75" s="84" t="n">
        <x:f>'SLOT_RULES'!$D$15+IF($A75&lt;='SLOT_RULES'!$D$15,0,INT(($A75-'SLOT_RULES'!$D$15-1)/'SLOT_RULES'!$E$15)+1)*'SLOT_RULES'!$E$15</x:f>
        <x:v>46422</x:v>
      </x:c>
      <x:c r="Q75" s="85" t="n">
        <x:f>MIN(E75:P75)-A75</x:f>
        <x:v>1</x:v>
      </x:c>
      <x:c r="R75" s="85" t="n">
        <x:f>MAX(E75:P75)-A75</x:f>
        <x:v>84</x:v>
      </x:c>
      <x:c r="S75" s="86" t="str">
        <x:f>IF(AND(COUNT(E75:P75)=12,MIN(E75:P75)&gt;=A75),"PASS","FAIL")</x:f>
        <x:v>PASS</x:v>
      </x:c>
      <x:c r="T75" s="86" t="str">
        <x:f>IF((COUNTIF('LOCAL_REFERENCE'!$D75:$O75,E75)+COUNTIF('LOCAL_REFERENCE'!$D75:$O75,F75)+COUNTIF('LOCAL_REFERENCE'!$D75:$O75,G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x:f>
        <x:v>PASS</x:v>
      </x:c>
      <x:c r="U75" s="86" t="str">
        <x:f>IF((COUNTIF('VPS_REFERENCE'!$D75:$H75,E75)+COUNTIF('VPS_REFERENCE'!$D75:$H75,F75)+COUNTIF('VPS_REFERENCE'!$D75:$H75,G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x:f>
        <x:v>PASS</x:v>
      </x:c>
      <x:c r="V75" s="86" t="str">
        <x:f>IF(OR(E75=F75,E75=G75,E75=H75,E75=I75,E75=J75,E75=K75,E75=L75,E75=M75,E75=N75,E75=O75,E75=P75,F75=G75,F75=H75,F75=I75,F75=J75,F75=K75,F75=L75,F75=M75,F75=N75,F75=O75,F75=P75,G75=H75,G75=I75,G75=J75,G75=K75,G75=L75,G75=M75,G75=N75,G75=O75,G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x:f>
        <x:v>PASS</x:v>
      </x:c>
      <x:c r="W75" s="87" t="str">
        <x:f>'CRAWL_LOG'!B75</x:f>
        <x:v>Chưa chạy</x:v>
      </x:c>
      <x:c r="X75" s="95" t="str">
        <x:v>Aux-local complementary panel; benchmark gate pending</x:v>
      </x:c>
    </x:row>
    <x:row r="76">
      <x:c r="A76" s="82" t="n">
        <x:v>46339</x:v>
      </x:c>
      <x:c r="B76" s="83" t="str">
        <x:v>Thứ Sáu</x:v>
      </x:c>
      <x:c r="C76" s="83" t="str">
        <x:v>Official</x:v>
      </x:c>
      <x:c r="D76" s="83" t="str">
        <x:v>00:30</x:v>
      </x:c>
      <x:c r="E76" s="84" t="n">
        <x:f>'SLOT_RULES'!$D$4+IF($A76&lt;='SLOT_RULES'!$D$4,0,INT(($A76-'SLOT_RULES'!$D$4-1)/'SLOT_RULES'!$E$4)+1)*'SLOT_RULES'!$E$4</x:f>
        <x:v>46353</x:v>
      </x:c>
      <x:c r="F76" s="84" t="n">
        <x:f>'SLOT_RULES'!$D$5+IF($A76&lt;='SLOT_RULES'!$D$5,0,INT(($A76-'SLOT_RULES'!$D$5-1)/'SLOT_RULES'!$E$5)+1)*'SLOT_RULES'!$E$5</x:f>
        <x:v>46360</x:v>
      </x:c>
      <x:c r="G76" s="84" t="n">
        <x:f>'SLOT_RULES'!$D$6+IF($A76&lt;='SLOT_RULES'!$D$6,0,INT(($A76-'SLOT_RULES'!$D$6-1)/'SLOT_RULES'!$E$6)+1)*'SLOT_RULES'!$E$6</x:f>
        <x:v>46339</x:v>
      </x:c>
      <x:c r="H76" s="84" t="n">
        <x:f>'SLOT_RULES'!$D$7+IF($A76&lt;='SLOT_RULES'!$D$7,0,INT(($A76-'SLOT_RULES'!$D$7-1)/'SLOT_RULES'!$E$7)+1)*'SLOT_RULES'!$E$7</x:f>
        <x:v>46346</x:v>
      </x:c>
      <x:c r="I76" s="84" t="n">
        <x:f>'SLOT_RULES'!$D$8+IF($A76&lt;='SLOT_RULES'!$D$8,0,INT(($A76-'SLOT_RULES'!$D$8-1)/'SLOT_RULES'!$E$8)+1)*'SLOT_RULES'!$E$8</x:f>
        <x:v>46356</x:v>
      </x:c>
      <x:c r="J76" s="84" t="n">
        <x:f>'SLOT_RULES'!$D$9+IF($A76&lt;='SLOT_RULES'!$D$9,0,INT(($A76-'SLOT_RULES'!$D$9-1)/'SLOT_RULES'!$E$9)+1)*'SLOT_RULES'!$E$9</x:f>
        <x:v>46342</x:v>
      </x:c>
      <x:c r="K76" s="84" t="n">
        <x:f>'SLOT_RULES'!$D$10+IF($A76&lt;='SLOT_RULES'!$D$10,0,INT(($A76-'SLOT_RULES'!$D$10-1)/'SLOT_RULES'!$E$10)+1)*'SLOT_RULES'!$E$10</x:f>
        <x:v>46357</x:v>
      </x:c>
      <x:c r="L76" s="84" t="n">
        <x:f>'SLOT_RULES'!$D$11+IF($A76&lt;='SLOT_RULES'!$D$11,0,INT(($A76-'SLOT_RULES'!$D$11-1)/'SLOT_RULES'!$E$11)+1)*'SLOT_RULES'!$E$11</x:f>
        <x:v>46364</x:v>
      </x:c>
      <x:c r="M76" s="84" t="n">
        <x:f>'SLOT_RULES'!$D$12+IF($A76&lt;='SLOT_RULES'!$D$12,0,INT(($A76-'SLOT_RULES'!$D$12-1)/'SLOT_RULES'!$E$12)+1)*'SLOT_RULES'!$E$12</x:f>
        <x:v>46341</x:v>
      </x:c>
      <x:c r="N76" s="84" t="n">
        <x:f>'SLOT_RULES'!$D$13+IF($A76&lt;='SLOT_RULES'!$D$13,0,INT(($A76-'SLOT_RULES'!$D$13-1)/'SLOT_RULES'!$E$13)+1)*'SLOT_RULES'!$E$13</x:f>
        <x:v>46391</x:v>
      </x:c>
      <x:c r="O76" s="84" t="n">
        <x:f>'SLOT_RULES'!$D$14+IF($A76&lt;='SLOT_RULES'!$D$14,0,INT(($A76-'SLOT_RULES'!$D$14-1)/'SLOT_RULES'!$E$14)+1)*'SLOT_RULES'!$E$14</x:f>
        <x:v>46350</x:v>
      </x:c>
      <x:c r="P76" s="84" t="n">
        <x:f>'SLOT_RULES'!$D$15+IF($A76&lt;='SLOT_RULES'!$D$15,0,INT(($A76-'SLOT_RULES'!$D$15-1)/'SLOT_RULES'!$E$15)+1)*'SLOT_RULES'!$E$15</x:f>
        <x:v>46422</x:v>
      </x:c>
      <x:c r="Q76" s="85" t="n">
        <x:f>MIN(E76:P76)-A76</x:f>
        <x:v>0</x:v>
      </x:c>
      <x:c r="R76" s="85" t="n">
        <x:f>MAX(E76:P76)-A76</x:f>
        <x:v>83</x:v>
      </x:c>
      <x:c r="S76" s="86" t="str">
        <x:f>IF(AND(COUNT(E76:P76)=12,MIN(E76:P76)&gt;=A76),"PASS","FAIL")</x:f>
        <x:v>PASS</x:v>
      </x:c>
      <x:c r="T76" s="86" t="str">
        <x:f>IF((COUNTIF('LOCAL_REFERENCE'!$D76:$O76,E76)+COUNTIF('LOCAL_REFERENCE'!$D76:$O76,F76)+COUNTIF('LOCAL_REFERENCE'!$D76:$O76,G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x:f>
        <x:v>PASS</x:v>
      </x:c>
      <x:c r="U76" s="86" t="str">
        <x:f>IF((COUNTIF('VPS_REFERENCE'!$D76:$H76,E76)+COUNTIF('VPS_REFERENCE'!$D76:$H76,F76)+COUNTIF('VPS_REFERENCE'!$D76:$H76,G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x:f>
        <x:v>PASS</x:v>
      </x:c>
      <x:c r="V76" s="86" t="str">
        <x:f>IF(OR(E76=F76,E76=G76,E76=H76,E76=I76,E76=J76,E76=K76,E76=L76,E76=M76,E76=N76,E76=O76,E76=P76,F76=G76,F76=H76,F76=I76,F76=J76,F76=K76,F76=L76,F76=M76,F76=N76,F76=O76,F76=P76,G76=H76,G76=I76,G76=J76,G76=K76,G76=L76,G76=M76,G76=N76,G76=O76,G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x:f>
        <x:v>PASS</x:v>
      </x:c>
      <x:c r="W76" s="87" t="str">
        <x:f>'CRAWL_LOG'!B76</x:f>
        <x:v>Chưa chạy</x:v>
      </x:c>
      <x:c r="X76" s="95" t="str">
        <x:v>Aux-local complementary panel; benchmark gate pending</x:v>
      </x:c>
    </x:row>
    <x:row r="77">
      <x:c r="A77" s="82" t="n">
        <x:v>46340</x:v>
      </x:c>
      <x:c r="B77" s="83" t="str">
        <x:v>Thứ Bảy</x:v>
      </x:c>
      <x:c r="C77" s="83" t="str">
        <x:v>Official</x:v>
      </x:c>
      <x:c r="D77" s="83" t="str">
        <x:v>00:30</x:v>
      </x:c>
      <x:c r="E77" s="84" t="n">
        <x:f>'SLOT_RULES'!$D$4+IF($A77&lt;='SLOT_RULES'!$D$4,0,INT(($A77-'SLOT_RULES'!$D$4-1)/'SLOT_RULES'!$E$4)+1)*'SLOT_RULES'!$E$4</x:f>
        <x:v>46353</x:v>
      </x:c>
      <x:c r="F77" s="84" t="n">
        <x:f>'SLOT_RULES'!$D$5+IF($A77&lt;='SLOT_RULES'!$D$5,0,INT(($A77-'SLOT_RULES'!$D$5-1)/'SLOT_RULES'!$E$5)+1)*'SLOT_RULES'!$E$5</x:f>
        <x:v>46360</x:v>
      </x:c>
      <x:c r="G77" s="84" t="n">
        <x:f>'SLOT_RULES'!$D$6+IF($A77&lt;='SLOT_RULES'!$D$6,0,INT(($A77-'SLOT_RULES'!$D$6-1)/'SLOT_RULES'!$E$6)+1)*'SLOT_RULES'!$E$6</x:f>
        <x:v>46367</x:v>
      </x:c>
      <x:c r="H77" s="84" t="n">
        <x:f>'SLOT_RULES'!$D$7+IF($A77&lt;='SLOT_RULES'!$D$7,0,INT(($A77-'SLOT_RULES'!$D$7-1)/'SLOT_RULES'!$E$7)+1)*'SLOT_RULES'!$E$7</x:f>
        <x:v>46346</x:v>
      </x:c>
      <x:c r="I77" s="84" t="n">
        <x:f>'SLOT_RULES'!$D$8+IF($A77&lt;='SLOT_RULES'!$D$8,0,INT(($A77-'SLOT_RULES'!$D$8-1)/'SLOT_RULES'!$E$8)+1)*'SLOT_RULES'!$E$8</x:f>
        <x:v>46356</x:v>
      </x:c>
      <x:c r="J77" s="84" t="n">
        <x:f>'SLOT_RULES'!$D$9+IF($A77&lt;='SLOT_RULES'!$D$9,0,INT(($A77-'SLOT_RULES'!$D$9-1)/'SLOT_RULES'!$E$9)+1)*'SLOT_RULES'!$E$9</x:f>
        <x:v>46342</x:v>
      </x:c>
      <x:c r="K77" s="84" t="n">
        <x:f>'SLOT_RULES'!$D$10+IF($A77&lt;='SLOT_RULES'!$D$10,0,INT(($A77-'SLOT_RULES'!$D$10-1)/'SLOT_RULES'!$E$10)+1)*'SLOT_RULES'!$E$10</x:f>
        <x:v>46357</x:v>
      </x:c>
      <x:c r="L77" s="84" t="n">
        <x:f>'SLOT_RULES'!$D$11+IF($A77&lt;='SLOT_RULES'!$D$11,0,INT(($A77-'SLOT_RULES'!$D$11-1)/'SLOT_RULES'!$E$11)+1)*'SLOT_RULES'!$E$11</x:f>
        <x:v>46364</x:v>
      </x:c>
      <x:c r="M77" s="84" t="n">
        <x:f>'SLOT_RULES'!$D$12+IF($A77&lt;='SLOT_RULES'!$D$12,0,INT(($A77-'SLOT_RULES'!$D$12-1)/'SLOT_RULES'!$E$12)+1)*'SLOT_RULES'!$E$12</x:f>
        <x:v>46341</x:v>
      </x:c>
      <x:c r="N77" s="84" t="n">
        <x:f>'SLOT_RULES'!$D$13+IF($A77&lt;='SLOT_RULES'!$D$13,0,INT(($A77-'SLOT_RULES'!$D$13-1)/'SLOT_RULES'!$E$13)+1)*'SLOT_RULES'!$E$13</x:f>
        <x:v>46391</x:v>
      </x:c>
      <x:c r="O77" s="84" t="n">
        <x:f>'SLOT_RULES'!$D$14+IF($A77&lt;='SLOT_RULES'!$D$14,0,INT(($A77-'SLOT_RULES'!$D$14-1)/'SLOT_RULES'!$E$14)+1)*'SLOT_RULES'!$E$14</x:f>
        <x:v>46350</x:v>
      </x:c>
      <x:c r="P77" s="84" t="n">
        <x:f>'SLOT_RULES'!$D$15+IF($A77&lt;='SLOT_RULES'!$D$15,0,INT(($A77-'SLOT_RULES'!$D$15-1)/'SLOT_RULES'!$E$15)+1)*'SLOT_RULES'!$E$15</x:f>
        <x:v>46422</x:v>
      </x:c>
      <x:c r="Q77" s="85" t="n">
        <x:f>MIN(E77:P77)-A77</x:f>
        <x:v>1</x:v>
      </x:c>
      <x:c r="R77" s="85" t="n">
        <x:f>MAX(E77:P77)-A77</x:f>
        <x:v>82</x:v>
      </x:c>
      <x:c r="S77" s="86" t="str">
        <x:f>IF(AND(COUNT(E77:P77)=12,MIN(E77:P77)&gt;=A77),"PASS","FAIL")</x:f>
        <x:v>PASS</x:v>
      </x:c>
      <x:c r="T77" s="86" t="str">
        <x:f>IF((COUNTIF('LOCAL_REFERENCE'!$D77:$O77,E77)+COUNTIF('LOCAL_REFERENCE'!$D77:$O77,F77)+COUNTIF('LOCAL_REFERENCE'!$D77:$O77,G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x:f>
        <x:v>PASS</x:v>
      </x:c>
      <x:c r="U77" s="86" t="str">
        <x:f>IF((COUNTIF('VPS_REFERENCE'!$D77:$H77,E77)+COUNTIF('VPS_REFERENCE'!$D77:$H77,F77)+COUNTIF('VPS_REFERENCE'!$D77:$H77,G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x:f>
        <x:v>PASS</x:v>
      </x:c>
      <x:c r="V77" s="86" t="str">
        <x:f>IF(OR(E77=F77,E77=G77,E77=H77,E77=I77,E77=J77,E77=K77,E77=L77,E77=M77,E77=N77,E77=O77,E77=P77,F77=G77,F77=H77,F77=I77,F77=J77,F77=K77,F77=L77,F77=M77,F77=N77,F77=O77,F77=P77,G77=H77,G77=I77,G77=J77,G77=K77,G77=L77,G77=M77,G77=N77,G77=O77,G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x:f>
        <x:v>PASS</x:v>
      </x:c>
      <x:c r="W77" s="87" t="str">
        <x:f>'CRAWL_LOG'!B77</x:f>
        <x:v>Chưa chạy</x:v>
      </x:c>
      <x:c r="X77" s="95" t="str">
        <x:v>Aux-local complementary panel; benchmark gate pending</x:v>
      </x:c>
    </x:row>
    <x:row r="78">
      <x:c r="A78" s="82" t="n">
        <x:v>46341</x:v>
      </x:c>
      <x:c r="B78" s="83" t="str">
        <x:v>Chủ Nhật</x:v>
      </x:c>
      <x:c r="C78" s="83" t="str">
        <x:v>Official</x:v>
      </x:c>
      <x:c r="D78" s="83" t="str">
        <x:v>00:30</x:v>
      </x:c>
      <x:c r="E78" s="84" t="n">
        <x:f>'SLOT_RULES'!$D$4+IF($A78&lt;='SLOT_RULES'!$D$4,0,INT(($A78-'SLOT_RULES'!$D$4-1)/'SLOT_RULES'!$E$4)+1)*'SLOT_RULES'!$E$4</x:f>
        <x:v>46353</x:v>
      </x:c>
      <x:c r="F78" s="84" t="n">
        <x:f>'SLOT_RULES'!$D$5+IF($A78&lt;='SLOT_RULES'!$D$5,0,INT(($A78-'SLOT_RULES'!$D$5-1)/'SLOT_RULES'!$E$5)+1)*'SLOT_RULES'!$E$5</x:f>
        <x:v>46360</x:v>
      </x:c>
      <x:c r="G78" s="84" t="n">
        <x:f>'SLOT_RULES'!$D$6+IF($A78&lt;='SLOT_RULES'!$D$6,0,INT(($A78-'SLOT_RULES'!$D$6-1)/'SLOT_RULES'!$E$6)+1)*'SLOT_RULES'!$E$6</x:f>
        <x:v>46367</x:v>
      </x:c>
      <x:c r="H78" s="84" t="n">
        <x:f>'SLOT_RULES'!$D$7+IF($A78&lt;='SLOT_RULES'!$D$7,0,INT(($A78-'SLOT_RULES'!$D$7-1)/'SLOT_RULES'!$E$7)+1)*'SLOT_RULES'!$E$7</x:f>
        <x:v>46346</x:v>
      </x:c>
      <x:c r="I78" s="84" t="n">
        <x:f>'SLOT_RULES'!$D$8+IF($A78&lt;='SLOT_RULES'!$D$8,0,INT(($A78-'SLOT_RULES'!$D$8-1)/'SLOT_RULES'!$E$8)+1)*'SLOT_RULES'!$E$8</x:f>
        <x:v>46356</x:v>
      </x:c>
      <x:c r="J78" s="84" t="n">
        <x:f>'SLOT_RULES'!$D$9+IF($A78&lt;='SLOT_RULES'!$D$9,0,INT(($A78-'SLOT_RULES'!$D$9-1)/'SLOT_RULES'!$E$9)+1)*'SLOT_RULES'!$E$9</x:f>
        <x:v>46342</x:v>
      </x:c>
      <x:c r="K78" s="84" t="n">
        <x:f>'SLOT_RULES'!$D$10+IF($A78&lt;='SLOT_RULES'!$D$10,0,INT(($A78-'SLOT_RULES'!$D$10-1)/'SLOT_RULES'!$E$10)+1)*'SLOT_RULES'!$E$10</x:f>
        <x:v>46357</x:v>
      </x:c>
      <x:c r="L78" s="84" t="n">
        <x:f>'SLOT_RULES'!$D$11+IF($A78&lt;='SLOT_RULES'!$D$11,0,INT(($A78-'SLOT_RULES'!$D$11-1)/'SLOT_RULES'!$E$11)+1)*'SLOT_RULES'!$E$11</x:f>
        <x:v>46364</x:v>
      </x:c>
      <x:c r="M78" s="84" t="n">
        <x:f>'SLOT_RULES'!$D$12+IF($A78&lt;='SLOT_RULES'!$D$12,0,INT(($A78-'SLOT_RULES'!$D$12-1)/'SLOT_RULES'!$E$12)+1)*'SLOT_RULES'!$E$12</x:f>
        <x:v>46341</x:v>
      </x:c>
      <x:c r="N78" s="84" t="n">
        <x:f>'SLOT_RULES'!$D$13+IF($A78&lt;='SLOT_RULES'!$D$13,0,INT(($A78-'SLOT_RULES'!$D$13-1)/'SLOT_RULES'!$E$13)+1)*'SLOT_RULES'!$E$13</x:f>
        <x:v>46391</x:v>
      </x:c>
      <x:c r="O78" s="84" t="n">
        <x:f>'SLOT_RULES'!$D$14+IF($A78&lt;='SLOT_RULES'!$D$14,0,INT(($A78-'SLOT_RULES'!$D$14-1)/'SLOT_RULES'!$E$14)+1)*'SLOT_RULES'!$E$14</x:f>
        <x:v>46350</x:v>
      </x:c>
      <x:c r="P78" s="84" t="n">
        <x:f>'SLOT_RULES'!$D$15+IF($A78&lt;='SLOT_RULES'!$D$15,0,INT(($A78-'SLOT_RULES'!$D$15-1)/'SLOT_RULES'!$E$15)+1)*'SLOT_RULES'!$E$15</x:f>
        <x:v>46422</x:v>
      </x:c>
      <x:c r="Q78" s="85" t="n">
        <x:f>MIN(E78:P78)-A78</x:f>
        <x:v>0</x:v>
      </x:c>
      <x:c r="R78" s="85" t="n">
        <x:f>MAX(E78:P78)-A78</x:f>
        <x:v>81</x:v>
      </x:c>
      <x:c r="S78" s="86" t="str">
        <x:f>IF(AND(COUNT(E78:P78)=12,MIN(E78:P78)&gt;=A78),"PASS","FAIL")</x:f>
        <x:v>PASS</x:v>
      </x:c>
      <x:c r="T78" s="86" t="str">
        <x:f>IF((COUNTIF('LOCAL_REFERENCE'!$D78:$O78,E78)+COUNTIF('LOCAL_REFERENCE'!$D78:$O78,F78)+COUNTIF('LOCAL_REFERENCE'!$D78:$O78,G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x:f>
        <x:v>PASS</x:v>
      </x:c>
      <x:c r="U78" s="86" t="str">
        <x:f>IF((COUNTIF('VPS_REFERENCE'!$D78:$H78,E78)+COUNTIF('VPS_REFERENCE'!$D78:$H78,F78)+COUNTIF('VPS_REFERENCE'!$D78:$H78,G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x:f>
        <x:v>PASS</x:v>
      </x:c>
      <x:c r="V78" s="86" t="str">
        <x:f>IF(OR(E78=F78,E78=G78,E78=H78,E78=I78,E78=J78,E78=K78,E78=L78,E78=M78,E78=N78,E78=O78,E78=P78,F78=G78,F78=H78,F78=I78,F78=J78,F78=K78,F78=L78,F78=M78,F78=N78,F78=O78,F78=P78,G78=H78,G78=I78,G78=J78,G78=K78,G78=L78,G78=M78,G78=N78,G78=O78,G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x:f>
        <x:v>PASS</x:v>
      </x:c>
      <x:c r="W78" s="87" t="str">
        <x:f>'CRAWL_LOG'!B78</x:f>
        <x:v>Chưa chạy</x:v>
      </x:c>
      <x:c r="X78" s="95" t="str">
        <x:v>Aux-local complementary panel; benchmark gate pending</x:v>
      </x:c>
    </x:row>
    <x:row r="79">
      <x:c r="A79" s="82" t="n">
        <x:v>46342</x:v>
      </x:c>
      <x:c r="B79" s="83" t="str">
        <x:v>Thứ Hai</x:v>
      </x:c>
      <x:c r="C79" s="83" t="str">
        <x:v>Official</x:v>
      </x:c>
      <x:c r="D79" s="83" t="str">
        <x:v>00:30</x:v>
      </x:c>
      <x:c r="E79" s="84" t="n">
        <x:f>'SLOT_RULES'!$D$4+IF($A79&lt;='SLOT_RULES'!$D$4,0,INT(($A79-'SLOT_RULES'!$D$4-1)/'SLOT_RULES'!$E$4)+1)*'SLOT_RULES'!$E$4</x:f>
        <x:v>46353</x:v>
      </x:c>
      <x:c r="F79" s="84" t="n">
        <x:f>'SLOT_RULES'!$D$5+IF($A79&lt;='SLOT_RULES'!$D$5,0,INT(($A79-'SLOT_RULES'!$D$5-1)/'SLOT_RULES'!$E$5)+1)*'SLOT_RULES'!$E$5</x:f>
        <x:v>46360</x:v>
      </x:c>
      <x:c r="G79" s="84" t="n">
        <x:f>'SLOT_RULES'!$D$6+IF($A79&lt;='SLOT_RULES'!$D$6,0,INT(($A79-'SLOT_RULES'!$D$6-1)/'SLOT_RULES'!$E$6)+1)*'SLOT_RULES'!$E$6</x:f>
        <x:v>46367</x:v>
      </x:c>
      <x:c r="H79" s="84" t="n">
        <x:f>'SLOT_RULES'!$D$7+IF($A79&lt;='SLOT_RULES'!$D$7,0,INT(($A79-'SLOT_RULES'!$D$7-1)/'SLOT_RULES'!$E$7)+1)*'SLOT_RULES'!$E$7</x:f>
        <x:v>46346</x:v>
      </x:c>
      <x:c r="I79" s="84" t="n">
        <x:f>'SLOT_RULES'!$D$8+IF($A79&lt;='SLOT_RULES'!$D$8,0,INT(($A79-'SLOT_RULES'!$D$8-1)/'SLOT_RULES'!$E$8)+1)*'SLOT_RULES'!$E$8</x:f>
        <x:v>46356</x:v>
      </x:c>
      <x:c r="J79" s="84" t="n">
        <x:f>'SLOT_RULES'!$D$9+IF($A79&lt;='SLOT_RULES'!$D$9,0,INT(($A79-'SLOT_RULES'!$D$9-1)/'SLOT_RULES'!$E$9)+1)*'SLOT_RULES'!$E$9</x:f>
        <x:v>46342</x:v>
      </x:c>
      <x:c r="K79" s="84" t="n">
        <x:f>'SLOT_RULES'!$D$10+IF($A79&lt;='SLOT_RULES'!$D$10,0,INT(($A79-'SLOT_RULES'!$D$10-1)/'SLOT_RULES'!$E$10)+1)*'SLOT_RULES'!$E$10</x:f>
        <x:v>46357</x:v>
      </x:c>
      <x:c r="L79" s="84" t="n">
        <x:f>'SLOT_RULES'!$D$11+IF($A79&lt;='SLOT_RULES'!$D$11,0,INT(($A79-'SLOT_RULES'!$D$11-1)/'SLOT_RULES'!$E$11)+1)*'SLOT_RULES'!$E$11</x:f>
        <x:v>46364</x:v>
      </x:c>
      <x:c r="M79" s="84" t="n">
        <x:f>'SLOT_RULES'!$D$12+IF($A79&lt;='SLOT_RULES'!$D$12,0,INT(($A79-'SLOT_RULES'!$D$12-1)/'SLOT_RULES'!$E$12)+1)*'SLOT_RULES'!$E$12</x:f>
        <x:v>46369</x:v>
      </x:c>
      <x:c r="N79" s="84" t="n">
        <x:f>'SLOT_RULES'!$D$13+IF($A79&lt;='SLOT_RULES'!$D$13,0,INT(($A79-'SLOT_RULES'!$D$13-1)/'SLOT_RULES'!$E$13)+1)*'SLOT_RULES'!$E$13</x:f>
        <x:v>46391</x:v>
      </x:c>
      <x:c r="O79" s="84" t="n">
        <x:f>'SLOT_RULES'!$D$14+IF($A79&lt;='SLOT_RULES'!$D$14,0,INT(($A79-'SLOT_RULES'!$D$14-1)/'SLOT_RULES'!$E$14)+1)*'SLOT_RULES'!$E$14</x:f>
        <x:v>46350</x:v>
      </x:c>
      <x:c r="P79" s="84" t="n">
        <x:f>'SLOT_RULES'!$D$15+IF($A79&lt;='SLOT_RULES'!$D$15,0,INT(($A79-'SLOT_RULES'!$D$15-1)/'SLOT_RULES'!$E$15)+1)*'SLOT_RULES'!$E$15</x:f>
        <x:v>46422</x:v>
      </x:c>
      <x:c r="Q79" s="85" t="n">
        <x:f>MIN(E79:P79)-A79</x:f>
        <x:v>0</x:v>
      </x:c>
      <x:c r="R79" s="85" t="n">
        <x:f>MAX(E79:P79)-A79</x:f>
        <x:v>80</x:v>
      </x:c>
      <x:c r="S79" s="86" t="str">
        <x:f>IF(AND(COUNT(E79:P79)=12,MIN(E79:P79)&gt;=A79),"PASS","FAIL")</x:f>
        <x:v>PASS</x:v>
      </x:c>
      <x:c r="T79" s="86" t="str">
        <x:f>IF((COUNTIF('LOCAL_REFERENCE'!$D79:$O79,E79)+COUNTIF('LOCAL_REFERENCE'!$D79:$O79,F79)+COUNTIF('LOCAL_REFERENCE'!$D79:$O79,G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x:f>
        <x:v>PASS</x:v>
      </x:c>
      <x:c r="U79" s="86" t="str">
        <x:f>IF((COUNTIF('VPS_REFERENCE'!$D79:$H79,E79)+COUNTIF('VPS_REFERENCE'!$D79:$H79,F79)+COUNTIF('VPS_REFERENCE'!$D79:$H79,G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x:f>
        <x:v>PASS</x:v>
      </x:c>
      <x:c r="V79" s="86" t="str">
        <x:f>IF(OR(E79=F79,E79=G79,E79=H79,E79=I79,E79=J79,E79=K79,E79=L79,E79=M79,E79=N79,E79=O79,E79=P79,F79=G79,F79=H79,F79=I79,F79=J79,F79=K79,F79=L79,F79=M79,F79=N79,F79=O79,F79=P79,G79=H79,G79=I79,G79=J79,G79=K79,G79=L79,G79=M79,G79=N79,G79=O79,G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x:f>
        <x:v>PASS</x:v>
      </x:c>
      <x:c r="W79" s="87" t="str">
        <x:f>'CRAWL_LOG'!B79</x:f>
        <x:v>Chưa chạy</x:v>
      </x:c>
      <x:c r="X79" s="95" t="str">
        <x:v>Aux-local complementary panel; benchmark gate pending</x:v>
      </x:c>
    </x:row>
    <x:row r="80">
      <x:c r="A80" s="82" t="n">
        <x:v>46343</x:v>
      </x:c>
      <x:c r="B80" s="83" t="str">
        <x:v>Thứ Ba</x:v>
      </x:c>
      <x:c r="C80" s="83" t="str">
        <x:v>Official</x:v>
      </x:c>
      <x:c r="D80" s="83" t="str">
        <x:v>00:30</x:v>
      </x:c>
      <x:c r="E80" s="84" t="n">
        <x:f>'SLOT_RULES'!$D$4+IF($A80&lt;='SLOT_RULES'!$D$4,0,INT(($A80-'SLOT_RULES'!$D$4-1)/'SLOT_RULES'!$E$4)+1)*'SLOT_RULES'!$E$4</x:f>
        <x:v>46353</x:v>
      </x:c>
      <x:c r="F80" s="84" t="n">
        <x:f>'SLOT_RULES'!$D$5+IF($A80&lt;='SLOT_RULES'!$D$5,0,INT(($A80-'SLOT_RULES'!$D$5-1)/'SLOT_RULES'!$E$5)+1)*'SLOT_RULES'!$E$5</x:f>
        <x:v>46360</x:v>
      </x:c>
      <x:c r="G80" s="84" t="n">
        <x:f>'SLOT_RULES'!$D$6+IF($A80&lt;='SLOT_RULES'!$D$6,0,INT(($A80-'SLOT_RULES'!$D$6-1)/'SLOT_RULES'!$E$6)+1)*'SLOT_RULES'!$E$6</x:f>
        <x:v>46367</x:v>
      </x:c>
      <x:c r="H80" s="84" t="n">
        <x:f>'SLOT_RULES'!$D$7+IF($A80&lt;='SLOT_RULES'!$D$7,0,INT(($A80-'SLOT_RULES'!$D$7-1)/'SLOT_RULES'!$E$7)+1)*'SLOT_RULES'!$E$7</x:f>
        <x:v>46346</x:v>
      </x:c>
      <x:c r="I80" s="84" t="n">
        <x:f>'SLOT_RULES'!$D$8+IF($A80&lt;='SLOT_RULES'!$D$8,0,INT(($A80-'SLOT_RULES'!$D$8-1)/'SLOT_RULES'!$E$8)+1)*'SLOT_RULES'!$E$8</x:f>
        <x:v>46356</x:v>
      </x:c>
      <x:c r="J80" s="84" t="n">
        <x:f>'SLOT_RULES'!$D$9+IF($A80&lt;='SLOT_RULES'!$D$9,0,INT(($A80-'SLOT_RULES'!$D$9-1)/'SLOT_RULES'!$E$9)+1)*'SLOT_RULES'!$E$9</x:f>
        <x:v>46370</x:v>
      </x:c>
      <x:c r="K80" s="84" t="n">
        <x:f>'SLOT_RULES'!$D$10+IF($A80&lt;='SLOT_RULES'!$D$10,0,INT(($A80-'SLOT_RULES'!$D$10-1)/'SLOT_RULES'!$E$10)+1)*'SLOT_RULES'!$E$10</x:f>
        <x:v>46357</x:v>
      </x:c>
      <x:c r="L80" s="84" t="n">
        <x:f>'SLOT_RULES'!$D$11+IF($A80&lt;='SLOT_RULES'!$D$11,0,INT(($A80-'SLOT_RULES'!$D$11-1)/'SLOT_RULES'!$E$11)+1)*'SLOT_RULES'!$E$11</x:f>
        <x:v>46364</x:v>
      </x:c>
      <x:c r="M80" s="84" t="n">
        <x:f>'SLOT_RULES'!$D$12+IF($A80&lt;='SLOT_RULES'!$D$12,0,INT(($A80-'SLOT_RULES'!$D$12-1)/'SLOT_RULES'!$E$12)+1)*'SLOT_RULES'!$E$12</x:f>
        <x:v>46369</x:v>
      </x:c>
      <x:c r="N80" s="84" t="n">
        <x:f>'SLOT_RULES'!$D$13+IF($A80&lt;='SLOT_RULES'!$D$13,0,INT(($A80-'SLOT_RULES'!$D$13-1)/'SLOT_RULES'!$E$13)+1)*'SLOT_RULES'!$E$13</x:f>
        <x:v>46391</x:v>
      </x:c>
      <x:c r="O80" s="84" t="n">
        <x:f>'SLOT_RULES'!$D$14+IF($A80&lt;='SLOT_RULES'!$D$14,0,INT(($A80-'SLOT_RULES'!$D$14-1)/'SLOT_RULES'!$E$14)+1)*'SLOT_RULES'!$E$14</x:f>
        <x:v>46350</x:v>
      </x:c>
      <x:c r="P80" s="84" t="n">
        <x:f>'SLOT_RULES'!$D$15+IF($A80&lt;='SLOT_RULES'!$D$15,0,INT(($A80-'SLOT_RULES'!$D$15-1)/'SLOT_RULES'!$E$15)+1)*'SLOT_RULES'!$E$15</x:f>
        <x:v>46422</x:v>
      </x:c>
      <x:c r="Q80" s="85" t="n">
        <x:f>MIN(E80:P80)-A80</x:f>
        <x:v>3</x:v>
      </x:c>
      <x:c r="R80" s="85" t="n">
        <x:f>MAX(E80:P80)-A80</x:f>
        <x:v>79</x:v>
      </x:c>
      <x:c r="S80" s="86" t="str">
        <x:f>IF(AND(COUNT(E80:P80)=12,MIN(E80:P80)&gt;=A80),"PASS","FAIL")</x:f>
        <x:v>PASS</x:v>
      </x:c>
      <x:c r="T80" s="86" t="str">
        <x:f>IF((COUNTIF('LOCAL_REFERENCE'!$D80:$O80,E80)+COUNTIF('LOCAL_REFERENCE'!$D80:$O80,F80)+COUNTIF('LOCAL_REFERENCE'!$D80:$O80,G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x:f>
        <x:v>PASS</x:v>
      </x:c>
      <x:c r="U80" s="86" t="str">
        <x:f>IF((COUNTIF('VPS_REFERENCE'!$D80:$H80,E80)+COUNTIF('VPS_REFERENCE'!$D80:$H80,F80)+COUNTIF('VPS_REFERENCE'!$D80:$H80,G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x:f>
        <x:v>PASS</x:v>
      </x:c>
      <x:c r="V80" s="86" t="str">
        <x:f>IF(OR(E80=F80,E80=G80,E80=H80,E80=I80,E80=J80,E80=K80,E80=L80,E80=M80,E80=N80,E80=O80,E80=P80,F80=G80,F80=H80,F80=I80,F80=J80,F80=K80,F80=L80,F80=M80,F80=N80,F80=O80,F80=P80,G80=H80,G80=I80,G80=J80,G80=K80,G80=L80,G80=M80,G80=N80,G80=O80,G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x:f>
        <x:v>PASS</x:v>
      </x:c>
      <x:c r="W80" s="87" t="str">
        <x:f>'CRAWL_LOG'!B80</x:f>
        <x:v>Chưa chạy</x:v>
      </x:c>
      <x:c r="X80" s="95" t="str">
        <x:v>Aux-local complementary panel; benchmark gate pending</x:v>
      </x:c>
    </x:row>
    <x:row r="81">
      <x:c r="A81" s="82" t="n">
        <x:v>46344</x:v>
      </x:c>
      <x:c r="B81" s="83" t="str">
        <x:v>Thứ Tư</x:v>
      </x:c>
      <x:c r="C81" s="83" t="str">
        <x:v>Official</x:v>
      </x:c>
      <x:c r="D81" s="83" t="str">
        <x:v>00:30</x:v>
      </x:c>
      <x:c r="E81" s="84" t="n">
        <x:f>'SLOT_RULES'!$D$4+IF($A81&lt;='SLOT_RULES'!$D$4,0,INT(($A81-'SLOT_RULES'!$D$4-1)/'SLOT_RULES'!$E$4)+1)*'SLOT_RULES'!$E$4</x:f>
        <x:v>46353</x:v>
      </x:c>
      <x:c r="F81" s="84" t="n">
        <x:f>'SLOT_RULES'!$D$5+IF($A81&lt;='SLOT_RULES'!$D$5,0,INT(($A81-'SLOT_RULES'!$D$5-1)/'SLOT_RULES'!$E$5)+1)*'SLOT_RULES'!$E$5</x:f>
        <x:v>46360</x:v>
      </x:c>
      <x:c r="G81" s="84" t="n">
        <x:f>'SLOT_RULES'!$D$6+IF($A81&lt;='SLOT_RULES'!$D$6,0,INT(($A81-'SLOT_RULES'!$D$6-1)/'SLOT_RULES'!$E$6)+1)*'SLOT_RULES'!$E$6</x:f>
        <x:v>46367</x:v>
      </x:c>
      <x:c r="H81" s="84" t="n">
        <x:f>'SLOT_RULES'!$D$7+IF($A81&lt;='SLOT_RULES'!$D$7,0,INT(($A81-'SLOT_RULES'!$D$7-1)/'SLOT_RULES'!$E$7)+1)*'SLOT_RULES'!$E$7</x:f>
        <x:v>46346</x:v>
      </x:c>
      <x:c r="I81" s="84" t="n">
        <x:f>'SLOT_RULES'!$D$8+IF($A81&lt;='SLOT_RULES'!$D$8,0,INT(($A81-'SLOT_RULES'!$D$8-1)/'SLOT_RULES'!$E$8)+1)*'SLOT_RULES'!$E$8</x:f>
        <x:v>46356</x:v>
      </x:c>
      <x:c r="J81" s="84" t="n">
        <x:f>'SLOT_RULES'!$D$9+IF($A81&lt;='SLOT_RULES'!$D$9,0,INT(($A81-'SLOT_RULES'!$D$9-1)/'SLOT_RULES'!$E$9)+1)*'SLOT_RULES'!$E$9</x:f>
        <x:v>46370</x:v>
      </x:c>
      <x:c r="K81" s="84" t="n">
        <x:f>'SLOT_RULES'!$D$10+IF($A81&lt;='SLOT_RULES'!$D$10,0,INT(($A81-'SLOT_RULES'!$D$10-1)/'SLOT_RULES'!$E$10)+1)*'SLOT_RULES'!$E$10</x:f>
        <x:v>46357</x:v>
      </x:c>
      <x:c r="L81" s="84" t="n">
        <x:f>'SLOT_RULES'!$D$11+IF($A81&lt;='SLOT_RULES'!$D$11,0,INT(($A81-'SLOT_RULES'!$D$11-1)/'SLOT_RULES'!$E$11)+1)*'SLOT_RULES'!$E$11</x:f>
        <x:v>46364</x:v>
      </x:c>
      <x:c r="M81" s="84" t="n">
        <x:f>'SLOT_RULES'!$D$12+IF($A81&lt;='SLOT_RULES'!$D$12,0,INT(($A81-'SLOT_RULES'!$D$12-1)/'SLOT_RULES'!$E$12)+1)*'SLOT_RULES'!$E$12</x:f>
        <x:v>46369</x:v>
      </x:c>
      <x:c r="N81" s="84" t="n">
        <x:f>'SLOT_RULES'!$D$13+IF($A81&lt;='SLOT_RULES'!$D$13,0,INT(($A81-'SLOT_RULES'!$D$13-1)/'SLOT_RULES'!$E$13)+1)*'SLOT_RULES'!$E$13</x:f>
        <x:v>46391</x:v>
      </x:c>
      <x:c r="O81" s="84" t="n">
        <x:f>'SLOT_RULES'!$D$14+IF($A81&lt;='SLOT_RULES'!$D$14,0,INT(($A81-'SLOT_RULES'!$D$14-1)/'SLOT_RULES'!$E$14)+1)*'SLOT_RULES'!$E$14</x:f>
        <x:v>46350</x:v>
      </x:c>
      <x:c r="P81" s="84" t="n">
        <x:f>'SLOT_RULES'!$D$15+IF($A81&lt;='SLOT_RULES'!$D$15,0,INT(($A81-'SLOT_RULES'!$D$15-1)/'SLOT_RULES'!$E$15)+1)*'SLOT_RULES'!$E$15</x:f>
        <x:v>46422</x:v>
      </x:c>
      <x:c r="Q81" s="85" t="n">
        <x:f>MIN(E81:P81)-A81</x:f>
        <x:v>2</x:v>
      </x:c>
      <x:c r="R81" s="85" t="n">
        <x:f>MAX(E81:P81)-A81</x:f>
        <x:v>78</x:v>
      </x:c>
      <x:c r="S81" s="86" t="str">
        <x:f>IF(AND(COUNT(E81:P81)=12,MIN(E81:P81)&gt;=A81),"PASS","FAIL")</x:f>
        <x:v>PASS</x:v>
      </x:c>
      <x:c r="T81" s="86" t="str">
        <x:f>IF((COUNTIF('LOCAL_REFERENCE'!$D81:$O81,E81)+COUNTIF('LOCAL_REFERENCE'!$D81:$O81,F81)+COUNTIF('LOCAL_REFERENCE'!$D81:$O81,G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x:f>
        <x:v>PASS</x:v>
      </x:c>
      <x:c r="U81" s="86" t="str">
        <x:f>IF((COUNTIF('VPS_REFERENCE'!$D81:$H81,E81)+COUNTIF('VPS_REFERENCE'!$D81:$H81,F81)+COUNTIF('VPS_REFERENCE'!$D81:$H81,G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x:f>
        <x:v>PASS</x:v>
      </x:c>
      <x:c r="V81" s="86" t="str">
        <x:f>IF(OR(E81=F81,E81=G81,E81=H81,E81=I81,E81=J81,E81=K81,E81=L81,E81=M81,E81=N81,E81=O81,E81=P81,F81=G81,F81=H81,F81=I81,F81=J81,F81=K81,F81=L81,F81=M81,F81=N81,F81=O81,F81=P81,G81=H81,G81=I81,G81=J81,G81=K81,G81=L81,G81=M81,G81=N81,G81=O81,G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x:f>
        <x:v>PASS</x:v>
      </x:c>
      <x:c r="W81" s="87" t="str">
        <x:f>'CRAWL_LOG'!B81</x:f>
        <x:v>Chưa chạy</x:v>
      </x:c>
      <x:c r="X81" s="95" t="str">
        <x:v>Aux-local complementary panel; benchmark gate pending</x:v>
      </x:c>
    </x:row>
    <x:row r="82">
      <x:c r="A82" s="82" t="n">
        <x:v>46345</x:v>
      </x:c>
      <x:c r="B82" s="83" t="str">
        <x:v>Thứ Năm</x:v>
      </x:c>
      <x:c r="C82" s="83" t="str">
        <x:v>Official</x:v>
      </x:c>
      <x:c r="D82" s="83" t="str">
        <x:v>00:30</x:v>
      </x:c>
      <x:c r="E82" s="84" t="n">
        <x:f>'SLOT_RULES'!$D$4+IF($A82&lt;='SLOT_RULES'!$D$4,0,INT(($A82-'SLOT_RULES'!$D$4-1)/'SLOT_RULES'!$E$4)+1)*'SLOT_RULES'!$E$4</x:f>
        <x:v>46353</x:v>
      </x:c>
      <x:c r="F82" s="84" t="n">
        <x:f>'SLOT_RULES'!$D$5+IF($A82&lt;='SLOT_RULES'!$D$5,0,INT(($A82-'SLOT_RULES'!$D$5-1)/'SLOT_RULES'!$E$5)+1)*'SLOT_RULES'!$E$5</x:f>
        <x:v>46360</x:v>
      </x:c>
      <x:c r="G82" s="84" t="n">
        <x:f>'SLOT_RULES'!$D$6+IF($A82&lt;='SLOT_RULES'!$D$6,0,INT(($A82-'SLOT_RULES'!$D$6-1)/'SLOT_RULES'!$E$6)+1)*'SLOT_RULES'!$E$6</x:f>
        <x:v>46367</x:v>
      </x:c>
      <x:c r="H82" s="84" t="n">
        <x:f>'SLOT_RULES'!$D$7+IF($A82&lt;='SLOT_RULES'!$D$7,0,INT(($A82-'SLOT_RULES'!$D$7-1)/'SLOT_RULES'!$E$7)+1)*'SLOT_RULES'!$E$7</x:f>
        <x:v>46346</x:v>
      </x:c>
      <x:c r="I82" s="84" t="n">
        <x:f>'SLOT_RULES'!$D$8+IF($A82&lt;='SLOT_RULES'!$D$8,0,INT(($A82-'SLOT_RULES'!$D$8-1)/'SLOT_RULES'!$E$8)+1)*'SLOT_RULES'!$E$8</x:f>
        <x:v>46356</x:v>
      </x:c>
      <x:c r="J82" s="84" t="n">
        <x:f>'SLOT_RULES'!$D$9+IF($A82&lt;='SLOT_RULES'!$D$9,0,INT(($A82-'SLOT_RULES'!$D$9-1)/'SLOT_RULES'!$E$9)+1)*'SLOT_RULES'!$E$9</x:f>
        <x:v>46370</x:v>
      </x:c>
      <x:c r="K82" s="84" t="n">
        <x:f>'SLOT_RULES'!$D$10+IF($A82&lt;='SLOT_RULES'!$D$10,0,INT(($A82-'SLOT_RULES'!$D$10-1)/'SLOT_RULES'!$E$10)+1)*'SLOT_RULES'!$E$10</x:f>
        <x:v>46357</x:v>
      </x:c>
      <x:c r="L82" s="84" t="n">
        <x:f>'SLOT_RULES'!$D$11+IF($A82&lt;='SLOT_RULES'!$D$11,0,INT(($A82-'SLOT_RULES'!$D$11-1)/'SLOT_RULES'!$E$11)+1)*'SLOT_RULES'!$E$11</x:f>
        <x:v>46364</x:v>
      </x:c>
      <x:c r="M82" s="84" t="n">
        <x:f>'SLOT_RULES'!$D$12+IF($A82&lt;='SLOT_RULES'!$D$12,0,INT(($A82-'SLOT_RULES'!$D$12-1)/'SLOT_RULES'!$E$12)+1)*'SLOT_RULES'!$E$12</x:f>
        <x:v>46369</x:v>
      </x:c>
      <x:c r="N82" s="84" t="n">
        <x:f>'SLOT_RULES'!$D$13+IF($A82&lt;='SLOT_RULES'!$D$13,0,INT(($A82-'SLOT_RULES'!$D$13-1)/'SLOT_RULES'!$E$13)+1)*'SLOT_RULES'!$E$13</x:f>
        <x:v>46391</x:v>
      </x:c>
      <x:c r="O82" s="84" t="n">
        <x:f>'SLOT_RULES'!$D$14+IF($A82&lt;='SLOT_RULES'!$D$14,0,INT(($A82-'SLOT_RULES'!$D$14-1)/'SLOT_RULES'!$E$14)+1)*'SLOT_RULES'!$E$14</x:f>
        <x:v>46350</x:v>
      </x:c>
      <x:c r="P82" s="84" t="n">
        <x:f>'SLOT_RULES'!$D$15+IF($A82&lt;='SLOT_RULES'!$D$15,0,INT(($A82-'SLOT_RULES'!$D$15-1)/'SLOT_RULES'!$E$15)+1)*'SLOT_RULES'!$E$15</x:f>
        <x:v>46422</x:v>
      </x:c>
      <x:c r="Q82" s="85" t="n">
        <x:f>MIN(E82:P82)-A82</x:f>
        <x:v>1</x:v>
      </x:c>
      <x:c r="R82" s="85" t="n">
        <x:f>MAX(E82:P82)-A82</x:f>
        <x:v>77</x:v>
      </x:c>
      <x:c r="S82" s="86" t="str">
        <x:f>IF(AND(COUNT(E82:P82)=12,MIN(E82:P82)&gt;=A82),"PASS","FAIL")</x:f>
        <x:v>PASS</x:v>
      </x:c>
      <x:c r="T82" s="86" t="str">
        <x:f>IF((COUNTIF('LOCAL_REFERENCE'!$D82:$O82,E82)+COUNTIF('LOCAL_REFERENCE'!$D82:$O82,F82)+COUNTIF('LOCAL_REFERENCE'!$D82:$O82,G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x:f>
        <x:v>PASS</x:v>
      </x:c>
      <x:c r="U82" s="86" t="str">
        <x:f>IF((COUNTIF('VPS_REFERENCE'!$D82:$H82,E82)+COUNTIF('VPS_REFERENCE'!$D82:$H82,F82)+COUNTIF('VPS_REFERENCE'!$D82:$H82,G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x:f>
        <x:v>PASS</x:v>
      </x:c>
      <x:c r="V82" s="86" t="str">
        <x:f>IF(OR(E82=F82,E82=G82,E82=H82,E82=I82,E82=J82,E82=K82,E82=L82,E82=M82,E82=N82,E82=O82,E82=P82,F82=G82,F82=H82,F82=I82,F82=J82,F82=K82,F82=L82,F82=M82,F82=N82,F82=O82,F82=P82,G82=H82,G82=I82,G82=J82,G82=K82,G82=L82,G82=M82,G82=N82,G82=O82,G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x:f>
        <x:v>PASS</x:v>
      </x:c>
      <x:c r="W82" s="87" t="str">
        <x:f>'CRAWL_LOG'!B82</x:f>
        <x:v>Chưa chạy</x:v>
      </x:c>
      <x:c r="X82" s="95" t="str">
        <x:v>Aux-local complementary panel; benchmark gate pending</x:v>
      </x:c>
    </x:row>
    <x:row r="83">
      <x:c r="A83" s="82" t="n">
        <x:v>46346</x:v>
      </x:c>
      <x:c r="B83" s="83" t="str">
        <x:v>Thứ Sáu</x:v>
      </x:c>
      <x:c r="C83" s="83" t="str">
        <x:v>Official</x:v>
      </x:c>
      <x:c r="D83" s="83" t="str">
        <x:v>00:30</x:v>
      </x:c>
      <x:c r="E83" s="84" t="n">
        <x:f>'SLOT_RULES'!$D$4+IF($A83&lt;='SLOT_RULES'!$D$4,0,INT(($A83-'SLOT_RULES'!$D$4-1)/'SLOT_RULES'!$E$4)+1)*'SLOT_RULES'!$E$4</x:f>
        <x:v>46353</x:v>
      </x:c>
      <x:c r="F83" s="84" t="n">
        <x:f>'SLOT_RULES'!$D$5+IF($A83&lt;='SLOT_RULES'!$D$5,0,INT(($A83-'SLOT_RULES'!$D$5-1)/'SLOT_RULES'!$E$5)+1)*'SLOT_RULES'!$E$5</x:f>
        <x:v>46360</x:v>
      </x:c>
      <x:c r="G83" s="84" t="n">
        <x:f>'SLOT_RULES'!$D$6+IF($A83&lt;='SLOT_RULES'!$D$6,0,INT(($A83-'SLOT_RULES'!$D$6-1)/'SLOT_RULES'!$E$6)+1)*'SLOT_RULES'!$E$6</x:f>
        <x:v>46367</x:v>
      </x:c>
      <x:c r="H83" s="84" t="n">
        <x:f>'SLOT_RULES'!$D$7+IF($A83&lt;='SLOT_RULES'!$D$7,0,INT(($A83-'SLOT_RULES'!$D$7-1)/'SLOT_RULES'!$E$7)+1)*'SLOT_RULES'!$E$7</x:f>
        <x:v>46346</x:v>
      </x:c>
      <x:c r="I83" s="84" t="n">
        <x:f>'SLOT_RULES'!$D$8+IF($A83&lt;='SLOT_RULES'!$D$8,0,INT(($A83-'SLOT_RULES'!$D$8-1)/'SLOT_RULES'!$E$8)+1)*'SLOT_RULES'!$E$8</x:f>
        <x:v>46356</x:v>
      </x:c>
      <x:c r="J83" s="84" t="n">
        <x:f>'SLOT_RULES'!$D$9+IF($A83&lt;='SLOT_RULES'!$D$9,0,INT(($A83-'SLOT_RULES'!$D$9-1)/'SLOT_RULES'!$E$9)+1)*'SLOT_RULES'!$E$9</x:f>
        <x:v>46370</x:v>
      </x:c>
      <x:c r="K83" s="84" t="n">
        <x:f>'SLOT_RULES'!$D$10+IF($A83&lt;='SLOT_RULES'!$D$10,0,INT(($A83-'SLOT_RULES'!$D$10-1)/'SLOT_RULES'!$E$10)+1)*'SLOT_RULES'!$E$10</x:f>
        <x:v>46357</x:v>
      </x:c>
      <x:c r="L83" s="84" t="n">
        <x:f>'SLOT_RULES'!$D$11+IF($A83&lt;='SLOT_RULES'!$D$11,0,INT(($A83-'SLOT_RULES'!$D$11-1)/'SLOT_RULES'!$E$11)+1)*'SLOT_RULES'!$E$11</x:f>
        <x:v>46364</x:v>
      </x:c>
      <x:c r="M83" s="84" t="n">
        <x:f>'SLOT_RULES'!$D$12+IF($A83&lt;='SLOT_RULES'!$D$12,0,INT(($A83-'SLOT_RULES'!$D$12-1)/'SLOT_RULES'!$E$12)+1)*'SLOT_RULES'!$E$12</x:f>
        <x:v>46369</x:v>
      </x:c>
      <x:c r="N83" s="84" t="n">
        <x:f>'SLOT_RULES'!$D$13+IF($A83&lt;='SLOT_RULES'!$D$13,0,INT(($A83-'SLOT_RULES'!$D$13-1)/'SLOT_RULES'!$E$13)+1)*'SLOT_RULES'!$E$13</x:f>
        <x:v>46391</x:v>
      </x:c>
      <x:c r="O83" s="84" t="n">
        <x:f>'SLOT_RULES'!$D$14+IF($A83&lt;='SLOT_RULES'!$D$14,0,INT(($A83-'SLOT_RULES'!$D$14-1)/'SLOT_RULES'!$E$14)+1)*'SLOT_RULES'!$E$14</x:f>
        <x:v>46350</x:v>
      </x:c>
      <x:c r="P83" s="84" t="n">
        <x:f>'SLOT_RULES'!$D$15+IF($A83&lt;='SLOT_RULES'!$D$15,0,INT(($A83-'SLOT_RULES'!$D$15-1)/'SLOT_RULES'!$E$15)+1)*'SLOT_RULES'!$E$15</x:f>
        <x:v>46422</x:v>
      </x:c>
      <x:c r="Q83" s="85" t="n">
        <x:f>MIN(E83:P83)-A83</x:f>
        <x:v>0</x:v>
      </x:c>
      <x:c r="R83" s="85" t="n">
        <x:f>MAX(E83:P83)-A83</x:f>
        <x:v>76</x:v>
      </x:c>
      <x:c r="S83" s="86" t="str">
        <x:f>IF(AND(COUNT(E83:P83)=12,MIN(E83:P83)&gt;=A83),"PASS","FAIL")</x:f>
        <x:v>PASS</x:v>
      </x:c>
      <x:c r="T83" s="86" t="str">
        <x:f>IF((COUNTIF('LOCAL_REFERENCE'!$D83:$O83,E83)+COUNTIF('LOCAL_REFERENCE'!$D83:$O83,F83)+COUNTIF('LOCAL_REFERENCE'!$D83:$O83,G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x:f>
        <x:v>PASS</x:v>
      </x:c>
      <x:c r="U83" s="86" t="str">
        <x:f>IF((COUNTIF('VPS_REFERENCE'!$D83:$H83,E83)+COUNTIF('VPS_REFERENCE'!$D83:$H83,F83)+COUNTIF('VPS_REFERENCE'!$D83:$H83,G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x:f>
        <x:v>PASS</x:v>
      </x:c>
      <x:c r="V83" s="86" t="str">
        <x:f>IF(OR(E83=F83,E83=G83,E83=H83,E83=I83,E83=J83,E83=K83,E83=L83,E83=M83,E83=N83,E83=O83,E83=P83,F83=G83,F83=H83,F83=I83,F83=J83,F83=K83,F83=L83,F83=M83,F83=N83,F83=O83,F83=P83,G83=H83,G83=I83,G83=J83,G83=K83,G83=L83,G83=M83,G83=N83,G83=O83,G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x:f>
        <x:v>PASS</x:v>
      </x:c>
      <x:c r="W83" s="87" t="str">
        <x:f>'CRAWL_LOG'!B83</x:f>
        <x:v>Chưa chạy</x:v>
      </x:c>
      <x:c r="X83" s="95" t="str">
        <x:v>Aux-local complementary panel; benchmark gate pending</x:v>
      </x:c>
    </x:row>
    <x:row r="84">
      <x:c r="A84" s="82" t="n">
        <x:v>46347</x:v>
      </x:c>
      <x:c r="B84" s="83" t="str">
        <x:v>Thứ Bảy</x:v>
      </x:c>
      <x:c r="C84" s="83" t="str">
        <x:v>Official</x:v>
      </x:c>
      <x:c r="D84" s="83" t="str">
        <x:v>00:30</x:v>
      </x:c>
      <x:c r="E84" s="84" t="n">
        <x:f>'SLOT_RULES'!$D$4+IF($A84&lt;='SLOT_RULES'!$D$4,0,INT(($A84-'SLOT_RULES'!$D$4-1)/'SLOT_RULES'!$E$4)+1)*'SLOT_RULES'!$E$4</x:f>
        <x:v>46353</x:v>
      </x:c>
      <x:c r="F84" s="84" t="n">
        <x:f>'SLOT_RULES'!$D$5+IF($A84&lt;='SLOT_RULES'!$D$5,0,INT(($A84-'SLOT_RULES'!$D$5-1)/'SLOT_RULES'!$E$5)+1)*'SLOT_RULES'!$E$5</x:f>
        <x:v>46360</x:v>
      </x:c>
      <x:c r="G84" s="84" t="n">
        <x:f>'SLOT_RULES'!$D$6+IF($A84&lt;='SLOT_RULES'!$D$6,0,INT(($A84-'SLOT_RULES'!$D$6-1)/'SLOT_RULES'!$E$6)+1)*'SLOT_RULES'!$E$6</x:f>
        <x:v>46367</x:v>
      </x:c>
      <x:c r="H84" s="84" t="n">
        <x:f>'SLOT_RULES'!$D$7+IF($A84&lt;='SLOT_RULES'!$D$7,0,INT(($A84-'SLOT_RULES'!$D$7-1)/'SLOT_RULES'!$E$7)+1)*'SLOT_RULES'!$E$7</x:f>
        <x:v>46374</x:v>
      </x:c>
      <x:c r="I84" s="84" t="n">
        <x:f>'SLOT_RULES'!$D$8+IF($A84&lt;='SLOT_RULES'!$D$8,0,INT(($A84-'SLOT_RULES'!$D$8-1)/'SLOT_RULES'!$E$8)+1)*'SLOT_RULES'!$E$8</x:f>
        <x:v>46356</x:v>
      </x:c>
      <x:c r="J84" s="84" t="n">
        <x:f>'SLOT_RULES'!$D$9+IF($A84&lt;='SLOT_RULES'!$D$9,0,INT(($A84-'SLOT_RULES'!$D$9-1)/'SLOT_RULES'!$E$9)+1)*'SLOT_RULES'!$E$9</x:f>
        <x:v>46370</x:v>
      </x:c>
      <x:c r="K84" s="84" t="n">
        <x:f>'SLOT_RULES'!$D$10+IF($A84&lt;='SLOT_RULES'!$D$10,0,INT(($A84-'SLOT_RULES'!$D$10-1)/'SLOT_RULES'!$E$10)+1)*'SLOT_RULES'!$E$10</x:f>
        <x:v>46357</x:v>
      </x:c>
      <x:c r="L84" s="84" t="n">
        <x:f>'SLOT_RULES'!$D$11+IF($A84&lt;='SLOT_RULES'!$D$11,0,INT(($A84-'SLOT_RULES'!$D$11-1)/'SLOT_RULES'!$E$11)+1)*'SLOT_RULES'!$E$11</x:f>
        <x:v>46364</x:v>
      </x:c>
      <x:c r="M84" s="84" t="n">
        <x:f>'SLOT_RULES'!$D$12+IF($A84&lt;='SLOT_RULES'!$D$12,0,INT(($A84-'SLOT_RULES'!$D$12-1)/'SLOT_RULES'!$E$12)+1)*'SLOT_RULES'!$E$12</x:f>
        <x:v>46369</x:v>
      </x:c>
      <x:c r="N84" s="84" t="n">
        <x:f>'SLOT_RULES'!$D$13+IF($A84&lt;='SLOT_RULES'!$D$13,0,INT(($A84-'SLOT_RULES'!$D$13-1)/'SLOT_RULES'!$E$13)+1)*'SLOT_RULES'!$E$13</x:f>
        <x:v>46391</x:v>
      </x:c>
      <x:c r="O84" s="84" t="n">
        <x:f>'SLOT_RULES'!$D$14+IF($A84&lt;='SLOT_RULES'!$D$14,0,INT(($A84-'SLOT_RULES'!$D$14-1)/'SLOT_RULES'!$E$14)+1)*'SLOT_RULES'!$E$14</x:f>
        <x:v>46350</x:v>
      </x:c>
      <x:c r="P84" s="84" t="n">
        <x:f>'SLOT_RULES'!$D$15+IF($A84&lt;='SLOT_RULES'!$D$15,0,INT(($A84-'SLOT_RULES'!$D$15-1)/'SLOT_RULES'!$E$15)+1)*'SLOT_RULES'!$E$15</x:f>
        <x:v>46422</x:v>
      </x:c>
      <x:c r="Q84" s="85" t="n">
        <x:f>MIN(E84:P84)-A84</x:f>
        <x:v>3</x:v>
      </x:c>
      <x:c r="R84" s="85" t="n">
        <x:f>MAX(E84:P84)-A84</x:f>
        <x:v>75</x:v>
      </x:c>
      <x:c r="S84" s="86" t="str">
        <x:f>IF(AND(COUNT(E84:P84)=12,MIN(E84:P84)&gt;=A84),"PASS","FAIL")</x:f>
        <x:v>PASS</x:v>
      </x:c>
      <x:c r="T84" s="86" t="str">
        <x:f>IF((COUNTIF('LOCAL_REFERENCE'!$D84:$O84,E84)+COUNTIF('LOCAL_REFERENCE'!$D84:$O84,F84)+COUNTIF('LOCAL_REFERENCE'!$D84:$O84,G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x:f>
        <x:v>PASS</x:v>
      </x:c>
      <x:c r="U84" s="86" t="str">
        <x:f>IF((COUNTIF('VPS_REFERENCE'!$D84:$H84,E84)+COUNTIF('VPS_REFERENCE'!$D84:$H84,F84)+COUNTIF('VPS_REFERENCE'!$D84:$H84,G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x:f>
        <x:v>PASS</x:v>
      </x:c>
      <x:c r="V84" s="86" t="str">
        <x:f>IF(OR(E84=F84,E84=G84,E84=H84,E84=I84,E84=J84,E84=K84,E84=L84,E84=M84,E84=N84,E84=O84,E84=P84,F84=G84,F84=H84,F84=I84,F84=J84,F84=K84,F84=L84,F84=M84,F84=N84,F84=O84,F84=P84,G84=H84,G84=I84,G84=J84,G84=K84,G84=L84,G84=M84,G84=N84,G84=O84,G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x:f>
        <x:v>PASS</x:v>
      </x:c>
      <x:c r="W84" s="87" t="str">
        <x:f>'CRAWL_LOG'!B84</x:f>
        <x:v>Chưa chạy</x:v>
      </x:c>
      <x:c r="X84" s="95" t="str">
        <x:v>Aux-local complementary panel; benchmark gate pending</x:v>
      </x:c>
    </x:row>
    <x:row r="85">
      <x:c r="A85" s="82" t="n">
        <x:v>46348</x:v>
      </x:c>
      <x:c r="B85" s="83" t="str">
        <x:v>Chủ Nhật</x:v>
      </x:c>
      <x:c r="C85" s="83" t="str">
        <x:v>Official</x:v>
      </x:c>
      <x:c r="D85" s="83" t="str">
        <x:v>00:30</x:v>
      </x:c>
      <x:c r="E85" s="84" t="n">
        <x:f>'SLOT_RULES'!$D$4+IF($A85&lt;='SLOT_RULES'!$D$4,0,INT(($A85-'SLOT_RULES'!$D$4-1)/'SLOT_RULES'!$E$4)+1)*'SLOT_RULES'!$E$4</x:f>
        <x:v>46353</x:v>
      </x:c>
      <x:c r="F85" s="84" t="n">
        <x:f>'SLOT_RULES'!$D$5+IF($A85&lt;='SLOT_RULES'!$D$5,0,INT(($A85-'SLOT_RULES'!$D$5-1)/'SLOT_RULES'!$E$5)+1)*'SLOT_RULES'!$E$5</x:f>
        <x:v>46360</x:v>
      </x:c>
      <x:c r="G85" s="84" t="n">
        <x:f>'SLOT_RULES'!$D$6+IF($A85&lt;='SLOT_RULES'!$D$6,0,INT(($A85-'SLOT_RULES'!$D$6-1)/'SLOT_RULES'!$E$6)+1)*'SLOT_RULES'!$E$6</x:f>
        <x:v>46367</x:v>
      </x:c>
      <x:c r="H85" s="84" t="n">
        <x:f>'SLOT_RULES'!$D$7+IF($A85&lt;='SLOT_RULES'!$D$7,0,INT(($A85-'SLOT_RULES'!$D$7-1)/'SLOT_RULES'!$E$7)+1)*'SLOT_RULES'!$E$7</x:f>
        <x:v>46374</x:v>
      </x:c>
      <x:c r="I85" s="84" t="n">
        <x:f>'SLOT_RULES'!$D$8+IF($A85&lt;='SLOT_RULES'!$D$8,0,INT(($A85-'SLOT_RULES'!$D$8-1)/'SLOT_RULES'!$E$8)+1)*'SLOT_RULES'!$E$8</x:f>
        <x:v>46356</x:v>
      </x:c>
      <x:c r="J85" s="84" t="n">
        <x:f>'SLOT_RULES'!$D$9+IF($A85&lt;='SLOT_RULES'!$D$9,0,INT(($A85-'SLOT_RULES'!$D$9-1)/'SLOT_RULES'!$E$9)+1)*'SLOT_RULES'!$E$9</x:f>
        <x:v>46370</x:v>
      </x:c>
      <x:c r="K85" s="84" t="n">
        <x:f>'SLOT_RULES'!$D$10+IF($A85&lt;='SLOT_RULES'!$D$10,0,INT(($A85-'SLOT_RULES'!$D$10-1)/'SLOT_RULES'!$E$10)+1)*'SLOT_RULES'!$E$10</x:f>
        <x:v>46357</x:v>
      </x:c>
      <x:c r="L85" s="84" t="n">
        <x:f>'SLOT_RULES'!$D$11+IF($A85&lt;='SLOT_RULES'!$D$11,0,INT(($A85-'SLOT_RULES'!$D$11-1)/'SLOT_RULES'!$E$11)+1)*'SLOT_RULES'!$E$11</x:f>
        <x:v>46364</x:v>
      </x:c>
      <x:c r="M85" s="84" t="n">
        <x:f>'SLOT_RULES'!$D$12+IF($A85&lt;='SLOT_RULES'!$D$12,0,INT(($A85-'SLOT_RULES'!$D$12-1)/'SLOT_RULES'!$E$12)+1)*'SLOT_RULES'!$E$12</x:f>
        <x:v>46369</x:v>
      </x:c>
      <x:c r="N85" s="84" t="n">
        <x:f>'SLOT_RULES'!$D$13+IF($A85&lt;='SLOT_RULES'!$D$13,0,INT(($A85-'SLOT_RULES'!$D$13-1)/'SLOT_RULES'!$E$13)+1)*'SLOT_RULES'!$E$13</x:f>
        <x:v>46391</x:v>
      </x:c>
      <x:c r="O85" s="84" t="n">
        <x:f>'SLOT_RULES'!$D$14+IF($A85&lt;='SLOT_RULES'!$D$14,0,INT(($A85-'SLOT_RULES'!$D$14-1)/'SLOT_RULES'!$E$14)+1)*'SLOT_RULES'!$E$14</x:f>
        <x:v>46350</x:v>
      </x:c>
      <x:c r="P85" s="84" t="n">
        <x:f>'SLOT_RULES'!$D$15+IF($A85&lt;='SLOT_RULES'!$D$15,0,INT(($A85-'SLOT_RULES'!$D$15-1)/'SLOT_RULES'!$E$15)+1)*'SLOT_RULES'!$E$15</x:f>
        <x:v>46422</x:v>
      </x:c>
      <x:c r="Q85" s="85" t="n">
        <x:f>MIN(E85:P85)-A85</x:f>
        <x:v>2</x:v>
      </x:c>
      <x:c r="R85" s="85" t="n">
        <x:f>MAX(E85:P85)-A85</x:f>
        <x:v>74</x:v>
      </x:c>
      <x:c r="S85" s="86" t="str">
        <x:f>IF(AND(COUNT(E85:P85)=12,MIN(E85:P85)&gt;=A85),"PASS","FAIL")</x:f>
        <x:v>PASS</x:v>
      </x:c>
      <x:c r="T85" s="86" t="str">
        <x:f>IF((COUNTIF('LOCAL_REFERENCE'!$D85:$O85,E85)+COUNTIF('LOCAL_REFERENCE'!$D85:$O85,F85)+COUNTIF('LOCAL_REFERENCE'!$D85:$O85,G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x:f>
        <x:v>PASS</x:v>
      </x:c>
      <x:c r="U85" s="86" t="str">
        <x:f>IF((COUNTIF('VPS_REFERENCE'!$D85:$H85,E85)+COUNTIF('VPS_REFERENCE'!$D85:$H85,F85)+COUNTIF('VPS_REFERENCE'!$D85:$H85,G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x:f>
        <x:v>PASS</x:v>
      </x:c>
      <x:c r="V85" s="86" t="str">
        <x:f>IF(OR(E85=F85,E85=G85,E85=H85,E85=I85,E85=J85,E85=K85,E85=L85,E85=M85,E85=N85,E85=O85,E85=P85,F85=G85,F85=H85,F85=I85,F85=J85,F85=K85,F85=L85,F85=M85,F85=N85,F85=O85,F85=P85,G85=H85,G85=I85,G85=J85,G85=K85,G85=L85,G85=M85,G85=N85,G85=O85,G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x:f>
        <x:v>PASS</x:v>
      </x:c>
      <x:c r="W85" s="87" t="str">
        <x:f>'CRAWL_LOG'!B85</x:f>
        <x:v>Chưa chạy</x:v>
      </x:c>
      <x:c r="X85" s="95" t="str">
        <x:v>Aux-local complementary panel; benchmark gate pending</x:v>
      </x:c>
    </x:row>
    <x:row r="86">
      <x:c r="A86" s="82" t="n">
        <x:v>46349</x:v>
      </x:c>
      <x:c r="B86" s="83" t="str">
        <x:v>Thứ Hai</x:v>
      </x:c>
      <x:c r="C86" s="83" t="str">
        <x:v>Official</x:v>
      </x:c>
      <x:c r="D86" s="83" t="str">
        <x:v>00:30</x:v>
      </x:c>
      <x:c r="E86" s="84" t="n">
        <x:f>'SLOT_RULES'!$D$4+IF($A86&lt;='SLOT_RULES'!$D$4,0,INT(($A86-'SLOT_RULES'!$D$4-1)/'SLOT_RULES'!$E$4)+1)*'SLOT_RULES'!$E$4</x:f>
        <x:v>46353</x:v>
      </x:c>
      <x:c r="F86" s="84" t="n">
        <x:f>'SLOT_RULES'!$D$5+IF($A86&lt;='SLOT_RULES'!$D$5,0,INT(($A86-'SLOT_RULES'!$D$5-1)/'SLOT_RULES'!$E$5)+1)*'SLOT_RULES'!$E$5</x:f>
        <x:v>46360</x:v>
      </x:c>
      <x:c r="G86" s="84" t="n">
        <x:f>'SLOT_RULES'!$D$6+IF($A86&lt;='SLOT_RULES'!$D$6,0,INT(($A86-'SLOT_RULES'!$D$6-1)/'SLOT_RULES'!$E$6)+1)*'SLOT_RULES'!$E$6</x:f>
        <x:v>46367</x:v>
      </x:c>
      <x:c r="H86" s="84" t="n">
        <x:f>'SLOT_RULES'!$D$7+IF($A86&lt;='SLOT_RULES'!$D$7,0,INT(($A86-'SLOT_RULES'!$D$7-1)/'SLOT_RULES'!$E$7)+1)*'SLOT_RULES'!$E$7</x:f>
        <x:v>46374</x:v>
      </x:c>
      <x:c r="I86" s="84" t="n">
        <x:f>'SLOT_RULES'!$D$8+IF($A86&lt;='SLOT_RULES'!$D$8,0,INT(($A86-'SLOT_RULES'!$D$8-1)/'SLOT_RULES'!$E$8)+1)*'SLOT_RULES'!$E$8</x:f>
        <x:v>46356</x:v>
      </x:c>
      <x:c r="J86" s="84" t="n">
        <x:f>'SLOT_RULES'!$D$9+IF($A86&lt;='SLOT_RULES'!$D$9,0,INT(($A86-'SLOT_RULES'!$D$9-1)/'SLOT_RULES'!$E$9)+1)*'SLOT_RULES'!$E$9</x:f>
        <x:v>46370</x:v>
      </x:c>
      <x:c r="K86" s="84" t="n">
        <x:f>'SLOT_RULES'!$D$10+IF($A86&lt;='SLOT_RULES'!$D$10,0,INT(($A86-'SLOT_RULES'!$D$10-1)/'SLOT_RULES'!$E$10)+1)*'SLOT_RULES'!$E$10</x:f>
        <x:v>46357</x:v>
      </x:c>
      <x:c r="L86" s="84" t="n">
        <x:f>'SLOT_RULES'!$D$11+IF($A86&lt;='SLOT_RULES'!$D$11,0,INT(($A86-'SLOT_RULES'!$D$11-1)/'SLOT_RULES'!$E$11)+1)*'SLOT_RULES'!$E$11</x:f>
        <x:v>46364</x:v>
      </x:c>
      <x:c r="M86" s="84" t="n">
        <x:f>'SLOT_RULES'!$D$12+IF($A86&lt;='SLOT_RULES'!$D$12,0,INT(($A86-'SLOT_RULES'!$D$12-1)/'SLOT_RULES'!$E$12)+1)*'SLOT_RULES'!$E$12</x:f>
        <x:v>46369</x:v>
      </x:c>
      <x:c r="N86" s="84" t="n">
        <x:f>'SLOT_RULES'!$D$13+IF($A86&lt;='SLOT_RULES'!$D$13,0,INT(($A86-'SLOT_RULES'!$D$13-1)/'SLOT_RULES'!$E$13)+1)*'SLOT_RULES'!$E$13</x:f>
        <x:v>46391</x:v>
      </x:c>
      <x:c r="O86" s="84" t="n">
        <x:f>'SLOT_RULES'!$D$14+IF($A86&lt;='SLOT_RULES'!$D$14,0,INT(($A86-'SLOT_RULES'!$D$14-1)/'SLOT_RULES'!$E$14)+1)*'SLOT_RULES'!$E$14</x:f>
        <x:v>46350</x:v>
      </x:c>
      <x:c r="P86" s="84" t="n">
        <x:f>'SLOT_RULES'!$D$15+IF($A86&lt;='SLOT_RULES'!$D$15,0,INT(($A86-'SLOT_RULES'!$D$15-1)/'SLOT_RULES'!$E$15)+1)*'SLOT_RULES'!$E$15</x:f>
        <x:v>46422</x:v>
      </x:c>
      <x:c r="Q86" s="85" t="n">
        <x:f>MIN(E86:P86)-A86</x:f>
        <x:v>1</x:v>
      </x:c>
      <x:c r="R86" s="85" t="n">
        <x:f>MAX(E86:P86)-A86</x:f>
        <x:v>73</x:v>
      </x:c>
      <x:c r="S86" s="86" t="str">
        <x:f>IF(AND(COUNT(E86:P86)=12,MIN(E86:P86)&gt;=A86),"PASS","FAIL")</x:f>
        <x:v>PASS</x:v>
      </x:c>
      <x:c r="T86" s="86" t="str">
        <x:f>IF((COUNTIF('LOCAL_REFERENCE'!$D86:$O86,E86)+COUNTIF('LOCAL_REFERENCE'!$D86:$O86,F86)+COUNTIF('LOCAL_REFERENCE'!$D86:$O86,G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x:f>
        <x:v>PASS</x:v>
      </x:c>
      <x:c r="U86" s="86" t="str">
        <x:f>IF((COUNTIF('VPS_REFERENCE'!$D86:$H86,E86)+COUNTIF('VPS_REFERENCE'!$D86:$H86,F86)+COUNTIF('VPS_REFERENCE'!$D86:$H86,G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x:f>
        <x:v>PASS</x:v>
      </x:c>
      <x:c r="V86" s="86" t="str">
        <x:f>IF(OR(E86=F86,E86=G86,E86=H86,E86=I86,E86=J86,E86=K86,E86=L86,E86=M86,E86=N86,E86=O86,E86=P86,F86=G86,F86=H86,F86=I86,F86=J86,F86=K86,F86=L86,F86=M86,F86=N86,F86=O86,F86=P86,G86=H86,G86=I86,G86=J86,G86=K86,G86=L86,G86=M86,G86=N86,G86=O86,G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x:f>
        <x:v>PASS</x:v>
      </x:c>
      <x:c r="W86" s="87" t="str">
        <x:f>'CRAWL_LOG'!B86</x:f>
        <x:v>Chưa chạy</x:v>
      </x:c>
      <x:c r="X86" s="95" t="str">
        <x:v>Aux-local complementary panel; benchmark gate pending</x:v>
      </x:c>
    </x:row>
    <x:row r="87">
      <x:c r="A87" s="82" t="n">
        <x:v>46350</x:v>
      </x:c>
      <x:c r="B87" s="83" t="str">
        <x:v>Thứ Ba</x:v>
      </x:c>
      <x:c r="C87" s="83" t="str">
        <x:v>Official</x:v>
      </x:c>
      <x:c r="D87" s="83" t="str">
        <x:v>00:30</x:v>
      </x:c>
      <x:c r="E87" s="84" t="n">
        <x:f>'SLOT_RULES'!$D$4+IF($A87&lt;='SLOT_RULES'!$D$4,0,INT(($A87-'SLOT_RULES'!$D$4-1)/'SLOT_RULES'!$E$4)+1)*'SLOT_RULES'!$E$4</x:f>
        <x:v>46353</x:v>
      </x:c>
      <x:c r="F87" s="84" t="n">
        <x:f>'SLOT_RULES'!$D$5+IF($A87&lt;='SLOT_RULES'!$D$5,0,INT(($A87-'SLOT_RULES'!$D$5-1)/'SLOT_RULES'!$E$5)+1)*'SLOT_RULES'!$E$5</x:f>
        <x:v>46360</x:v>
      </x:c>
      <x:c r="G87" s="84" t="n">
        <x:f>'SLOT_RULES'!$D$6+IF($A87&lt;='SLOT_RULES'!$D$6,0,INT(($A87-'SLOT_RULES'!$D$6-1)/'SLOT_RULES'!$E$6)+1)*'SLOT_RULES'!$E$6</x:f>
        <x:v>46367</x:v>
      </x:c>
      <x:c r="H87" s="84" t="n">
        <x:f>'SLOT_RULES'!$D$7+IF($A87&lt;='SLOT_RULES'!$D$7,0,INT(($A87-'SLOT_RULES'!$D$7-1)/'SLOT_RULES'!$E$7)+1)*'SLOT_RULES'!$E$7</x:f>
        <x:v>46374</x:v>
      </x:c>
      <x:c r="I87" s="84" t="n">
        <x:f>'SLOT_RULES'!$D$8+IF($A87&lt;='SLOT_RULES'!$D$8,0,INT(($A87-'SLOT_RULES'!$D$8-1)/'SLOT_RULES'!$E$8)+1)*'SLOT_RULES'!$E$8</x:f>
        <x:v>46356</x:v>
      </x:c>
      <x:c r="J87" s="84" t="n">
        <x:f>'SLOT_RULES'!$D$9+IF($A87&lt;='SLOT_RULES'!$D$9,0,INT(($A87-'SLOT_RULES'!$D$9-1)/'SLOT_RULES'!$E$9)+1)*'SLOT_RULES'!$E$9</x:f>
        <x:v>46370</x:v>
      </x:c>
      <x:c r="K87" s="84" t="n">
        <x:f>'SLOT_RULES'!$D$10+IF($A87&lt;='SLOT_RULES'!$D$10,0,INT(($A87-'SLOT_RULES'!$D$10-1)/'SLOT_RULES'!$E$10)+1)*'SLOT_RULES'!$E$10</x:f>
        <x:v>46357</x:v>
      </x:c>
      <x:c r="L87" s="84" t="n">
        <x:f>'SLOT_RULES'!$D$11+IF($A87&lt;='SLOT_RULES'!$D$11,0,INT(($A87-'SLOT_RULES'!$D$11-1)/'SLOT_RULES'!$E$11)+1)*'SLOT_RULES'!$E$11</x:f>
        <x:v>46364</x:v>
      </x:c>
      <x:c r="M87" s="84" t="n">
        <x:f>'SLOT_RULES'!$D$12+IF($A87&lt;='SLOT_RULES'!$D$12,0,INT(($A87-'SLOT_RULES'!$D$12-1)/'SLOT_RULES'!$E$12)+1)*'SLOT_RULES'!$E$12</x:f>
        <x:v>46369</x:v>
      </x:c>
      <x:c r="N87" s="84" t="n">
        <x:f>'SLOT_RULES'!$D$13+IF($A87&lt;='SLOT_RULES'!$D$13,0,INT(($A87-'SLOT_RULES'!$D$13-1)/'SLOT_RULES'!$E$13)+1)*'SLOT_RULES'!$E$13</x:f>
        <x:v>46391</x:v>
      </x:c>
      <x:c r="O87" s="84" t="n">
        <x:f>'SLOT_RULES'!$D$14+IF($A87&lt;='SLOT_RULES'!$D$14,0,INT(($A87-'SLOT_RULES'!$D$14-1)/'SLOT_RULES'!$E$14)+1)*'SLOT_RULES'!$E$14</x:f>
        <x:v>46350</x:v>
      </x:c>
      <x:c r="P87" s="84" t="n">
        <x:f>'SLOT_RULES'!$D$15+IF($A87&lt;='SLOT_RULES'!$D$15,0,INT(($A87-'SLOT_RULES'!$D$15-1)/'SLOT_RULES'!$E$15)+1)*'SLOT_RULES'!$E$15</x:f>
        <x:v>46422</x:v>
      </x:c>
      <x:c r="Q87" s="85" t="n">
        <x:f>MIN(E87:P87)-A87</x:f>
        <x:v>0</x:v>
      </x:c>
      <x:c r="R87" s="85" t="n">
        <x:f>MAX(E87:P87)-A87</x:f>
        <x:v>72</x:v>
      </x:c>
      <x:c r="S87" s="86" t="str">
        <x:f>IF(AND(COUNT(E87:P87)=12,MIN(E87:P87)&gt;=A87),"PASS","FAIL")</x:f>
        <x:v>PASS</x:v>
      </x:c>
      <x:c r="T87" s="86" t="str">
        <x:f>IF((COUNTIF('LOCAL_REFERENCE'!$D87:$O87,E87)+COUNTIF('LOCAL_REFERENCE'!$D87:$O87,F87)+COUNTIF('LOCAL_REFERENCE'!$D87:$O87,G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x:f>
        <x:v>PASS</x:v>
      </x:c>
      <x:c r="U87" s="86" t="str">
        <x:f>IF((COUNTIF('VPS_REFERENCE'!$D87:$H87,E87)+COUNTIF('VPS_REFERENCE'!$D87:$H87,F87)+COUNTIF('VPS_REFERENCE'!$D87:$H87,G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x:f>
        <x:v>PASS</x:v>
      </x:c>
      <x:c r="V87" s="86" t="str">
        <x:f>IF(OR(E87=F87,E87=G87,E87=H87,E87=I87,E87=J87,E87=K87,E87=L87,E87=M87,E87=N87,E87=O87,E87=P87,F87=G87,F87=H87,F87=I87,F87=J87,F87=K87,F87=L87,F87=M87,F87=N87,F87=O87,F87=P87,G87=H87,G87=I87,G87=J87,G87=K87,G87=L87,G87=M87,G87=N87,G87=O87,G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x:f>
        <x:v>PASS</x:v>
      </x:c>
      <x:c r="W87" s="87" t="str">
        <x:f>'CRAWL_LOG'!B87</x:f>
        <x:v>Chưa chạy</x:v>
      </x:c>
      <x:c r="X87" s="95" t="str">
        <x:v>Aux-local complementary panel; benchmark gate pending</x:v>
      </x:c>
    </x:row>
    <x:row r="88">
      <x:c r="A88" s="82" t="n">
        <x:v>46351</x:v>
      </x:c>
      <x:c r="B88" s="83" t="str">
        <x:v>Thứ Tư</x:v>
      </x:c>
      <x:c r="C88" s="83" t="str">
        <x:v>Official</x:v>
      </x:c>
      <x:c r="D88" s="83" t="str">
        <x:v>00:30</x:v>
      </x:c>
      <x:c r="E88" s="84" t="n">
        <x:f>'SLOT_RULES'!$D$4+IF($A88&lt;='SLOT_RULES'!$D$4,0,INT(($A88-'SLOT_RULES'!$D$4-1)/'SLOT_RULES'!$E$4)+1)*'SLOT_RULES'!$E$4</x:f>
        <x:v>46353</x:v>
      </x:c>
      <x:c r="F88" s="84" t="n">
        <x:f>'SLOT_RULES'!$D$5+IF($A88&lt;='SLOT_RULES'!$D$5,0,INT(($A88-'SLOT_RULES'!$D$5-1)/'SLOT_RULES'!$E$5)+1)*'SLOT_RULES'!$E$5</x:f>
        <x:v>46360</x:v>
      </x:c>
      <x:c r="G88" s="84" t="n">
        <x:f>'SLOT_RULES'!$D$6+IF($A88&lt;='SLOT_RULES'!$D$6,0,INT(($A88-'SLOT_RULES'!$D$6-1)/'SLOT_RULES'!$E$6)+1)*'SLOT_RULES'!$E$6</x:f>
        <x:v>46367</x:v>
      </x:c>
      <x:c r="H88" s="84" t="n">
        <x:f>'SLOT_RULES'!$D$7+IF($A88&lt;='SLOT_RULES'!$D$7,0,INT(($A88-'SLOT_RULES'!$D$7-1)/'SLOT_RULES'!$E$7)+1)*'SLOT_RULES'!$E$7</x:f>
        <x:v>46374</x:v>
      </x:c>
      <x:c r="I88" s="84" t="n">
        <x:f>'SLOT_RULES'!$D$8+IF($A88&lt;='SLOT_RULES'!$D$8,0,INT(($A88-'SLOT_RULES'!$D$8-1)/'SLOT_RULES'!$E$8)+1)*'SLOT_RULES'!$E$8</x:f>
        <x:v>46356</x:v>
      </x:c>
      <x:c r="J88" s="84" t="n">
        <x:f>'SLOT_RULES'!$D$9+IF($A88&lt;='SLOT_RULES'!$D$9,0,INT(($A88-'SLOT_RULES'!$D$9-1)/'SLOT_RULES'!$E$9)+1)*'SLOT_RULES'!$E$9</x:f>
        <x:v>46370</x:v>
      </x:c>
      <x:c r="K88" s="84" t="n">
        <x:f>'SLOT_RULES'!$D$10+IF($A88&lt;='SLOT_RULES'!$D$10,0,INT(($A88-'SLOT_RULES'!$D$10-1)/'SLOT_RULES'!$E$10)+1)*'SLOT_RULES'!$E$10</x:f>
        <x:v>46357</x:v>
      </x:c>
      <x:c r="L88" s="84" t="n">
        <x:f>'SLOT_RULES'!$D$11+IF($A88&lt;='SLOT_RULES'!$D$11,0,INT(($A88-'SLOT_RULES'!$D$11-1)/'SLOT_RULES'!$E$11)+1)*'SLOT_RULES'!$E$11</x:f>
        <x:v>46364</x:v>
      </x:c>
      <x:c r="M88" s="84" t="n">
        <x:f>'SLOT_RULES'!$D$12+IF($A88&lt;='SLOT_RULES'!$D$12,0,INT(($A88-'SLOT_RULES'!$D$12-1)/'SLOT_RULES'!$E$12)+1)*'SLOT_RULES'!$E$12</x:f>
        <x:v>46369</x:v>
      </x:c>
      <x:c r="N88" s="84" t="n">
        <x:f>'SLOT_RULES'!$D$13+IF($A88&lt;='SLOT_RULES'!$D$13,0,INT(($A88-'SLOT_RULES'!$D$13-1)/'SLOT_RULES'!$E$13)+1)*'SLOT_RULES'!$E$13</x:f>
        <x:v>46391</x:v>
      </x:c>
      <x:c r="O88" s="84" t="n">
        <x:f>'SLOT_RULES'!$D$14+IF($A88&lt;='SLOT_RULES'!$D$14,0,INT(($A88-'SLOT_RULES'!$D$14-1)/'SLOT_RULES'!$E$14)+1)*'SLOT_RULES'!$E$14</x:f>
        <x:v>46448</x:v>
      </x:c>
      <x:c r="P88" s="84" t="n">
        <x:f>'SLOT_RULES'!$D$15+IF($A88&lt;='SLOT_RULES'!$D$15,0,INT(($A88-'SLOT_RULES'!$D$15-1)/'SLOT_RULES'!$E$15)+1)*'SLOT_RULES'!$E$15</x:f>
        <x:v>46422</x:v>
      </x:c>
      <x:c r="Q88" s="85" t="n">
        <x:f>MIN(E88:P88)-A88</x:f>
        <x:v>2</x:v>
      </x:c>
      <x:c r="R88" s="85" t="n">
        <x:f>MAX(E88:P88)-A88</x:f>
        <x:v>97</x:v>
      </x:c>
      <x:c r="S88" s="86" t="str">
        <x:f>IF(AND(COUNT(E88:P88)=12,MIN(E88:P88)&gt;=A88),"PASS","FAIL")</x:f>
        <x:v>PASS</x:v>
      </x:c>
      <x:c r="T88" s="86" t="str">
        <x:f>IF((COUNTIF('LOCAL_REFERENCE'!$D88:$O88,E88)+COUNTIF('LOCAL_REFERENCE'!$D88:$O88,F88)+COUNTIF('LOCAL_REFERENCE'!$D88:$O88,G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x:f>
        <x:v>PASS</x:v>
      </x:c>
      <x:c r="U88" s="86" t="str">
        <x:f>IF((COUNTIF('VPS_REFERENCE'!$D88:$H88,E88)+COUNTIF('VPS_REFERENCE'!$D88:$H88,F88)+COUNTIF('VPS_REFERENCE'!$D88:$H88,G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x:f>
        <x:v>PASS</x:v>
      </x:c>
      <x:c r="V88" s="86" t="str">
        <x:f>IF(OR(E88=F88,E88=G88,E88=H88,E88=I88,E88=J88,E88=K88,E88=L88,E88=M88,E88=N88,E88=O88,E88=P88,F88=G88,F88=H88,F88=I88,F88=J88,F88=K88,F88=L88,F88=M88,F88=N88,F88=O88,F88=P88,G88=H88,G88=I88,G88=J88,G88=K88,G88=L88,G88=M88,G88=N88,G88=O88,G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x:f>
        <x:v>PASS</x:v>
      </x:c>
      <x:c r="W88" s="87" t="str">
        <x:f>'CRAWL_LOG'!B88</x:f>
        <x:v>Chưa chạy</x:v>
      </x:c>
      <x:c r="X88" s="95" t="str">
        <x:v>Aux-local complementary panel; benchmark gate pending</x:v>
      </x:c>
    </x:row>
    <x:row r="89">
      <x:c r="A89" s="82" t="n">
        <x:v>46352</x:v>
      </x:c>
      <x:c r="B89" s="83" t="str">
        <x:v>Thứ Năm</x:v>
      </x:c>
      <x:c r="C89" s="83" t="str">
        <x:v>Official</x:v>
      </x:c>
      <x:c r="D89" s="83" t="str">
        <x:v>00:30</x:v>
      </x:c>
      <x:c r="E89" s="84" t="n">
        <x:f>'SLOT_RULES'!$D$4+IF($A89&lt;='SLOT_RULES'!$D$4,0,INT(($A89-'SLOT_RULES'!$D$4-1)/'SLOT_RULES'!$E$4)+1)*'SLOT_RULES'!$E$4</x:f>
        <x:v>46353</x:v>
      </x:c>
      <x:c r="F89" s="84" t="n">
        <x:f>'SLOT_RULES'!$D$5+IF($A89&lt;='SLOT_RULES'!$D$5,0,INT(($A89-'SLOT_RULES'!$D$5-1)/'SLOT_RULES'!$E$5)+1)*'SLOT_RULES'!$E$5</x:f>
        <x:v>46360</x:v>
      </x:c>
      <x:c r="G89" s="84" t="n">
        <x:f>'SLOT_RULES'!$D$6+IF($A89&lt;='SLOT_RULES'!$D$6,0,INT(($A89-'SLOT_RULES'!$D$6-1)/'SLOT_RULES'!$E$6)+1)*'SLOT_RULES'!$E$6</x:f>
        <x:v>46367</x:v>
      </x:c>
      <x:c r="H89" s="84" t="n">
        <x:f>'SLOT_RULES'!$D$7+IF($A89&lt;='SLOT_RULES'!$D$7,0,INT(($A89-'SLOT_RULES'!$D$7-1)/'SLOT_RULES'!$E$7)+1)*'SLOT_RULES'!$E$7</x:f>
        <x:v>46374</x:v>
      </x:c>
      <x:c r="I89" s="84" t="n">
        <x:f>'SLOT_RULES'!$D$8+IF($A89&lt;='SLOT_RULES'!$D$8,0,INT(($A89-'SLOT_RULES'!$D$8-1)/'SLOT_RULES'!$E$8)+1)*'SLOT_RULES'!$E$8</x:f>
        <x:v>46356</x:v>
      </x:c>
      <x:c r="J89" s="84" t="n">
        <x:f>'SLOT_RULES'!$D$9+IF($A89&lt;='SLOT_RULES'!$D$9,0,INT(($A89-'SLOT_RULES'!$D$9-1)/'SLOT_RULES'!$E$9)+1)*'SLOT_RULES'!$E$9</x:f>
        <x:v>46370</x:v>
      </x:c>
      <x:c r="K89" s="84" t="n">
        <x:f>'SLOT_RULES'!$D$10+IF($A89&lt;='SLOT_RULES'!$D$10,0,INT(($A89-'SLOT_RULES'!$D$10-1)/'SLOT_RULES'!$E$10)+1)*'SLOT_RULES'!$E$10</x:f>
        <x:v>46357</x:v>
      </x:c>
      <x:c r="L89" s="84" t="n">
        <x:f>'SLOT_RULES'!$D$11+IF($A89&lt;='SLOT_RULES'!$D$11,0,INT(($A89-'SLOT_RULES'!$D$11-1)/'SLOT_RULES'!$E$11)+1)*'SLOT_RULES'!$E$11</x:f>
        <x:v>46364</x:v>
      </x:c>
      <x:c r="M89" s="84" t="n">
        <x:f>'SLOT_RULES'!$D$12+IF($A89&lt;='SLOT_RULES'!$D$12,0,INT(($A89-'SLOT_RULES'!$D$12-1)/'SLOT_RULES'!$E$12)+1)*'SLOT_RULES'!$E$12</x:f>
        <x:v>46369</x:v>
      </x:c>
      <x:c r="N89" s="84" t="n">
        <x:f>'SLOT_RULES'!$D$13+IF($A89&lt;='SLOT_RULES'!$D$13,0,INT(($A89-'SLOT_RULES'!$D$13-1)/'SLOT_RULES'!$E$13)+1)*'SLOT_RULES'!$E$13</x:f>
        <x:v>46391</x:v>
      </x:c>
      <x:c r="O89" s="84" t="n">
        <x:f>'SLOT_RULES'!$D$14+IF($A89&lt;='SLOT_RULES'!$D$14,0,INT(($A89-'SLOT_RULES'!$D$14-1)/'SLOT_RULES'!$E$14)+1)*'SLOT_RULES'!$E$14</x:f>
        <x:v>46448</x:v>
      </x:c>
      <x:c r="P89" s="84" t="n">
        <x:f>'SLOT_RULES'!$D$15+IF($A89&lt;='SLOT_RULES'!$D$15,0,INT(($A89-'SLOT_RULES'!$D$15-1)/'SLOT_RULES'!$E$15)+1)*'SLOT_RULES'!$E$15</x:f>
        <x:v>46422</x:v>
      </x:c>
      <x:c r="Q89" s="85" t="n">
        <x:f>MIN(E89:P89)-A89</x:f>
        <x:v>1</x:v>
      </x:c>
      <x:c r="R89" s="85" t="n">
        <x:f>MAX(E89:P89)-A89</x:f>
        <x:v>96</x:v>
      </x:c>
      <x:c r="S89" s="86" t="str">
        <x:f>IF(AND(COUNT(E89:P89)=12,MIN(E89:P89)&gt;=A89),"PASS","FAIL")</x:f>
        <x:v>PASS</x:v>
      </x:c>
      <x:c r="T89" s="86" t="str">
        <x:f>IF((COUNTIF('LOCAL_REFERENCE'!$D89:$O89,E89)+COUNTIF('LOCAL_REFERENCE'!$D89:$O89,F89)+COUNTIF('LOCAL_REFERENCE'!$D89:$O89,G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x:f>
        <x:v>PASS</x:v>
      </x:c>
      <x:c r="U89" s="86" t="str">
        <x:f>IF((COUNTIF('VPS_REFERENCE'!$D89:$H89,E89)+COUNTIF('VPS_REFERENCE'!$D89:$H89,F89)+COUNTIF('VPS_REFERENCE'!$D89:$H89,G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x:f>
        <x:v>PASS</x:v>
      </x:c>
      <x:c r="V89" s="86" t="str">
        <x:f>IF(OR(E89=F89,E89=G89,E89=H89,E89=I89,E89=J89,E89=K89,E89=L89,E89=M89,E89=N89,E89=O89,E89=P89,F89=G89,F89=H89,F89=I89,F89=J89,F89=K89,F89=L89,F89=M89,F89=N89,F89=O89,F89=P89,G89=H89,G89=I89,G89=J89,G89=K89,G89=L89,G89=M89,G89=N89,G89=O89,G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x:f>
        <x:v>PASS</x:v>
      </x:c>
      <x:c r="W89" s="87" t="str">
        <x:f>'CRAWL_LOG'!B89</x:f>
        <x:v>Chưa chạy</x:v>
      </x:c>
      <x:c r="X89" s="95" t="str">
        <x:v>Aux-local complementary panel; benchmark gate pending</x:v>
      </x:c>
    </x:row>
    <x:row r="90">
      <x:c r="A90" s="82" t="n">
        <x:v>46353</x:v>
      </x:c>
      <x:c r="B90" s="83" t="str">
        <x:v>Thứ Sáu</x:v>
      </x:c>
      <x:c r="C90" s="83" t="str">
        <x:v>Official</x:v>
      </x:c>
      <x:c r="D90" s="83" t="str">
        <x:v>00:30</x:v>
      </x:c>
      <x:c r="E90" s="84" t="n">
        <x:f>'SLOT_RULES'!$D$4+IF($A90&lt;='SLOT_RULES'!$D$4,0,INT(($A90-'SLOT_RULES'!$D$4-1)/'SLOT_RULES'!$E$4)+1)*'SLOT_RULES'!$E$4</x:f>
        <x:v>46353</x:v>
      </x:c>
      <x:c r="F90" s="84" t="n">
        <x:f>'SLOT_RULES'!$D$5+IF($A90&lt;='SLOT_RULES'!$D$5,0,INT(($A90-'SLOT_RULES'!$D$5-1)/'SLOT_RULES'!$E$5)+1)*'SLOT_RULES'!$E$5</x:f>
        <x:v>46360</x:v>
      </x:c>
      <x:c r="G90" s="84" t="n">
        <x:f>'SLOT_RULES'!$D$6+IF($A90&lt;='SLOT_RULES'!$D$6,0,INT(($A90-'SLOT_RULES'!$D$6-1)/'SLOT_RULES'!$E$6)+1)*'SLOT_RULES'!$E$6</x:f>
        <x:v>46367</x:v>
      </x:c>
      <x:c r="H90" s="84" t="n">
        <x:f>'SLOT_RULES'!$D$7+IF($A90&lt;='SLOT_RULES'!$D$7,0,INT(($A90-'SLOT_RULES'!$D$7-1)/'SLOT_RULES'!$E$7)+1)*'SLOT_RULES'!$E$7</x:f>
        <x:v>46374</x:v>
      </x:c>
      <x:c r="I90" s="84" t="n">
        <x:f>'SLOT_RULES'!$D$8+IF($A90&lt;='SLOT_RULES'!$D$8,0,INT(($A90-'SLOT_RULES'!$D$8-1)/'SLOT_RULES'!$E$8)+1)*'SLOT_RULES'!$E$8</x:f>
        <x:v>46356</x:v>
      </x:c>
      <x:c r="J90" s="84" t="n">
        <x:f>'SLOT_RULES'!$D$9+IF($A90&lt;='SLOT_RULES'!$D$9,0,INT(($A90-'SLOT_RULES'!$D$9-1)/'SLOT_RULES'!$E$9)+1)*'SLOT_RULES'!$E$9</x:f>
        <x:v>46370</x:v>
      </x:c>
      <x:c r="K90" s="84" t="n">
        <x:f>'SLOT_RULES'!$D$10+IF($A90&lt;='SLOT_RULES'!$D$10,0,INT(($A90-'SLOT_RULES'!$D$10-1)/'SLOT_RULES'!$E$10)+1)*'SLOT_RULES'!$E$10</x:f>
        <x:v>46357</x:v>
      </x:c>
      <x:c r="L90" s="84" t="n">
        <x:f>'SLOT_RULES'!$D$11+IF($A90&lt;='SLOT_RULES'!$D$11,0,INT(($A90-'SLOT_RULES'!$D$11-1)/'SLOT_RULES'!$E$11)+1)*'SLOT_RULES'!$E$11</x:f>
        <x:v>46364</x:v>
      </x:c>
      <x:c r="M90" s="84" t="n">
        <x:f>'SLOT_RULES'!$D$12+IF($A90&lt;='SLOT_RULES'!$D$12,0,INT(($A90-'SLOT_RULES'!$D$12-1)/'SLOT_RULES'!$E$12)+1)*'SLOT_RULES'!$E$12</x:f>
        <x:v>46369</x:v>
      </x:c>
      <x:c r="N90" s="84" t="n">
        <x:f>'SLOT_RULES'!$D$13+IF($A90&lt;='SLOT_RULES'!$D$13,0,INT(($A90-'SLOT_RULES'!$D$13-1)/'SLOT_RULES'!$E$13)+1)*'SLOT_RULES'!$E$13</x:f>
        <x:v>46391</x:v>
      </x:c>
      <x:c r="O90" s="84" t="n">
        <x:f>'SLOT_RULES'!$D$14+IF($A90&lt;='SLOT_RULES'!$D$14,0,INT(($A90-'SLOT_RULES'!$D$14-1)/'SLOT_RULES'!$E$14)+1)*'SLOT_RULES'!$E$14</x:f>
        <x:v>46448</x:v>
      </x:c>
      <x:c r="P90" s="84" t="n">
        <x:f>'SLOT_RULES'!$D$15+IF($A90&lt;='SLOT_RULES'!$D$15,0,INT(($A90-'SLOT_RULES'!$D$15-1)/'SLOT_RULES'!$E$15)+1)*'SLOT_RULES'!$E$15</x:f>
        <x:v>46422</x:v>
      </x:c>
      <x:c r="Q90" s="85" t="n">
        <x:f>MIN(E90:P90)-A90</x:f>
        <x:v>0</x:v>
      </x:c>
      <x:c r="R90" s="85" t="n">
        <x:f>MAX(E90:P90)-A90</x:f>
        <x:v>95</x:v>
      </x:c>
      <x:c r="S90" s="86" t="str">
        <x:f>IF(AND(COUNT(E90:P90)=12,MIN(E90:P90)&gt;=A90),"PASS","FAIL")</x:f>
        <x:v>PASS</x:v>
      </x:c>
      <x:c r="T90" s="86" t="str">
        <x:f>IF((COUNTIF('LOCAL_REFERENCE'!$D90:$O90,E90)+COUNTIF('LOCAL_REFERENCE'!$D90:$O90,F90)+COUNTIF('LOCAL_REFERENCE'!$D90:$O90,G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x:f>
        <x:v>PASS</x:v>
      </x:c>
      <x:c r="U90" s="86" t="str">
        <x:f>IF((COUNTIF('VPS_REFERENCE'!$D90:$H90,E90)+COUNTIF('VPS_REFERENCE'!$D90:$H90,F90)+COUNTIF('VPS_REFERENCE'!$D90:$H90,G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x:f>
        <x:v>PASS</x:v>
      </x:c>
      <x:c r="V90" s="86" t="str">
        <x:f>IF(OR(E90=F90,E90=G90,E90=H90,E90=I90,E90=J90,E90=K90,E90=L90,E90=M90,E90=N90,E90=O90,E90=P90,F90=G90,F90=H90,F90=I90,F90=J90,F90=K90,F90=L90,F90=M90,F90=N90,F90=O90,F90=P90,G90=H90,G90=I90,G90=J90,G90=K90,G90=L90,G90=M90,G90=N90,G90=O90,G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x:f>
        <x:v>PASS</x:v>
      </x:c>
      <x:c r="W90" s="87" t="str">
        <x:f>'CRAWL_LOG'!B90</x:f>
        <x:v>Chưa chạy</x:v>
      </x:c>
      <x:c r="X90" s="95" t="str">
        <x:v>Aux-local complementary panel; benchmark gate pending</x:v>
      </x:c>
    </x:row>
    <x:row r="91">
      <x:c r="A91" s="82" t="n">
        <x:v>46354</x:v>
      </x:c>
      <x:c r="B91" s="83" t="str">
        <x:v>Thứ Bảy</x:v>
      </x:c>
      <x:c r="C91" s="83" t="str">
        <x:v>Official</x:v>
      </x:c>
      <x:c r="D91" s="83" t="str">
        <x:v>00:30</x:v>
      </x:c>
      <x:c r="E91" s="84" t="n">
        <x:f>'SLOT_RULES'!$D$4+IF($A91&lt;='SLOT_RULES'!$D$4,0,INT(($A91-'SLOT_RULES'!$D$4-1)/'SLOT_RULES'!$E$4)+1)*'SLOT_RULES'!$E$4</x:f>
        <x:v>46381</x:v>
      </x:c>
      <x:c r="F91" s="84" t="n">
        <x:f>'SLOT_RULES'!$D$5+IF($A91&lt;='SLOT_RULES'!$D$5,0,INT(($A91-'SLOT_RULES'!$D$5-1)/'SLOT_RULES'!$E$5)+1)*'SLOT_RULES'!$E$5</x:f>
        <x:v>46360</x:v>
      </x:c>
      <x:c r="G91" s="84" t="n">
        <x:f>'SLOT_RULES'!$D$6+IF($A91&lt;='SLOT_RULES'!$D$6,0,INT(($A91-'SLOT_RULES'!$D$6-1)/'SLOT_RULES'!$E$6)+1)*'SLOT_RULES'!$E$6</x:f>
        <x:v>46367</x:v>
      </x:c>
      <x:c r="H91" s="84" t="n">
        <x:f>'SLOT_RULES'!$D$7+IF($A91&lt;='SLOT_RULES'!$D$7,0,INT(($A91-'SLOT_RULES'!$D$7-1)/'SLOT_RULES'!$E$7)+1)*'SLOT_RULES'!$E$7</x:f>
        <x:v>46374</x:v>
      </x:c>
      <x:c r="I91" s="84" t="n">
        <x:f>'SLOT_RULES'!$D$8+IF($A91&lt;='SLOT_RULES'!$D$8,0,INT(($A91-'SLOT_RULES'!$D$8-1)/'SLOT_RULES'!$E$8)+1)*'SLOT_RULES'!$E$8</x:f>
        <x:v>46356</x:v>
      </x:c>
      <x:c r="J91" s="84" t="n">
        <x:f>'SLOT_RULES'!$D$9+IF($A91&lt;='SLOT_RULES'!$D$9,0,INT(($A91-'SLOT_RULES'!$D$9-1)/'SLOT_RULES'!$E$9)+1)*'SLOT_RULES'!$E$9</x:f>
        <x:v>46370</x:v>
      </x:c>
      <x:c r="K91" s="84" t="n">
        <x:f>'SLOT_RULES'!$D$10+IF($A91&lt;='SLOT_RULES'!$D$10,0,INT(($A91-'SLOT_RULES'!$D$10-1)/'SLOT_RULES'!$E$10)+1)*'SLOT_RULES'!$E$10</x:f>
        <x:v>46357</x:v>
      </x:c>
      <x:c r="L91" s="84" t="n">
        <x:f>'SLOT_RULES'!$D$11+IF($A91&lt;='SLOT_RULES'!$D$11,0,INT(($A91-'SLOT_RULES'!$D$11-1)/'SLOT_RULES'!$E$11)+1)*'SLOT_RULES'!$E$11</x:f>
        <x:v>46364</x:v>
      </x:c>
      <x:c r="M91" s="84" t="n">
        <x:f>'SLOT_RULES'!$D$12+IF($A91&lt;='SLOT_RULES'!$D$12,0,INT(($A91-'SLOT_RULES'!$D$12-1)/'SLOT_RULES'!$E$12)+1)*'SLOT_RULES'!$E$12</x:f>
        <x:v>46369</x:v>
      </x:c>
      <x:c r="N91" s="84" t="n">
        <x:f>'SLOT_RULES'!$D$13+IF($A91&lt;='SLOT_RULES'!$D$13,0,INT(($A91-'SLOT_RULES'!$D$13-1)/'SLOT_RULES'!$E$13)+1)*'SLOT_RULES'!$E$13</x:f>
        <x:v>46391</x:v>
      </x:c>
      <x:c r="O91" s="84" t="n">
        <x:f>'SLOT_RULES'!$D$14+IF($A91&lt;='SLOT_RULES'!$D$14,0,INT(($A91-'SLOT_RULES'!$D$14-1)/'SLOT_RULES'!$E$14)+1)*'SLOT_RULES'!$E$14</x:f>
        <x:v>46448</x:v>
      </x:c>
      <x:c r="P91" s="84" t="n">
        <x:f>'SLOT_RULES'!$D$15+IF($A91&lt;='SLOT_RULES'!$D$15,0,INT(($A91-'SLOT_RULES'!$D$15-1)/'SLOT_RULES'!$E$15)+1)*'SLOT_RULES'!$E$15</x:f>
        <x:v>46422</x:v>
      </x:c>
      <x:c r="Q91" s="85" t="n">
        <x:f>MIN(E91:P91)-A91</x:f>
        <x:v>2</x:v>
      </x:c>
      <x:c r="R91" s="85" t="n">
        <x:f>MAX(E91:P91)-A91</x:f>
        <x:v>94</x:v>
      </x:c>
      <x:c r="S91" s="86" t="str">
        <x:f>IF(AND(COUNT(E91:P91)=12,MIN(E91:P91)&gt;=A91),"PASS","FAIL")</x:f>
        <x:v>PASS</x:v>
      </x:c>
      <x:c r="T91" s="86" t="str">
        <x:f>IF((COUNTIF('LOCAL_REFERENCE'!$D91:$O91,E91)+COUNTIF('LOCAL_REFERENCE'!$D91:$O91,F91)+COUNTIF('LOCAL_REFERENCE'!$D91:$O91,G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x:f>
        <x:v>PASS</x:v>
      </x:c>
      <x:c r="U91" s="86" t="str">
        <x:f>IF((COUNTIF('VPS_REFERENCE'!$D91:$H91,E91)+COUNTIF('VPS_REFERENCE'!$D91:$H91,F91)+COUNTIF('VPS_REFERENCE'!$D91:$H91,G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x:f>
        <x:v>PASS</x:v>
      </x:c>
      <x:c r="V91" s="86" t="str">
        <x:f>IF(OR(E91=F91,E91=G91,E91=H91,E91=I91,E91=J91,E91=K91,E91=L91,E91=M91,E91=N91,E91=O91,E91=P91,F91=G91,F91=H91,F91=I91,F91=J91,F91=K91,F91=L91,F91=M91,F91=N91,F91=O91,F91=P91,G91=H91,G91=I91,G91=J91,G91=K91,G91=L91,G91=M91,G91=N91,G91=O91,G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x:f>
        <x:v>PASS</x:v>
      </x:c>
      <x:c r="W91" s="87" t="str">
        <x:f>'CRAWL_LOG'!B91</x:f>
        <x:v>Chưa chạy</x:v>
      </x:c>
      <x:c r="X91" s="95" t="str">
        <x:v>Aux-local complementary panel; benchmark gate pending</x:v>
      </x:c>
    </x:row>
    <x:row r="92">
      <x:c r="A92" s="82" t="n">
        <x:v>46355</x:v>
      </x:c>
      <x:c r="B92" s="83" t="str">
        <x:v>Chủ Nhật</x:v>
      </x:c>
      <x:c r="C92" s="83" t="str">
        <x:v>Official</x:v>
      </x:c>
      <x:c r="D92" s="83" t="str">
        <x:v>00:30</x:v>
      </x:c>
      <x:c r="E92" s="84" t="n">
        <x:f>'SLOT_RULES'!$D$4+IF($A92&lt;='SLOT_RULES'!$D$4,0,INT(($A92-'SLOT_RULES'!$D$4-1)/'SLOT_RULES'!$E$4)+1)*'SLOT_RULES'!$E$4</x:f>
        <x:v>46381</x:v>
      </x:c>
      <x:c r="F92" s="84" t="n">
        <x:f>'SLOT_RULES'!$D$5+IF($A92&lt;='SLOT_RULES'!$D$5,0,INT(($A92-'SLOT_RULES'!$D$5-1)/'SLOT_RULES'!$E$5)+1)*'SLOT_RULES'!$E$5</x:f>
        <x:v>46360</x:v>
      </x:c>
      <x:c r="G92" s="84" t="n">
        <x:f>'SLOT_RULES'!$D$6+IF($A92&lt;='SLOT_RULES'!$D$6,0,INT(($A92-'SLOT_RULES'!$D$6-1)/'SLOT_RULES'!$E$6)+1)*'SLOT_RULES'!$E$6</x:f>
        <x:v>46367</x:v>
      </x:c>
      <x:c r="H92" s="84" t="n">
        <x:f>'SLOT_RULES'!$D$7+IF($A92&lt;='SLOT_RULES'!$D$7,0,INT(($A92-'SLOT_RULES'!$D$7-1)/'SLOT_RULES'!$E$7)+1)*'SLOT_RULES'!$E$7</x:f>
        <x:v>46374</x:v>
      </x:c>
      <x:c r="I92" s="84" t="n">
        <x:f>'SLOT_RULES'!$D$8+IF($A92&lt;='SLOT_RULES'!$D$8,0,INT(($A92-'SLOT_RULES'!$D$8-1)/'SLOT_RULES'!$E$8)+1)*'SLOT_RULES'!$E$8</x:f>
        <x:v>46356</x:v>
      </x:c>
      <x:c r="J92" s="84" t="n">
        <x:f>'SLOT_RULES'!$D$9+IF($A92&lt;='SLOT_RULES'!$D$9,0,INT(($A92-'SLOT_RULES'!$D$9-1)/'SLOT_RULES'!$E$9)+1)*'SLOT_RULES'!$E$9</x:f>
        <x:v>46370</x:v>
      </x:c>
      <x:c r="K92" s="84" t="n">
        <x:f>'SLOT_RULES'!$D$10+IF($A92&lt;='SLOT_RULES'!$D$10,0,INT(($A92-'SLOT_RULES'!$D$10-1)/'SLOT_RULES'!$E$10)+1)*'SLOT_RULES'!$E$10</x:f>
        <x:v>46357</x:v>
      </x:c>
      <x:c r="L92" s="84" t="n">
        <x:f>'SLOT_RULES'!$D$11+IF($A92&lt;='SLOT_RULES'!$D$11,0,INT(($A92-'SLOT_RULES'!$D$11-1)/'SLOT_RULES'!$E$11)+1)*'SLOT_RULES'!$E$11</x:f>
        <x:v>46364</x:v>
      </x:c>
      <x:c r="M92" s="84" t="n">
        <x:f>'SLOT_RULES'!$D$12+IF($A92&lt;='SLOT_RULES'!$D$12,0,INT(($A92-'SLOT_RULES'!$D$12-1)/'SLOT_RULES'!$E$12)+1)*'SLOT_RULES'!$E$12</x:f>
        <x:v>46369</x:v>
      </x:c>
      <x:c r="N92" s="84" t="n">
        <x:f>'SLOT_RULES'!$D$13+IF($A92&lt;='SLOT_RULES'!$D$13,0,INT(($A92-'SLOT_RULES'!$D$13-1)/'SLOT_RULES'!$E$13)+1)*'SLOT_RULES'!$E$13</x:f>
        <x:v>46391</x:v>
      </x:c>
      <x:c r="O92" s="84" t="n">
        <x:f>'SLOT_RULES'!$D$14+IF($A92&lt;='SLOT_RULES'!$D$14,0,INT(($A92-'SLOT_RULES'!$D$14-1)/'SLOT_RULES'!$E$14)+1)*'SLOT_RULES'!$E$14</x:f>
        <x:v>46448</x:v>
      </x:c>
      <x:c r="P92" s="84" t="n">
        <x:f>'SLOT_RULES'!$D$15+IF($A92&lt;='SLOT_RULES'!$D$15,0,INT(($A92-'SLOT_RULES'!$D$15-1)/'SLOT_RULES'!$E$15)+1)*'SLOT_RULES'!$E$15</x:f>
        <x:v>46422</x:v>
      </x:c>
      <x:c r="Q92" s="85" t="n">
        <x:f>MIN(E92:P92)-A92</x:f>
        <x:v>1</x:v>
      </x:c>
      <x:c r="R92" s="85" t="n">
        <x:f>MAX(E92:P92)-A92</x:f>
        <x:v>93</x:v>
      </x:c>
      <x:c r="S92" s="86" t="str">
        <x:f>IF(AND(COUNT(E92:P92)=12,MIN(E92:P92)&gt;=A92),"PASS","FAIL")</x:f>
        <x:v>PASS</x:v>
      </x:c>
      <x:c r="T92" s="86" t="str">
        <x:f>IF((COUNTIF('LOCAL_REFERENCE'!$D92:$O92,E92)+COUNTIF('LOCAL_REFERENCE'!$D92:$O92,F92)+COUNTIF('LOCAL_REFERENCE'!$D92:$O92,G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x:f>
        <x:v>PASS</x:v>
      </x:c>
      <x:c r="U92" s="86" t="str">
        <x:f>IF((COUNTIF('VPS_REFERENCE'!$D92:$H92,E92)+COUNTIF('VPS_REFERENCE'!$D92:$H92,F92)+COUNTIF('VPS_REFERENCE'!$D92:$H92,G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x:f>
        <x:v>PASS</x:v>
      </x:c>
      <x:c r="V92" s="86" t="str">
        <x:f>IF(OR(E92=F92,E92=G92,E92=H92,E92=I92,E92=J92,E92=K92,E92=L92,E92=M92,E92=N92,E92=O92,E92=P92,F92=G92,F92=H92,F92=I92,F92=J92,F92=K92,F92=L92,F92=M92,F92=N92,F92=O92,F92=P92,G92=H92,G92=I92,G92=J92,G92=K92,G92=L92,G92=M92,G92=N92,G92=O92,G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x:f>
        <x:v>PASS</x:v>
      </x:c>
      <x:c r="W92" s="87" t="str">
        <x:f>'CRAWL_LOG'!B92</x:f>
        <x:v>Chưa chạy</x:v>
      </x:c>
      <x:c r="X92" s="95" t="str">
        <x:v>Aux-local complementary panel; benchmark gate pending</x:v>
      </x:c>
    </x:row>
    <x:row r="93">
      <x:c r="A93" s="88" t="n">
        <x:v>46356</x:v>
      </x:c>
      <x:c r="B93" s="89" t="str">
        <x:v>Thứ Hai</x:v>
      </x:c>
      <x:c r="C93" s="89" t="str">
        <x:v>Official</x:v>
      </x:c>
      <x:c r="D93" s="89" t="str">
        <x:v>00:30</x:v>
      </x:c>
      <x:c r="E93" s="90" t="n">
        <x:f>'SLOT_RULES'!$D$4+IF($A93&lt;='SLOT_RULES'!$D$4,0,INT(($A93-'SLOT_RULES'!$D$4-1)/'SLOT_RULES'!$E$4)+1)*'SLOT_RULES'!$E$4</x:f>
        <x:v>46381</x:v>
      </x:c>
      <x:c r="F93" s="90" t="n">
        <x:f>'SLOT_RULES'!$D$5+IF($A93&lt;='SLOT_RULES'!$D$5,0,INT(($A93-'SLOT_RULES'!$D$5-1)/'SLOT_RULES'!$E$5)+1)*'SLOT_RULES'!$E$5</x:f>
        <x:v>46360</x:v>
      </x:c>
      <x:c r="G93" s="90" t="n">
        <x:f>'SLOT_RULES'!$D$6+IF($A93&lt;='SLOT_RULES'!$D$6,0,INT(($A93-'SLOT_RULES'!$D$6-1)/'SLOT_RULES'!$E$6)+1)*'SLOT_RULES'!$E$6</x:f>
        <x:v>46367</x:v>
      </x:c>
      <x:c r="H93" s="90" t="n">
        <x:f>'SLOT_RULES'!$D$7+IF($A93&lt;='SLOT_RULES'!$D$7,0,INT(($A93-'SLOT_RULES'!$D$7-1)/'SLOT_RULES'!$E$7)+1)*'SLOT_RULES'!$E$7</x:f>
        <x:v>46374</x:v>
      </x:c>
      <x:c r="I93" s="90" t="n">
        <x:f>'SLOT_RULES'!$D$8+IF($A93&lt;='SLOT_RULES'!$D$8,0,INT(($A93-'SLOT_RULES'!$D$8-1)/'SLOT_RULES'!$E$8)+1)*'SLOT_RULES'!$E$8</x:f>
        <x:v>46356</x:v>
      </x:c>
      <x:c r="J93" s="90" t="n">
        <x:f>'SLOT_RULES'!$D$9+IF($A93&lt;='SLOT_RULES'!$D$9,0,INT(($A93-'SLOT_RULES'!$D$9-1)/'SLOT_RULES'!$E$9)+1)*'SLOT_RULES'!$E$9</x:f>
        <x:v>46370</x:v>
      </x:c>
      <x:c r="K93" s="90" t="n">
        <x:f>'SLOT_RULES'!$D$10+IF($A93&lt;='SLOT_RULES'!$D$10,0,INT(($A93-'SLOT_RULES'!$D$10-1)/'SLOT_RULES'!$E$10)+1)*'SLOT_RULES'!$E$10</x:f>
        <x:v>46357</x:v>
      </x:c>
      <x:c r="L93" s="90" t="n">
        <x:f>'SLOT_RULES'!$D$11+IF($A93&lt;='SLOT_RULES'!$D$11,0,INT(($A93-'SLOT_RULES'!$D$11-1)/'SLOT_RULES'!$E$11)+1)*'SLOT_RULES'!$E$11</x:f>
        <x:v>46364</x:v>
      </x:c>
      <x:c r="M93" s="90" t="n">
        <x:f>'SLOT_RULES'!$D$12+IF($A93&lt;='SLOT_RULES'!$D$12,0,INT(($A93-'SLOT_RULES'!$D$12-1)/'SLOT_RULES'!$E$12)+1)*'SLOT_RULES'!$E$12</x:f>
        <x:v>46369</x:v>
      </x:c>
      <x:c r="N93" s="90" t="n">
        <x:f>'SLOT_RULES'!$D$13+IF($A93&lt;='SLOT_RULES'!$D$13,0,INT(($A93-'SLOT_RULES'!$D$13-1)/'SLOT_RULES'!$E$13)+1)*'SLOT_RULES'!$E$13</x:f>
        <x:v>46391</x:v>
      </x:c>
      <x:c r="O93" s="90" t="n">
        <x:f>'SLOT_RULES'!$D$14+IF($A93&lt;='SLOT_RULES'!$D$14,0,INT(($A93-'SLOT_RULES'!$D$14-1)/'SLOT_RULES'!$E$14)+1)*'SLOT_RULES'!$E$14</x:f>
        <x:v>46448</x:v>
      </x:c>
      <x:c r="P93" s="90" t="n">
        <x:f>'SLOT_RULES'!$D$15+IF($A93&lt;='SLOT_RULES'!$D$15,0,INT(($A93-'SLOT_RULES'!$D$15-1)/'SLOT_RULES'!$E$15)+1)*'SLOT_RULES'!$E$15</x:f>
        <x:v>46422</x:v>
      </x:c>
      <x:c r="Q93" s="91" t="n">
        <x:f>MIN(E93:P93)-A93</x:f>
        <x:v>0</x:v>
      </x:c>
      <x:c r="R93" s="91" t="n">
        <x:f>MAX(E93:P93)-A93</x:f>
        <x:v>92</x:v>
      </x:c>
      <x:c r="S93" s="92" t="str">
        <x:f>IF(AND(COUNT(E93:P93)=12,MIN(E93:P93)&gt;=A93),"PASS","FAIL")</x:f>
        <x:v>PASS</x:v>
      </x:c>
      <x:c r="T93" s="92" t="str">
        <x:f>IF((COUNTIF('LOCAL_REFERENCE'!$D93:$O93,E93)+COUNTIF('LOCAL_REFERENCE'!$D93:$O93,F93)+COUNTIF('LOCAL_REFERENCE'!$D93:$O93,G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x:f>
        <x:v>PASS</x:v>
      </x:c>
      <x:c r="U93" s="92" t="str">
        <x:f>IF((COUNTIF('VPS_REFERENCE'!$D93:$H93,E93)+COUNTIF('VPS_REFERENCE'!$D93:$H93,F93)+COUNTIF('VPS_REFERENCE'!$D93:$H93,G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x:f>
        <x:v>PASS</x:v>
      </x:c>
      <x:c r="V93" s="92" t="str">
        <x:f>IF(OR(E93=F93,E93=G93,E93=H93,E93=I93,E93=J93,E93=K93,E93=L93,E93=M93,E93=N93,E93=O93,E93=P93,F93=G93,F93=H93,F93=I93,F93=J93,F93=K93,F93=L93,F93=M93,F93=N93,F93=O93,F93=P93,G93=H93,G93=I93,G93=J93,G93=K93,G93=L93,G93=M93,G93=N93,G93=O93,G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x:f>
        <x:v>PASS</x:v>
      </x:c>
      <x:c r="W93" s="93" t="str">
        <x:f>'CRAWL_LOG'!B93</x:f>
        <x:v>Chưa chạy</x:v>
      </x:c>
      <x:c r="X93" s="96" t="str">
        <x:v>Aux-local complementary panel; benchmark gate pending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2" hidden="0" customWidth="1"/>
    <x:col min="4" max="4" width="20" hidden="0" customWidth="1"/>
    <x:col min="5" max="5" width="20" hidden="0" customWidth="1"/>
    <x:col min="6" max="6" width="16" hidden="0" customWidth="1"/>
    <x:col min="7" max="7" width="14" hidden="0" customWidth="1"/>
    <x:col min="8" max="8" width="14" hidden="0" customWidth="1"/>
    <x:col min="9" max="9" width="12" hidden="0" customWidth="1"/>
    <x:col min="10" max="10" width="10" hidden="0" customWidth="1"/>
    <x:col min="11" max="11" width="12" hidden="0" customWidth="1"/>
    <x:col min="12" max="12" width="15" hidden="0" customWidth="1"/>
    <x:col min="13" max="13" width="10" hidden="0" customWidth="1"/>
    <x:col min="14" max="14" width="15" hidden="0" customWidth="1"/>
    <x:col min="15" max="15" width="14" hidden="0" customWidth="1"/>
    <x:col min="16" max="16" width="14" hidden="0" customWidth="1"/>
    <x:col min="17" max="17" width="48" hidden="0" customWidth="1"/>
  </x:cols>
  <x:sheetData>
    <x:row r="1" ht="30" customHeight="1">
      <x:c r="A1" s="3" t="str">
        <x:v>AUX-LOCAL CRAWL LOG — MỖI NGÀY MỘT DÒNG</x:v>
      </x:c>
      <x:c r="B1" s="3" t="str">
        <x:v>AUX-LOCAL CRAWL LOG — MỖI NGÀY MỘT DÒNG</x:v>
      </x:c>
      <x:c r="C1" s="3" t="str">
        <x:v>AUX-LOCAL CRAWL LOG — MỖI NGÀY MỘT DÒNG</x:v>
      </x:c>
      <x:c r="D1" s="3" t="str">
        <x:v>AUX-LOCAL CRAWL LOG — MỖI NGÀY MỘT DÒNG</x:v>
      </x:c>
      <x:c r="E1" s="3" t="str">
        <x:v>AUX-LOCAL CRAWL LOG — MỖI NGÀY MỘT DÒNG</x:v>
      </x:c>
      <x:c r="F1" s="3" t="str">
        <x:v>AUX-LOCAL CRAWL LOG — MỖI NGÀY MỘT DÒNG</x:v>
      </x:c>
      <x:c r="G1" s="3" t="str">
        <x:v>AUX-LOCAL CRAWL LOG — MỖI NGÀY MỘT DÒNG</x:v>
      </x:c>
      <x:c r="H1" s="3" t="str">
        <x:v>AUX-LOCAL CRAWL LOG — MỖI NGÀY MỘT DÒNG</x:v>
      </x:c>
      <x:c r="I1" s="3" t="str">
        <x:v>AUX-LOCAL CRAWL LOG — MỖI NGÀY MỘT DÒNG</x:v>
      </x:c>
      <x:c r="J1" s="3" t="str">
        <x:v>AUX-LOCAL CRAWL LOG — MỖI NGÀY MỘT DÒNG</x:v>
      </x:c>
      <x:c r="K1" s="3" t="str">
        <x:v>AUX-LOCAL CRAWL LOG — MỖI NGÀY MỘT DÒNG</x:v>
      </x:c>
      <x:c r="L1" s="3" t="str">
        <x:v>AUX-LOCAL CRAWL LOG — MỖI NGÀY MỘT DÒNG</x:v>
      </x:c>
      <x:c r="M1" s="3" t="str">
        <x:v>AUX-LOCAL CRAWL LOG — MỖI NGÀY MỘT DÒNG</x:v>
      </x:c>
      <x:c r="N1" s="3" t="str">
        <x:v>AUX-LOCAL CRAWL LOG — MỖI NGÀY MỘT DÒNG</x:v>
      </x:c>
      <x:c r="O1" s="3" t="str">
        <x:v>AUX-LOCAL CRAWL LOG — MỖI NGÀY MỘT DÒNG</x:v>
      </x:c>
      <x:c r="P1" s="3" t="str">
        <x:v>AUX-LOCAL CRAWL LOG — MỖI NGÀY MỘT DÒNG</x:v>
      </x:c>
      <x:c r="Q1" s="3" t="str">
        <x:v>AUX-LOCAL CRAWL LOG — MỖI NGÀY MỘT DÒNG</x:v>
      </x:c>
    </x:row>
    <x:row r="2">
      <x:c r="A2" s="36" t="str">
        <x:v>Ghi một dòng cho mỗi crawl date. Máy phụ dùng 355 khách sạn × 12 check-in = 4.260 item dự kiến; không lưu HTML/ảnh nếu không cần audit.</x:v>
      </x:c>
      <x:c r="B2" s="36" t="str">
        <x:v>Ghi một dòng cho mỗi crawl date. Máy phụ dùng 355 khách sạn × 12 check-in = 4.260 item dự kiến; không lưu HTML/ảnh nếu không cần audit.</x:v>
      </x:c>
      <x:c r="C2" s="36" t="str">
        <x:v>Ghi một dòng cho mỗi crawl date. Máy phụ dùng 355 khách sạn × 12 check-in = 4.260 item dự kiến; không lưu HTML/ảnh nếu không cần audit.</x:v>
      </x:c>
      <x:c r="D2" s="36" t="str">
        <x:v>Ghi một dòng cho mỗi crawl date. Máy phụ dùng 355 khách sạn × 12 check-in = 4.260 item dự kiến; không lưu HTML/ảnh nếu không cần audit.</x:v>
      </x:c>
      <x:c r="E2" s="36" t="str">
        <x:v>Ghi một dòng cho mỗi crawl date. Máy phụ dùng 355 khách sạn × 12 check-in = 4.260 item dự kiến; không lưu HTML/ảnh nếu không cần audit.</x:v>
      </x:c>
      <x:c r="F2" s="36" t="str">
        <x:v>Ghi một dòng cho mỗi crawl date. Máy phụ dùng 355 khách sạn × 12 check-in = 4.260 item dự kiến; không lưu HTML/ảnh nếu không cần audit.</x:v>
      </x:c>
      <x:c r="G2" s="36" t="str">
        <x:v>Ghi một dòng cho mỗi crawl date. Máy phụ dùng 355 khách sạn × 12 check-in = 4.260 item dự kiến; không lưu HTML/ảnh nếu không cần audit.</x:v>
      </x:c>
      <x:c r="H2" s="36" t="str">
        <x:v>Ghi một dòng cho mỗi crawl date. Máy phụ dùng 355 khách sạn × 12 check-in = 4.260 item dự kiến; không lưu HTML/ảnh nếu không cần audit.</x:v>
      </x:c>
      <x:c r="I2" s="36" t="str">
        <x:v>Ghi một dòng cho mỗi crawl date. Máy phụ dùng 355 khách sạn × 12 check-in = 4.260 item dự kiến; không lưu HTML/ảnh nếu không cần audit.</x:v>
      </x:c>
      <x:c r="J2" s="36" t="str">
        <x:v>Ghi một dòng cho mỗi crawl date. Máy phụ dùng 355 khách sạn × 12 check-in = 4.260 item dự kiến; không lưu HTML/ảnh nếu không cần audit.</x:v>
      </x:c>
      <x:c r="K2" s="36" t="str">
        <x:v>Ghi một dòng cho mỗi crawl date. Máy phụ dùng 355 khách sạn × 12 check-in = 4.260 item dự kiến; không lưu HTML/ảnh nếu không cần audit.</x:v>
      </x:c>
      <x:c r="L2" s="36" t="str">
        <x:v>Ghi một dòng cho mỗi crawl date. Máy phụ dùng 355 khách sạn × 12 check-in = 4.260 item dự kiến; không lưu HTML/ảnh nếu không cần audit.</x:v>
      </x:c>
      <x:c r="M2" s="36" t="str">
        <x:v>Ghi một dòng cho mỗi crawl date. Máy phụ dùng 355 khách sạn × 12 check-in = 4.260 item dự kiến; không lưu HTML/ảnh nếu không cần audit.</x:v>
      </x:c>
      <x:c r="N2" s="36" t="str">
        <x:v>Ghi một dòng cho mỗi crawl date. Máy phụ dùng 355 khách sạn × 12 check-in = 4.260 item dự kiến; không lưu HTML/ảnh nếu không cần audit.</x:v>
      </x:c>
      <x:c r="O2" s="36" t="str">
        <x:v>Ghi một dòng cho mỗi crawl date. Máy phụ dùng 355 khách sạn × 12 check-in = 4.260 item dự kiến; không lưu HTML/ảnh nếu không cần audit.</x:v>
      </x:c>
      <x:c r="P2" s="36" t="str">
        <x:v>Ghi một dòng cho mỗi crawl date. Máy phụ dùng 355 khách sạn × 12 check-in = 4.260 item dự kiến; không lưu HTML/ảnh nếu không cần audit.</x:v>
      </x:c>
      <x:c r="Q2" s="36" t="str">
        <x:v>Ghi một dòng cho mỗi crawl date. Máy phụ dùng 355 khách sạn × 12 check-in = 4.260 item dự kiến; không lưu HTML/ảnh nếu không cần audit.</x:v>
      </x:c>
    </x:row>
    <x:row r="3" ht="30" customHeight="1">
      <x:c r="A3" s="9" t="str">
        <x:v>Crawl date</x:v>
      </x:c>
      <x:c r="B3" s="9" t="str">
        <x:v>Status</x:v>
      </x:c>
      <x:c r="C3" s="9" t="str">
        <x:v>Run IDs</x:v>
      </x:c>
      <x:c r="D3" s="9" t="str">
        <x:v>Started at</x:v>
      </x:c>
      <x:c r="E3" s="9" t="str">
        <x:v>Finished at</x:v>
      </x:c>
      <x:c r="F3" s="9" t="str">
        <x:v>Duration (hours)</x:v>
      </x:c>
      <x:c r="G3" s="9" t="str">
        <x:v>Total items</x:v>
      </x:c>
      <x:c r="H3" s="9" t="str">
        <x:v>Processed</x:v>
      </x:c>
      <x:c r="I3" s="9" t="str">
        <x:v>Success</x:v>
      </x:c>
      <x:c r="J3" s="9" t="str">
        <x:v>Partial</x:v>
      </x:c>
      <x:c r="K3" s="9" t="str">
        <x:v>Sold out</x:v>
      </x:c>
      <x:c r="L3" s="9" t="str">
        <x:v>Not bookable</x:v>
      </x:c>
      <x:c r="M3" s="9" t="str">
        <x:v>Error</x:v>
      </x:c>
      <x:c r="N3" s="9" t="str">
        <x:v>Valid records</x:v>
      </x:c>
      <x:c r="O3" s="9" t="str">
        <x:v>Check-in count</x:v>
      </x:c>
      <x:c r="P3" s="9" t="str">
        <x:v>Environment</x:v>
      </x:c>
      <x:c r="Q3" s="9" t="str">
        <x:v>Notes</x:v>
      </x:c>
    </x:row>
    <x:row r="4">
      <x:c r="A4" s="67" t="n">
        <x:v>46267</x:v>
      </x:c>
      <x:c r="B4" s="55" t="str">
        <x:v>Chưa chạy</x:v>
      </x:c>
      <x:c r="C4" s="55"/>
      <x:c r="D4" s="97"/>
      <x:c r="E4" s="97"/>
      <x:c r="F4" s="100" t="str">
        <x:f>IF(AND(D4&lt;&gt;"",E4&lt;&gt;""),(E4-D4)*24,"")</x:f>
      </x:c>
      <x:c r="G4" s="103"/>
      <x:c r="H4" s="103"/>
      <x:c r="I4" s="103"/>
      <x:c r="J4" s="103"/>
      <x:c r="K4" s="103"/>
      <x:c r="L4" s="103"/>
      <x:c r="M4" s="103"/>
      <x:c r="N4" s="103"/>
      <x:c r="O4" s="103" t="n">
        <x:v>12</x:v>
      </x:c>
      <x:c r="P4" s="55" t="str">
        <x:v>local_aux</x:v>
      </x:c>
      <x:c r="Q4" s="55"/>
    </x:row>
    <x:row r="5">
      <x:c r="A5" s="68" t="n">
        <x:v>46268</x:v>
      </x:c>
      <x:c r="B5" s="59" t="str">
        <x:v>Chưa chạy</x:v>
      </x:c>
      <x:c r="C5" s="59"/>
      <x:c r="D5" s="98"/>
      <x:c r="E5" s="98"/>
      <x:c r="F5" s="101" t="str">
        <x:f>IF(AND(D5&lt;&gt;"",E5&lt;&gt;""),(E5-D5)*24,"")</x:f>
      </x:c>
      <x:c r="G5" s="104"/>
      <x:c r="H5" s="104"/>
      <x:c r="I5" s="104"/>
      <x:c r="J5" s="104"/>
      <x:c r="K5" s="104"/>
      <x:c r="L5" s="104"/>
      <x:c r="M5" s="104"/>
      <x:c r="N5" s="104"/>
      <x:c r="O5" s="104" t="n">
        <x:v>12</x:v>
      </x:c>
      <x:c r="P5" s="59" t="str">
        <x:v>local_aux</x:v>
      </x:c>
      <x:c r="Q5" s="59"/>
    </x:row>
    <x:row r="6">
      <x:c r="A6" s="68" t="n">
        <x:v>46269</x:v>
      </x:c>
      <x:c r="B6" s="59" t="str">
        <x:v>Chưa chạy</x:v>
      </x:c>
      <x:c r="C6" s="59"/>
      <x:c r="D6" s="98"/>
      <x:c r="E6" s="98"/>
      <x:c r="F6" s="101" t="str">
        <x:f>IF(AND(D6&lt;&gt;"",E6&lt;&gt;""),(E6-D6)*24,"")</x:f>
      </x:c>
      <x:c r="G6" s="104"/>
      <x:c r="H6" s="104"/>
      <x:c r="I6" s="104"/>
      <x:c r="J6" s="104"/>
      <x:c r="K6" s="104"/>
      <x:c r="L6" s="104"/>
      <x:c r="M6" s="104"/>
      <x:c r="N6" s="104"/>
      <x:c r="O6" s="104" t="n">
        <x:v>12</x:v>
      </x:c>
      <x:c r="P6" s="59" t="str">
        <x:v>local_aux</x:v>
      </x:c>
      <x:c r="Q6" s="59"/>
    </x:row>
    <x:row r="7">
      <x:c r="A7" s="68" t="n">
        <x:v>46270</x:v>
      </x:c>
      <x:c r="B7" s="59" t="str">
        <x:v>Chưa chạy</x:v>
      </x:c>
      <x:c r="C7" s="59"/>
      <x:c r="D7" s="98"/>
      <x:c r="E7" s="98"/>
      <x:c r="F7" s="101" t="str">
        <x:f>IF(AND(D7&lt;&gt;"",E7&lt;&gt;""),(E7-D7)*24,"")</x:f>
      </x:c>
      <x:c r="G7" s="104"/>
      <x:c r="H7" s="104"/>
      <x:c r="I7" s="104"/>
      <x:c r="J7" s="104"/>
      <x:c r="K7" s="104"/>
      <x:c r="L7" s="104"/>
      <x:c r="M7" s="104"/>
      <x:c r="N7" s="104"/>
      <x:c r="O7" s="104" t="n">
        <x:v>12</x:v>
      </x:c>
      <x:c r="P7" s="59" t="str">
        <x:v>local_aux</x:v>
      </x:c>
      <x:c r="Q7" s="59"/>
    </x:row>
    <x:row r="8">
      <x:c r="A8" s="68" t="n">
        <x:v>46271</x:v>
      </x:c>
      <x:c r="B8" s="59" t="str">
        <x:v>Chưa chạy</x:v>
      </x:c>
      <x:c r="C8" s="59"/>
      <x:c r="D8" s="98"/>
      <x:c r="E8" s="98"/>
      <x:c r="F8" s="101" t="str">
        <x:f>IF(AND(D8&lt;&gt;"",E8&lt;&gt;""),(E8-D8)*24,"")</x:f>
      </x:c>
      <x:c r="G8" s="104"/>
      <x:c r="H8" s="104"/>
      <x:c r="I8" s="104"/>
      <x:c r="J8" s="104"/>
      <x:c r="K8" s="104"/>
      <x:c r="L8" s="104"/>
      <x:c r="M8" s="104"/>
      <x:c r="N8" s="104"/>
      <x:c r="O8" s="104" t="n">
        <x:v>12</x:v>
      </x:c>
      <x:c r="P8" s="59" t="str">
        <x:v>local_aux</x:v>
      </x:c>
      <x:c r="Q8" s="59"/>
    </x:row>
    <x:row r="9">
      <x:c r="A9" s="68" t="n">
        <x:v>46272</x:v>
      </x:c>
      <x:c r="B9" s="59" t="str">
        <x:v>Chưa chạy</x:v>
      </x:c>
      <x:c r="C9" s="59"/>
      <x:c r="D9" s="98"/>
      <x:c r="E9" s="98"/>
      <x:c r="F9" s="101" t="str">
        <x:f>IF(AND(D9&lt;&gt;"",E9&lt;&gt;""),(E9-D9)*24,"")</x:f>
      </x:c>
      <x:c r="G9" s="104"/>
      <x:c r="H9" s="104"/>
      <x:c r="I9" s="104"/>
      <x:c r="J9" s="104"/>
      <x:c r="K9" s="104"/>
      <x:c r="L9" s="104"/>
      <x:c r="M9" s="104"/>
      <x:c r="N9" s="104"/>
      <x:c r="O9" s="104" t="n">
        <x:v>12</x:v>
      </x:c>
      <x:c r="P9" s="59" t="str">
        <x:v>local_aux</x:v>
      </x:c>
      <x:c r="Q9" s="59"/>
    </x:row>
    <x:row r="10">
      <x:c r="A10" s="68" t="n">
        <x:v>46273</x:v>
      </x:c>
      <x:c r="B10" s="59" t="str">
        <x:v>Chưa chạy</x:v>
      </x:c>
      <x:c r="C10" s="59"/>
      <x:c r="D10" s="98"/>
      <x:c r="E10" s="98"/>
      <x:c r="F10" s="101" t="str">
        <x:f>IF(AND(D10&lt;&gt;"",E10&lt;&gt;""),(E10-D10)*24,"")</x:f>
      </x:c>
      <x:c r="G10" s="104"/>
      <x:c r="H10" s="104"/>
      <x:c r="I10" s="104"/>
      <x:c r="J10" s="104"/>
      <x:c r="K10" s="104"/>
      <x:c r="L10" s="104"/>
      <x:c r="M10" s="104"/>
      <x:c r="N10" s="104"/>
      <x:c r="O10" s="104" t="n">
        <x:v>12</x:v>
      </x:c>
      <x:c r="P10" s="59" t="str">
        <x:v>local_aux</x:v>
      </x:c>
      <x:c r="Q10" s="59"/>
    </x:row>
    <x:row r="11">
      <x:c r="A11" s="68" t="n">
        <x:v>46274</x:v>
      </x:c>
      <x:c r="B11" s="59" t="str">
        <x:v>Chưa chạy</x:v>
      </x:c>
      <x:c r="C11" s="59"/>
      <x:c r="D11" s="98"/>
      <x:c r="E11" s="98"/>
      <x:c r="F11" s="101" t="str">
        <x:f>IF(AND(D11&lt;&gt;"",E11&lt;&gt;""),(E11-D11)*24,"")</x:f>
      </x:c>
      <x:c r="G11" s="104"/>
      <x:c r="H11" s="104"/>
      <x:c r="I11" s="104"/>
      <x:c r="J11" s="104"/>
      <x:c r="K11" s="104"/>
      <x:c r="L11" s="104"/>
      <x:c r="M11" s="104"/>
      <x:c r="N11" s="104"/>
      <x:c r="O11" s="104" t="n">
        <x:v>12</x:v>
      </x:c>
      <x:c r="P11" s="59" t="str">
        <x:v>local_aux</x:v>
      </x:c>
      <x:c r="Q11" s="59"/>
    </x:row>
    <x:row r="12">
      <x:c r="A12" s="68" t="n">
        <x:v>46275</x:v>
      </x:c>
      <x:c r="B12" s="59" t="str">
        <x:v>Chưa chạy</x:v>
      </x:c>
      <x:c r="C12" s="59"/>
      <x:c r="D12" s="98"/>
      <x:c r="E12" s="98"/>
      <x:c r="F12" s="101" t="str">
        <x:f>IF(AND(D12&lt;&gt;"",E12&lt;&gt;""),(E12-D12)*24,"")</x:f>
      </x:c>
      <x:c r="G12" s="104"/>
      <x:c r="H12" s="104"/>
      <x:c r="I12" s="104"/>
      <x:c r="J12" s="104"/>
      <x:c r="K12" s="104"/>
      <x:c r="L12" s="104"/>
      <x:c r="M12" s="104"/>
      <x:c r="N12" s="104"/>
      <x:c r="O12" s="104" t="n">
        <x:v>12</x:v>
      </x:c>
      <x:c r="P12" s="59" t="str">
        <x:v>local_aux</x:v>
      </x:c>
      <x:c r="Q12" s="59"/>
    </x:row>
    <x:row r="13">
      <x:c r="A13" s="68" t="n">
        <x:v>46276</x:v>
      </x:c>
      <x:c r="B13" s="59" t="str">
        <x:v>Chưa chạy</x:v>
      </x:c>
      <x:c r="C13" s="59"/>
      <x:c r="D13" s="98"/>
      <x:c r="E13" s="98"/>
      <x:c r="F13" s="101" t="str">
        <x:f>IF(AND(D13&lt;&gt;"",E13&lt;&gt;""),(E13-D13)*24,"")</x:f>
      </x:c>
      <x:c r="G13" s="104"/>
      <x:c r="H13" s="104"/>
      <x:c r="I13" s="104"/>
      <x:c r="J13" s="104"/>
      <x:c r="K13" s="104"/>
      <x:c r="L13" s="104"/>
      <x:c r="M13" s="104"/>
      <x:c r="N13" s="104"/>
      <x:c r="O13" s="104" t="n">
        <x:v>12</x:v>
      </x:c>
      <x:c r="P13" s="59" t="str">
        <x:v>local_aux</x:v>
      </x:c>
      <x:c r="Q13" s="59"/>
    </x:row>
    <x:row r="14">
      <x:c r="A14" s="68" t="n">
        <x:v>46277</x:v>
      </x:c>
      <x:c r="B14" s="59" t="str">
        <x:v>Chưa chạy</x:v>
      </x:c>
      <x:c r="C14" s="59"/>
      <x:c r="D14" s="98"/>
      <x:c r="E14" s="98"/>
      <x:c r="F14" s="101" t="str">
        <x:f>IF(AND(D14&lt;&gt;"",E14&lt;&gt;""),(E14-D14)*24,"")</x:f>
      </x:c>
      <x:c r="G14" s="104"/>
      <x:c r="H14" s="104"/>
      <x:c r="I14" s="104"/>
      <x:c r="J14" s="104"/>
      <x:c r="K14" s="104"/>
      <x:c r="L14" s="104"/>
      <x:c r="M14" s="104"/>
      <x:c r="N14" s="104"/>
      <x:c r="O14" s="104" t="n">
        <x:v>12</x:v>
      </x:c>
      <x:c r="P14" s="59" t="str">
        <x:v>local_aux</x:v>
      </x:c>
      <x:c r="Q14" s="59"/>
    </x:row>
    <x:row r="15">
      <x:c r="A15" s="68" t="n">
        <x:v>46278</x:v>
      </x:c>
      <x:c r="B15" s="59" t="str">
        <x:v>Chưa chạy</x:v>
      </x:c>
      <x:c r="C15" s="59"/>
      <x:c r="D15" s="98"/>
      <x:c r="E15" s="98"/>
      <x:c r="F15" s="101" t="str">
        <x:f>IF(AND(D15&lt;&gt;"",E15&lt;&gt;""),(E15-D15)*24,"")</x:f>
      </x:c>
      <x:c r="G15" s="104"/>
      <x:c r="H15" s="104"/>
      <x:c r="I15" s="104"/>
      <x:c r="J15" s="104"/>
      <x:c r="K15" s="104"/>
      <x:c r="L15" s="104"/>
      <x:c r="M15" s="104"/>
      <x:c r="N15" s="104"/>
      <x:c r="O15" s="104" t="n">
        <x:v>12</x:v>
      </x:c>
      <x:c r="P15" s="59" t="str">
        <x:v>local_aux</x:v>
      </x:c>
      <x:c r="Q15" s="59"/>
    </x:row>
    <x:row r="16">
      <x:c r="A16" s="68" t="n">
        <x:v>46279</x:v>
      </x:c>
      <x:c r="B16" s="59" t="str">
        <x:v>Chưa chạy</x:v>
      </x:c>
      <x:c r="C16" s="59"/>
      <x:c r="D16" s="98"/>
      <x:c r="E16" s="98"/>
      <x:c r="F16" s="101" t="str">
        <x:f>IF(AND(D16&lt;&gt;"",E16&lt;&gt;""),(E16-D16)*24,"")</x:f>
      </x:c>
      <x:c r="G16" s="104"/>
      <x:c r="H16" s="104"/>
      <x:c r="I16" s="104"/>
      <x:c r="J16" s="104"/>
      <x:c r="K16" s="104"/>
      <x:c r="L16" s="104"/>
      <x:c r="M16" s="104"/>
      <x:c r="N16" s="104"/>
      <x:c r="O16" s="104" t="n">
        <x:v>12</x:v>
      </x:c>
      <x:c r="P16" s="59" t="str">
        <x:v>local_aux</x:v>
      </x:c>
      <x:c r="Q16" s="59"/>
    </x:row>
    <x:row r="17">
      <x:c r="A17" s="68" t="n">
        <x:v>46280</x:v>
      </x:c>
      <x:c r="B17" s="59" t="str">
        <x:v>Chưa chạy</x:v>
      </x:c>
      <x:c r="C17" s="59"/>
      <x:c r="D17" s="98"/>
      <x:c r="E17" s="98"/>
      <x:c r="F17" s="101" t="str">
        <x:f>IF(AND(D17&lt;&gt;"",E17&lt;&gt;""),(E17-D17)*24,"")</x:f>
      </x:c>
      <x:c r="G17" s="104"/>
      <x:c r="H17" s="104"/>
      <x:c r="I17" s="104"/>
      <x:c r="J17" s="104"/>
      <x:c r="K17" s="104"/>
      <x:c r="L17" s="104"/>
      <x:c r="M17" s="104"/>
      <x:c r="N17" s="104"/>
      <x:c r="O17" s="104" t="n">
        <x:v>12</x:v>
      </x:c>
      <x:c r="P17" s="59" t="str">
        <x:v>local_aux</x:v>
      </x:c>
      <x:c r="Q17" s="59"/>
    </x:row>
    <x:row r="18">
      <x:c r="A18" s="68" t="n">
        <x:v>46281</x:v>
      </x:c>
      <x:c r="B18" s="59" t="str">
        <x:v>Chưa chạy</x:v>
      </x:c>
      <x:c r="C18" s="59"/>
      <x:c r="D18" s="98"/>
      <x:c r="E18" s="98"/>
      <x:c r="F18" s="101" t="str">
        <x:f>IF(AND(D18&lt;&gt;"",E18&lt;&gt;""),(E18-D18)*24,"")</x:f>
      </x:c>
      <x:c r="G18" s="104"/>
      <x:c r="H18" s="104"/>
      <x:c r="I18" s="104"/>
      <x:c r="J18" s="104"/>
      <x:c r="K18" s="104"/>
      <x:c r="L18" s="104"/>
      <x:c r="M18" s="104"/>
      <x:c r="N18" s="104"/>
      <x:c r="O18" s="104" t="n">
        <x:v>12</x:v>
      </x:c>
      <x:c r="P18" s="59" t="str">
        <x:v>local_aux</x:v>
      </x:c>
      <x:c r="Q18" s="59"/>
    </x:row>
    <x:row r="19">
      <x:c r="A19" s="68" t="n">
        <x:v>46282</x:v>
      </x:c>
      <x:c r="B19" s="59" t="str">
        <x:v>Chưa chạy</x:v>
      </x:c>
      <x:c r="C19" s="59"/>
      <x:c r="D19" s="98"/>
      <x:c r="E19" s="98"/>
      <x:c r="F19" s="101" t="str">
        <x:f>IF(AND(D19&lt;&gt;"",E19&lt;&gt;""),(E19-D19)*24,"")</x:f>
      </x:c>
      <x:c r="G19" s="104"/>
      <x:c r="H19" s="104"/>
      <x:c r="I19" s="104"/>
      <x:c r="J19" s="104"/>
      <x:c r="K19" s="104"/>
      <x:c r="L19" s="104"/>
      <x:c r="M19" s="104"/>
      <x:c r="N19" s="104"/>
      <x:c r="O19" s="104" t="n">
        <x:v>12</x:v>
      </x:c>
      <x:c r="P19" s="59" t="str">
        <x:v>local_aux</x:v>
      </x:c>
      <x:c r="Q19" s="59"/>
    </x:row>
    <x:row r="20">
      <x:c r="A20" s="68" t="n">
        <x:v>46283</x:v>
      </x:c>
      <x:c r="B20" s="59" t="str">
        <x:v>Chưa chạy</x:v>
      </x:c>
      <x:c r="C20" s="59"/>
      <x:c r="D20" s="98"/>
      <x:c r="E20" s="98"/>
      <x:c r="F20" s="101" t="str">
        <x:f>IF(AND(D20&lt;&gt;"",E20&lt;&gt;""),(E20-D20)*24,"")</x:f>
      </x:c>
      <x:c r="G20" s="104"/>
      <x:c r="H20" s="104"/>
      <x:c r="I20" s="104"/>
      <x:c r="J20" s="104"/>
      <x:c r="K20" s="104"/>
      <x:c r="L20" s="104"/>
      <x:c r="M20" s="104"/>
      <x:c r="N20" s="104"/>
      <x:c r="O20" s="104" t="n">
        <x:v>12</x:v>
      </x:c>
      <x:c r="P20" s="59" t="str">
        <x:v>local_aux</x:v>
      </x:c>
      <x:c r="Q20" s="59"/>
    </x:row>
    <x:row r="21">
      <x:c r="A21" s="68" t="n">
        <x:v>46284</x:v>
      </x:c>
      <x:c r="B21" s="59" t="str">
        <x:v>Chưa chạy</x:v>
      </x:c>
      <x:c r="C21" s="59"/>
      <x:c r="D21" s="98"/>
      <x:c r="E21" s="98"/>
      <x:c r="F21" s="101" t="str">
        <x:f>IF(AND(D21&lt;&gt;"",E21&lt;&gt;""),(E21-D21)*24,"")</x:f>
      </x:c>
      <x:c r="G21" s="104"/>
      <x:c r="H21" s="104"/>
      <x:c r="I21" s="104"/>
      <x:c r="J21" s="104"/>
      <x:c r="K21" s="104"/>
      <x:c r="L21" s="104"/>
      <x:c r="M21" s="104"/>
      <x:c r="N21" s="104"/>
      <x:c r="O21" s="104" t="n">
        <x:v>12</x:v>
      </x:c>
      <x:c r="P21" s="59" t="str">
        <x:v>local_aux</x:v>
      </x:c>
      <x:c r="Q21" s="59"/>
    </x:row>
    <x:row r="22">
      <x:c r="A22" s="68" t="n">
        <x:v>46285</x:v>
      </x:c>
      <x:c r="B22" s="59" t="str">
        <x:v>Chưa chạy</x:v>
      </x:c>
      <x:c r="C22" s="59"/>
      <x:c r="D22" s="98"/>
      <x:c r="E22" s="98"/>
      <x:c r="F22" s="101" t="str">
        <x:f>IF(AND(D22&lt;&gt;"",E22&lt;&gt;""),(E22-D22)*24,"")</x:f>
      </x:c>
      <x:c r="G22" s="104"/>
      <x:c r="H22" s="104"/>
      <x:c r="I22" s="104"/>
      <x:c r="J22" s="104"/>
      <x:c r="K22" s="104"/>
      <x:c r="L22" s="104"/>
      <x:c r="M22" s="104"/>
      <x:c r="N22" s="104"/>
      <x:c r="O22" s="104" t="n">
        <x:v>12</x:v>
      </x:c>
      <x:c r="P22" s="59" t="str">
        <x:v>local_aux</x:v>
      </x:c>
      <x:c r="Q22" s="59"/>
    </x:row>
    <x:row r="23">
      <x:c r="A23" s="68" t="n">
        <x:v>46286</x:v>
      </x:c>
      <x:c r="B23" s="59" t="str">
        <x:v>Chưa chạy</x:v>
      </x:c>
      <x:c r="C23" s="59"/>
      <x:c r="D23" s="98"/>
      <x:c r="E23" s="98"/>
      <x:c r="F23" s="101" t="str">
        <x:f>IF(AND(D23&lt;&gt;"",E23&lt;&gt;""),(E23-D23)*24,"")</x:f>
      </x:c>
      <x:c r="G23" s="104"/>
      <x:c r="H23" s="104"/>
      <x:c r="I23" s="104"/>
      <x:c r="J23" s="104"/>
      <x:c r="K23" s="104"/>
      <x:c r="L23" s="104"/>
      <x:c r="M23" s="104"/>
      <x:c r="N23" s="104"/>
      <x:c r="O23" s="104" t="n">
        <x:v>12</x:v>
      </x:c>
      <x:c r="P23" s="59" t="str">
        <x:v>local_aux</x:v>
      </x:c>
      <x:c r="Q23" s="59"/>
    </x:row>
    <x:row r="24">
      <x:c r="A24" s="68" t="n">
        <x:v>46287</x:v>
      </x:c>
      <x:c r="B24" s="59" t="str">
        <x:v>Chưa chạy</x:v>
      </x:c>
      <x:c r="C24" s="59"/>
      <x:c r="D24" s="98"/>
      <x:c r="E24" s="98"/>
      <x:c r="F24" s="101" t="str">
        <x:f>IF(AND(D24&lt;&gt;"",E24&lt;&gt;""),(E24-D24)*24,"")</x:f>
      </x:c>
      <x:c r="G24" s="104"/>
      <x:c r="H24" s="104"/>
      <x:c r="I24" s="104"/>
      <x:c r="J24" s="104"/>
      <x:c r="K24" s="104"/>
      <x:c r="L24" s="104"/>
      <x:c r="M24" s="104"/>
      <x:c r="N24" s="104"/>
      <x:c r="O24" s="104" t="n">
        <x:v>12</x:v>
      </x:c>
      <x:c r="P24" s="59" t="str">
        <x:v>local_aux</x:v>
      </x:c>
      <x:c r="Q24" s="59"/>
    </x:row>
    <x:row r="25">
      <x:c r="A25" s="68" t="n">
        <x:v>46288</x:v>
      </x:c>
      <x:c r="B25" s="59" t="str">
        <x:v>Chưa chạy</x:v>
      </x:c>
      <x:c r="C25" s="59"/>
      <x:c r="D25" s="98"/>
      <x:c r="E25" s="98"/>
      <x:c r="F25" s="101" t="str">
        <x:f>IF(AND(D25&lt;&gt;"",E25&lt;&gt;""),(E25-D25)*24,"")</x:f>
      </x:c>
      <x:c r="G25" s="104"/>
      <x:c r="H25" s="104"/>
      <x:c r="I25" s="104"/>
      <x:c r="J25" s="104"/>
      <x:c r="K25" s="104"/>
      <x:c r="L25" s="104"/>
      <x:c r="M25" s="104"/>
      <x:c r="N25" s="104"/>
      <x:c r="O25" s="104" t="n">
        <x:v>12</x:v>
      </x:c>
      <x:c r="P25" s="59" t="str">
        <x:v>local_aux</x:v>
      </x:c>
      <x:c r="Q25" s="59"/>
    </x:row>
    <x:row r="26">
      <x:c r="A26" s="68" t="n">
        <x:v>46289</x:v>
      </x:c>
      <x:c r="B26" s="59" t="str">
        <x:v>Chưa chạy</x:v>
      </x:c>
      <x:c r="C26" s="59"/>
      <x:c r="D26" s="98"/>
      <x:c r="E26" s="98"/>
      <x:c r="F26" s="101" t="str">
        <x:f>IF(AND(D26&lt;&gt;"",E26&lt;&gt;""),(E26-D26)*24,"")</x:f>
      </x:c>
      <x:c r="G26" s="104"/>
      <x:c r="H26" s="104"/>
      <x:c r="I26" s="104"/>
      <x:c r="J26" s="104"/>
      <x:c r="K26" s="104"/>
      <x:c r="L26" s="104"/>
      <x:c r="M26" s="104"/>
      <x:c r="N26" s="104"/>
      <x:c r="O26" s="104" t="n">
        <x:v>12</x:v>
      </x:c>
      <x:c r="P26" s="59" t="str">
        <x:v>local_aux</x:v>
      </x:c>
      <x:c r="Q26" s="59"/>
    </x:row>
    <x:row r="27">
      <x:c r="A27" s="68" t="n">
        <x:v>46290</x:v>
      </x:c>
      <x:c r="B27" s="59" t="str">
        <x:v>Chưa chạy</x:v>
      </x:c>
      <x:c r="C27" s="59"/>
      <x:c r="D27" s="98"/>
      <x:c r="E27" s="98"/>
      <x:c r="F27" s="101" t="str">
        <x:f>IF(AND(D27&lt;&gt;"",E27&lt;&gt;""),(E27-D27)*24,"")</x:f>
      </x:c>
      <x:c r="G27" s="104"/>
      <x:c r="H27" s="104"/>
      <x:c r="I27" s="104"/>
      <x:c r="J27" s="104"/>
      <x:c r="K27" s="104"/>
      <x:c r="L27" s="104"/>
      <x:c r="M27" s="104"/>
      <x:c r="N27" s="104"/>
      <x:c r="O27" s="104" t="n">
        <x:v>12</x:v>
      </x:c>
      <x:c r="P27" s="59" t="str">
        <x:v>local_aux</x:v>
      </x:c>
      <x:c r="Q27" s="59"/>
    </x:row>
    <x:row r="28">
      <x:c r="A28" s="68" t="n">
        <x:v>46291</x:v>
      </x:c>
      <x:c r="B28" s="59" t="str">
        <x:v>Chưa chạy</x:v>
      </x:c>
      <x:c r="C28" s="59"/>
      <x:c r="D28" s="98"/>
      <x:c r="E28" s="98"/>
      <x:c r="F28" s="101" t="str">
        <x:f>IF(AND(D28&lt;&gt;"",E28&lt;&gt;""),(E28-D28)*24,"")</x:f>
      </x:c>
      <x:c r="G28" s="104"/>
      <x:c r="H28" s="104"/>
      <x:c r="I28" s="104"/>
      <x:c r="J28" s="104"/>
      <x:c r="K28" s="104"/>
      <x:c r="L28" s="104"/>
      <x:c r="M28" s="104"/>
      <x:c r="N28" s="104"/>
      <x:c r="O28" s="104" t="n">
        <x:v>12</x:v>
      </x:c>
      <x:c r="P28" s="59" t="str">
        <x:v>local_aux</x:v>
      </x:c>
      <x:c r="Q28" s="59"/>
    </x:row>
    <x:row r="29">
      <x:c r="A29" s="68" t="n">
        <x:v>46292</x:v>
      </x:c>
      <x:c r="B29" s="59" t="str">
        <x:v>Chưa chạy</x:v>
      </x:c>
      <x:c r="C29" s="59"/>
      <x:c r="D29" s="98"/>
      <x:c r="E29" s="98"/>
      <x:c r="F29" s="101" t="str">
        <x:f>IF(AND(D29&lt;&gt;"",E29&lt;&gt;""),(E29-D29)*24,"")</x:f>
      </x:c>
      <x:c r="G29" s="104"/>
      <x:c r="H29" s="104"/>
      <x:c r="I29" s="104"/>
      <x:c r="J29" s="104"/>
      <x:c r="K29" s="104"/>
      <x:c r="L29" s="104"/>
      <x:c r="M29" s="104"/>
      <x:c r="N29" s="104"/>
      <x:c r="O29" s="104" t="n">
        <x:v>12</x:v>
      </x:c>
      <x:c r="P29" s="59" t="str">
        <x:v>local_aux</x:v>
      </x:c>
      <x:c r="Q29" s="59"/>
    </x:row>
    <x:row r="30">
      <x:c r="A30" s="68" t="n">
        <x:v>46293</x:v>
      </x:c>
      <x:c r="B30" s="59" t="str">
        <x:v>Chưa chạy</x:v>
      </x:c>
      <x:c r="C30" s="59"/>
      <x:c r="D30" s="98"/>
      <x:c r="E30" s="98"/>
      <x:c r="F30" s="101" t="str">
        <x:f>IF(AND(D30&lt;&gt;"",E30&lt;&gt;""),(E30-D30)*24,"")</x:f>
      </x:c>
      <x:c r="G30" s="104"/>
      <x:c r="H30" s="104"/>
      <x:c r="I30" s="104"/>
      <x:c r="J30" s="104"/>
      <x:c r="K30" s="104"/>
      <x:c r="L30" s="104"/>
      <x:c r="M30" s="104"/>
      <x:c r="N30" s="104"/>
      <x:c r="O30" s="104" t="n">
        <x:v>12</x:v>
      </x:c>
      <x:c r="P30" s="59" t="str">
        <x:v>local_aux</x:v>
      </x:c>
      <x:c r="Q30" s="59"/>
    </x:row>
    <x:row r="31">
      <x:c r="A31" s="68" t="n">
        <x:v>46294</x:v>
      </x:c>
      <x:c r="B31" s="59" t="str">
        <x:v>Chưa chạy</x:v>
      </x:c>
      <x:c r="C31" s="59"/>
      <x:c r="D31" s="98"/>
      <x:c r="E31" s="98"/>
      <x:c r="F31" s="101" t="str">
        <x:f>IF(AND(D31&lt;&gt;"",E31&lt;&gt;""),(E31-D31)*24,"")</x:f>
      </x:c>
      <x:c r="G31" s="104"/>
      <x:c r="H31" s="104"/>
      <x:c r="I31" s="104"/>
      <x:c r="J31" s="104"/>
      <x:c r="K31" s="104"/>
      <x:c r="L31" s="104"/>
      <x:c r="M31" s="104"/>
      <x:c r="N31" s="104"/>
      <x:c r="O31" s="104" t="n">
        <x:v>12</x:v>
      </x:c>
      <x:c r="P31" s="59" t="str">
        <x:v>local_aux</x:v>
      </x:c>
      <x:c r="Q31" s="59"/>
    </x:row>
    <x:row r="32">
      <x:c r="A32" s="68" t="n">
        <x:v>46295</x:v>
      </x:c>
      <x:c r="B32" s="59" t="str">
        <x:v>Chưa chạy</x:v>
      </x:c>
      <x:c r="C32" s="59"/>
      <x:c r="D32" s="98"/>
      <x:c r="E32" s="98"/>
      <x:c r="F32" s="101" t="str">
        <x:f>IF(AND(D32&lt;&gt;"",E32&lt;&gt;""),(E32-D32)*24,"")</x:f>
      </x:c>
      <x:c r="G32" s="104"/>
      <x:c r="H32" s="104"/>
      <x:c r="I32" s="104"/>
      <x:c r="J32" s="104"/>
      <x:c r="K32" s="104"/>
      <x:c r="L32" s="104"/>
      <x:c r="M32" s="104"/>
      <x:c r="N32" s="104"/>
      <x:c r="O32" s="104" t="n">
        <x:v>12</x:v>
      </x:c>
      <x:c r="P32" s="59" t="str">
        <x:v>local_aux</x:v>
      </x:c>
      <x:c r="Q32" s="59"/>
    </x:row>
    <x:row r="33">
      <x:c r="A33" s="68" t="n">
        <x:v>46296</x:v>
      </x:c>
      <x:c r="B33" s="59" t="str">
        <x:v>Chưa chạy</x:v>
      </x:c>
      <x:c r="C33" s="59"/>
      <x:c r="D33" s="98"/>
      <x:c r="E33" s="98"/>
      <x:c r="F33" s="101" t="str">
        <x:f>IF(AND(D33&lt;&gt;"",E33&lt;&gt;""),(E33-D33)*24,"")</x:f>
      </x:c>
      <x:c r="G33" s="104"/>
      <x:c r="H33" s="104"/>
      <x:c r="I33" s="104"/>
      <x:c r="J33" s="104"/>
      <x:c r="K33" s="104"/>
      <x:c r="L33" s="104"/>
      <x:c r="M33" s="104"/>
      <x:c r="N33" s="104"/>
      <x:c r="O33" s="104" t="n">
        <x:v>12</x:v>
      </x:c>
      <x:c r="P33" s="59" t="str">
        <x:v>local_aux</x:v>
      </x:c>
      <x:c r="Q33" s="59"/>
    </x:row>
    <x:row r="34">
      <x:c r="A34" s="68" t="n">
        <x:v>46297</x:v>
      </x:c>
      <x:c r="B34" s="59" t="str">
        <x:v>Chưa chạy</x:v>
      </x:c>
      <x:c r="C34" s="59"/>
      <x:c r="D34" s="98"/>
      <x:c r="E34" s="98"/>
      <x:c r="F34" s="101" t="str">
        <x:f>IF(AND(D34&lt;&gt;"",E34&lt;&gt;""),(E34-D34)*24,"")</x:f>
      </x:c>
      <x:c r="G34" s="104"/>
      <x:c r="H34" s="104"/>
      <x:c r="I34" s="104"/>
      <x:c r="J34" s="104"/>
      <x:c r="K34" s="104"/>
      <x:c r="L34" s="104"/>
      <x:c r="M34" s="104"/>
      <x:c r="N34" s="104"/>
      <x:c r="O34" s="104" t="n">
        <x:v>12</x:v>
      </x:c>
      <x:c r="P34" s="59" t="str">
        <x:v>local_aux</x:v>
      </x:c>
      <x:c r="Q34" s="59"/>
    </x:row>
    <x:row r="35">
      <x:c r="A35" s="68" t="n">
        <x:v>46298</x:v>
      </x:c>
      <x:c r="B35" s="59" t="str">
        <x:v>Chưa chạy</x:v>
      </x:c>
      <x:c r="C35" s="59"/>
      <x:c r="D35" s="98"/>
      <x:c r="E35" s="98"/>
      <x:c r="F35" s="101" t="str">
        <x:f>IF(AND(D35&lt;&gt;"",E35&lt;&gt;""),(E35-D35)*24,"")</x:f>
      </x:c>
      <x:c r="G35" s="104"/>
      <x:c r="H35" s="104"/>
      <x:c r="I35" s="104"/>
      <x:c r="J35" s="104"/>
      <x:c r="K35" s="104"/>
      <x:c r="L35" s="104"/>
      <x:c r="M35" s="104"/>
      <x:c r="N35" s="104"/>
      <x:c r="O35" s="104" t="n">
        <x:v>12</x:v>
      </x:c>
      <x:c r="P35" s="59" t="str">
        <x:v>local_aux</x:v>
      </x:c>
      <x:c r="Q35" s="59"/>
    </x:row>
    <x:row r="36">
      <x:c r="A36" s="68" t="n">
        <x:v>46299</x:v>
      </x:c>
      <x:c r="B36" s="59" t="str">
        <x:v>Chưa chạy</x:v>
      </x:c>
      <x:c r="C36" s="59"/>
      <x:c r="D36" s="98"/>
      <x:c r="E36" s="98"/>
      <x:c r="F36" s="101" t="str">
        <x:f>IF(AND(D36&lt;&gt;"",E36&lt;&gt;""),(E36-D36)*24,"")</x:f>
      </x:c>
      <x:c r="G36" s="104"/>
      <x:c r="H36" s="104"/>
      <x:c r="I36" s="104"/>
      <x:c r="J36" s="104"/>
      <x:c r="K36" s="104"/>
      <x:c r="L36" s="104"/>
      <x:c r="M36" s="104"/>
      <x:c r="N36" s="104"/>
      <x:c r="O36" s="104" t="n">
        <x:v>12</x:v>
      </x:c>
      <x:c r="P36" s="59" t="str">
        <x:v>local_aux</x:v>
      </x:c>
      <x:c r="Q36" s="59"/>
    </x:row>
    <x:row r="37">
      <x:c r="A37" s="68" t="n">
        <x:v>46300</x:v>
      </x:c>
      <x:c r="B37" s="59" t="str">
        <x:v>Chưa chạy</x:v>
      </x:c>
      <x:c r="C37" s="59"/>
      <x:c r="D37" s="98"/>
      <x:c r="E37" s="98"/>
      <x:c r="F37" s="101" t="str">
        <x:f>IF(AND(D37&lt;&gt;"",E37&lt;&gt;""),(E37-D37)*24,"")</x:f>
      </x:c>
      <x:c r="G37" s="104"/>
      <x:c r="H37" s="104"/>
      <x:c r="I37" s="104"/>
      <x:c r="J37" s="104"/>
      <x:c r="K37" s="104"/>
      <x:c r="L37" s="104"/>
      <x:c r="M37" s="104"/>
      <x:c r="N37" s="104"/>
      <x:c r="O37" s="104" t="n">
        <x:v>12</x:v>
      </x:c>
      <x:c r="P37" s="59" t="str">
        <x:v>local_aux</x:v>
      </x:c>
      <x:c r="Q37" s="59"/>
    </x:row>
    <x:row r="38">
      <x:c r="A38" s="68" t="n">
        <x:v>46301</x:v>
      </x:c>
      <x:c r="B38" s="59" t="str">
        <x:v>Chưa chạy</x:v>
      </x:c>
      <x:c r="C38" s="59"/>
      <x:c r="D38" s="98"/>
      <x:c r="E38" s="98"/>
      <x:c r="F38" s="101" t="str">
        <x:f>IF(AND(D38&lt;&gt;"",E38&lt;&gt;""),(E38-D38)*24,"")</x:f>
      </x:c>
      <x:c r="G38" s="104"/>
      <x:c r="H38" s="104"/>
      <x:c r="I38" s="104"/>
      <x:c r="J38" s="104"/>
      <x:c r="K38" s="104"/>
      <x:c r="L38" s="104"/>
      <x:c r="M38" s="104"/>
      <x:c r="N38" s="104"/>
      <x:c r="O38" s="104" t="n">
        <x:v>12</x:v>
      </x:c>
      <x:c r="P38" s="59" t="str">
        <x:v>local_aux</x:v>
      </x:c>
      <x:c r="Q38" s="59"/>
    </x:row>
    <x:row r="39">
      <x:c r="A39" s="68" t="n">
        <x:v>46302</x:v>
      </x:c>
      <x:c r="B39" s="59" t="str">
        <x:v>Chưa chạy</x:v>
      </x:c>
      <x:c r="C39" s="59"/>
      <x:c r="D39" s="98"/>
      <x:c r="E39" s="98"/>
      <x:c r="F39" s="101" t="str">
        <x:f>IF(AND(D39&lt;&gt;"",E39&lt;&gt;""),(E39-D39)*24,"")</x:f>
      </x:c>
      <x:c r="G39" s="104"/>
      <x:c r="H39" s="104"/>
      <x:c r="I39" s="104"/>
      <x:c r="J39" s="104"/>
      <x:c r="K39" s="104"/>
      <x:c r="L39" s="104"/>
      <x:c r="M39" s="104"/>
      <x:c r="N39" s="104"/>
      <x:c r="O39" s="104" t="n">
        <x:v>12</x:v>
      </x:c>
      <x:c r="P39" s="59" t="str">
        <x:v>local_aux</x:v>
      </x:c>
      <x:c r="Q39" s="59"/>
    </x:row>
    <x:row r="40">
      <x:c r="A40" s="68" t="n">
        <x:v>46303</x:v>
      </x:c>
      <x:c r="B40" s="59" t="str">
        <x:v>Chưa chạy</x:v>
      </x:c>
      <x:c r="C40" s="59"/>
      <x:c r="D40" s="98"/>
      <x:c r="E40" s="98"/>
      <x:c r="F40" s="101" t="str">
        <x:f>IF(AND(D40&lt;&gt;"",E40&lt;&gt;""),(E40-D40)*24,"")</x:f>
      </x:c>
      <x:c r="G40" s="104"/>
      <x:c r="H40" s="104"/>
      <x:c r="I40" s="104"/>
      <x:c r="J40" s="104"/>
      <x:c r="K40" s="104"/>
      <x:c r="L40" s="104"/>
      <x:c r="M40" s="104"/>
      <x:c r="N40" s="104"/>
      <x:c r="O40" s="104" t="n">
        <x:v>12</x:v>
      </x:c>
      <x:c r="P40" s="59" t="str">
        <x:v>local_aux</x:v>
      </x:c>
      <x:c r="Q40" s="59"/>
    </x:row>
    <x:row r="41">
      <x:c r="A41" s="68" t="n">
        <x:v>46304</x:v>
      </x:c>
      <x:c r="B41" s="59" t="str">
        <x:v>Chưa chạy</x:v>
      </x:c>
      <x:c r="C41" s="59"/>
      <x:c r="D41" s="98"/>
      <x:c r="E41" s="98"/>
      <x:c r="F41" s="101" t="str">
        <x:f>IF(AND(D41&lt;&gt;"",E41&lt;&gt;""),(E41-D41)*24,"")</x:f>
      </x:c>
      <x:c r="G41" s="104"/>
      <x:c r="H41" s="104"/>
      <x:c r="I41" s="104"/>
      <x:c r="J41" s="104"/>
      <x:c r="K41" s="104"/>
      <x:c r="L41" s="104"/>
      <x:c r="M41" s="104"/>
      <x:c r="N41" s="104"/>
      <x:c r="O41" s="104" t="n">
        <x:v>12</x:v>
      </x:c>
      <x:c r="P41" s="59" t="str">
        <x:v>local_aux</x:v>
      </x:c>
      <x:c r="Q41" s="59"/>
    </x:row>
    <x:row r="42">
      <x:c r="A42" s="68" t="n">
        <x:v>46305</x:v>
      </x:c>
      <x:c r="B42" s="59" t="str">
        <x:v>Chưa chạy</x:v>
      </x:c>
      <x:c r="C42" s="59"/>
      <x:c r="D42" s="98"/>
      <x:c r="E42" s="98"/>
      <x:c r="F42" s="101" t="str">
        <x:f>IF(AND(D42&lt;&gt;"",E42&lt;&gt;""),(E42-D42)*24,"")</x:f>
      </x:c>
      <x:c r="G42" s="104"/>
      <x:c r="H42" s="104"/>
      <x:c r="I42" s="104"/>
      <x:c r="J42" s="104"/>
      <x:c r="K42" s="104"/>
      <x:c r="L42" s="104"/>
      <x:c r="M42" s="104"/>
      <x:c r="N42" s="104"/>
      <x:c r="O42" s="104" t="n">
        <x:v>12</x:v>
      </x:c>
      <x:c r="P42" s="59" t="str">
        <x:v>local_aux</x:v>
      </x:c>
      <x:c r="Q42" s="59"/>
    </x:row>
    <x:row r="43">
      <x:c r="A43" s="68" t="n">
        <x:v>46306</x:v>
      </x:c>
      <x:c r="B43" s="59" t="str">
        <x:v>Chưa chạy</x:v>
      </x:c>
      <x:c r="C43" s="59"/>
      <x:c r="D43" s="98"/>
      <x:c r="E43" s="98"/>
      <x:c r="F43" s="101" t="str">
        <x:f>IF(AND(D43&lt;&gt;"",E43&lt;&gt;""),(E43-D43)*24,"")</x:f>
      </x:c>
      <x:c r="G43" s="104"/>
      <x:c r="H43" s="104"/>
      <x:c r="I43" s="104"/>
      <x:c r="J43" s="104"/>
      <x:c r="K43" s="104"/>
      <x:c r="L43" s="104"/>
      <x:c r="M43" s="104"/>
      <x:c r="N43" s="104"/>
      <x:c r="O43" s="104" t="n">
        <x:v>12</x:v>
      </x:c>
      <x:c r="P43" s="59" t="str">
        <x:v>local_aux</x:v>
      </x:c>
      <x:c r="Q43" s="59"/>
    </x:row>
    <x:row r="44">
      <x:c r="A44" s="68" t="n">
        <x:v>46307</x:v>
      </x:c>
      <x:c r="B44" s="59" t="str">
        <x:v>Chưa chạy</x:v>
      </x:c>
      <x:c r="C44" s="59"/>
      <x:c r="D44" s="98"/>
      <x:c r="E44" s="98"/>
      <x:c r="F44" s="101" t="str">
        <x:f>IF(AND(D44&lt;&gt;"",E44&lt;&gt;""),(E44-D44)*24,"")</x:f>
      </x:c>
      <x:c r="G44" s="104"/>
      <x:c r="H44" s="104"/>
      <x:c r="I44" s="104"/>
      <x:c r="J44" s="104"/>
      <x:c r="K44" s="104"/>
      <x:c r="L44" s="104"/>
      <x:c r="M44" s="104"/>
      <x:c r="N44" s="104"/>
      <x:c r="O44" s="104" t="n">
        <x:v>12</x:v>
      </x:c>
      <x:c r="P44" s="59" t="str">
        <x:v>local_aux</x:v>
      </x:c>
      <x:c r="Q44" s="59"/>
    </x:row>
    <x:row r="45">
      <x:c r="A45" s="68" t="n">
        <x:v>46308</x:v>
      </x:c>
      <x:c r="B45" s="59" t="str">
        <x:v>Chưa chạy</x:v>
      </x:c>
      <x:c r="C45" s="59"/>
      <x:c r="D45" s="98"/>
      <x:c r="E45" s="98"/>
      <x:c r="F45" s="101" t="str">
        <x:f>IF(AND(D45&lt;&gt;"",E45&lt;&gt;""),(E45-D45)*24,"")</x:f>
      </x:c>
      <x:c r="G45" s="104"/>
      <x:c r="H45" s="104"/>
      <x:c r="I45" s="104"/>
      <x:c r="J45" s="104"/>
      <x:c r="K45" s="104"/>
      <x:c r="L45" s="104"/>
      <x:c r="M45" s="104"/>
      <x:c r="N45" s="104"/>
      <x:c r="O45" s="104" t="n">
        <x:v>12</x:v>
      </x:c>
      <x:c r="P45" s="59" t="str">
        <x:v>local_aux</x:v>
      </x:c>
      <x:c r="Q45" s="59"/>
    </x:row>
    <x:row r="46">
      <x:c r="A46" s="68" t="n">
        <x:v>46309</x:v>
      </x:c>
      <x:c r="B46" s="59" t="str">
        <x:v>Chưa chạy</x:v>
      </x:c>
      <x:c r="C46" s="59"/>
      <x:c r="D46" s="98"/>
      <x:c r="E46" s="98"/>
      <x:c r="F46" s="101" t="str">
        <x:f>IF(AND(D46&lt;&gt;"",E46&lt;&gt;""),(E46-D46)*24,"")</x:f>
      </x:c>
      <x:c r="G46" s="104"/>
      <x:c r="H46" s="104"/>
      <x:c r="I46" s="104"/>
      <x:c r="J46" s="104"/>
      <x:c r="K46" s="104"/>
      <x:c r="L46" s="104"/>
      <x:c r="M46" s="104"/>
      <x:c r="N46" s="104"/>
      <x:c r="O46" s="104" t="n">
        <x:v>12</x:v>
      </x:c>
      <x:c r="P46" s="59" t="str">
        <x:v>local_aux</x:v>
      </x:c>
      <x:c r="Q46" s="59"/>
    </x:row>
    <x:row r="47">
      <x:c r="A47" s="68" t="n">
        <x:v>46310</x:v>
      </x:c>
      <x:c r="B47" s="59" t="str">
        <x:v>Chưa chạy</x:v>
      </x:c>
      <x:c r="C47" s="59"/>
      <x:c r="D47" s="98"/>
      <x:c r="E47" s="98"/>
      <x:c r="F47" s="101" t="str">
        <x:f>IF(AND(D47&lt;&gt;"",E47&lt;&gt;""),(E47-D47)*24,"")</x:f>
      </x:c>
      <x:c r="G47" s="104"/>
      <x:c r="H47" s="104"/>
      <x:c r="I47" s="104"/>
      <x:c r="J47" s="104"/>
      <x:c r="K47" s="104"/>
      <x:c r="L47" s="104"/>
      <x:c r="M47" s="104"/>
      <x:c r="N47" s="104"/>
      <x:c r="O47" s="104" t="n">
        <x:v>12</x:v>
      </x:c>
      <x:c r="P47" s="59" t="str">
        <x:v>local_aux</x:v>
      </x:c>
      <x:c r="Q47" s="59"/>
    </x:row>
    <x:row r="48">
      <x:c r="A48" s="68" t="n">
        <x:v>46311</x:v>
      </x:c>
      <x:c r="B48" s="59" t="str">
        <x:v>Chưa chạy</x:v>
      </x:c>
      <x:c r="C48" s="59"/>
      <x:c r="D48" s="98"/>
      <x:c r="E48" s="98"/>
      <x:c r="F48" s="101" t="str">
        <x:f>IF(AND(D48&lt;&gt;"",E48&lt;&gt;""),(E48-D48)*24,"")</x:f>
      </x:c>
      <x:c r="G48" s="104"/>
      <x:c r="H48" s="104"/>
      <x:c r="I48" s="104"/>
      <x:c r="J48" s="104"/>
      <x:c r="K48" s="104"/>
      <x:c r="L48" s="104"/>
      <x:c r="M48" s="104"/>
      <x:c r="N48" s="104"/>
      <x:c r="O48" s="104" t="n">
        <x:v>12</x:v>
      </x:c>
      <x:c r="P48" s="59" t="str">
        <x:v>local_aux</x:v>
      </x:c>
      <x:c r="Q48" s="59"/>
    </x:row>
    <x:row r="49">
      <x:c r="A49" s="68" t="n">
        <x:v>46312</x:v>
      </x:c>
      <x:c r="B49" s="59" t="str">
        <x:v>Chưa chạy</x:v>
      </x:c>
      <x:c r="C49" s="59"/>
      <x:c r="D49" s="98"/>
      <x:c r="E49" s="98"/>
      <x:c r="F49" s="101" t="str">
        <x:f>IF(AND(D49&lt;&gt;"",E49&lt;&gt;""),(E49-D49)*24,"")</x:f>
      </x:c>
      <x:c r="G49" s="104"/>
      <x:c r="H49" s="104"/>
      <x:c r="I49" s="104"/>
      <x:c r="J49" s="104"/>
      <x:c r="K49" s="104"/>
      <x:c r="L49" s="104"/>
      <x:c r="M49" s="104"/>
      <x:c r="N49" s="104"/>
      <x:c r="O49" s="104" t="n">
        <x:v>12</x:v>
      </x:c>
      <x:c r="P49" s="59" t="str">
        <x:v>local_aux</x:v>
      </x:c>
      <x:c r="Q49" s="59"/>
    </x:row>
    <x:row r="50">
      <x:c r="A50" s="68" t="n">
        <x:v>46313</x:v>
      </x:c>
      <x:c r="B50" s="59" t="str">
        <x:v>Chưa chạy</x:v>
      </x:c>
      <x:c r="C50" s="59"/>
      <x:c r="D50" s="98"/>
      <x:c r="E50" s="98"/>
      <x:c r="F50" s="101" t="str">
        <x:f>IF(AND(D50&lt;&gt;"",E50&lt;&gt;""),(E50-D50)*24,"")</x:f>
      </x:c>
      <x:c r="G50" s="104"/>
      <x:c r="H50" s="104"/>
      <x:c r="I50" s="104"/>
      <x:c r="J50" s="104"/>
      <x:c r="K50" s="104"/>
      <x:c r="L50" s="104"/>
      <x:c r="M50" s="104"/>
      <x:c r="N50" s="104"/>
      <x:c r="O50" s="104" t="n">
        <x:v>12</x:v>
      </x:c>
      <x:c r="P50" s="59" t="str">
        <x:v>local_aux</x:v>
      </x:c>
      <x:c r="Q50" s="59"/>
    </x:row>
    <x:row r="51">
      <x:c r="A51" s="68" t="n">
        <x:v>46314</x:v>
      </x:c>
      <x:c r="B51" s="59" t="str">
        <x:v>Chưa chạy</x:v>
      </x:c>
      <x:c r="C51" s="59"/>
      <x:c r="D51" s="98"/>
      <x:c r="E51" s="98"/>
      <x:c r="F51" s="101" t="str">
        <x:f>IF(AND(D51&lt;&gt;"",E51&lt;&gt;""),(E51-D51)*24,"")</x:f>
      </x:c>
      <x:c r="G51" s="104"/>
      <x:c r="H51" s="104"/>
      <x:c r="I51" s="104"/>
      <x:c r="J51" s="104"/>
      <x:c r="K51" s="104"/>
      <x:c r="L51" s="104"/>
      <x:c r="M51" s="104"/>
      <x:c r="N51" s="104"/>
      <x:c r="O51" s="104" t="n">
        <x:v>12</x:v>
      </x:c>
      <x:c r="P51" s="59" t="str">
        <x:v>local_aux</x:v>
      </x:c>
      <x:c r="Q51" s="59"/>
    </x:row>
    <x:row r="52">
      <x:c r="A52" s="68" t="n">
        <x:v>46315</x:v>
      </x:c>
      <x:c r="B52" s="59" t="str">
        <x:v>Chưa chạy</x:v>
      </x:c>
      <x:c r="C52" s="59"/>
      <x:c r="D52" s="98"/>
      <x:c r="E52" s="98"/>
      <x:c r="F52" s="101" t="str">
        <x:f>IF(AND(D52&lt;&gt;"",E52&lt;&gt;""),(E52-D52)*24,"")</x:f>
      </x:c>
      <x:c r="G52" s="104"/>
      <x:c r="H52" s="104"/>
      <x:c r="I52" s="104"/>
      <x:c r="J52" s="104"/>
      <x:c r="K52" s="104"/>
      <x:c r="L52" s="104"/>
      <x:c r="M52" s="104"/>
      <x:c r="N52" s="104"/>
      <x:c r="O52" s="104" t="n">
        <x:v>12</x:v>
      </x:c>
      <x:c r="P52" s="59" t="str">
        <x:v>local_aux</x:v>
      </x:c>
      <x:c r="Q52" s="59"/>
    </x:row>
    <x:row r="53">
      <x:c r="A53" s="68" t="n">
        <x:v>46316</x:v>
      </x:c>
      <x:c r="B53" s="59" t="str">
        <x:v>Chưa chạy</x:v>
      </x:c>
      <x:c r="C53" s="59"/>
      <x:c r="D53" s="98"/>
      <x:c r="E53" s="98"/>
      <x:c r="F53" s="101" t="str">
        <x:f>IF(AND(D53&lt;&gt;"",E53&lt;&gt;""),(E53-D53)*24,"")</x:f>
      </x:c>
      <x:c r="G53" s="104"/>
      <x:c r="H53" s="104"/>
      <x:c r="I53" s="104"/>
      <x:c r="J53" s="104"/>
      <x:c r="K53" s="104"/>
      <x:c r="L53" s="104"/>
      <x:c r="M53" s="104"/>
      <x:c r="N53" s="104"/>
      <x:c r="O53" s="104" t="n">
        <x:v>12</x:v>
      </x:c>
      <x:c r="P53" s="59" t="str">
        <x:v>local_aux</x:v>
      </x:c>
      <x:c r="Q53" s="59"/>
    </x:row>
    <x:row r="54">
      <x:c r="A54" s="68" t="n">
        <x:v>46317</x:v>
      </x:c>
      <x:c r="B54" s="59" t="str">
        <x:v>Chưa chạy</x:v>
      </x:c>
      <x:c r="C54" s="59"/>
      <x:c r="D54" s="98"/>
      <x:c r="E54" s="98"/>
      <x:c r="F54" s="101" t="str">
        <x:f>IF(AND(D54&lt;&gt;"",E54&lt;&gt;""),(E54-D54)*24,"")</x:f>
      </x:c>
      <x:c r="G54" s="104"/>
      <x:c r="H54" s="104"/>
      <x:c r="I54" s="104"/>
      <x:c r="J54" s="104"/>
      <x:c r="K54" s="104"/>
      <x:c r="L54" s="104"/>
      <x:c r="M54" s="104"/>
      <x:c r="N54" s="104"/>
      <x:c r="O54" s="104" t="n">
        <x:v>12</x:v>
      </x:c>
      <x:c r="P54" s="59" t="str">
        <x:v>local_aux</x:v>
      </x:c>
      <x:c r="Q54" s="59"/>
    </x:row>
    <x:row r="55">
      <x:c r="A55" s="68" t="n">
        <x:v>46318</x:v>
      </x:c>
      <x:c r="B55" s="59" t="str">
        <x:v>Chưa chạy</x:v>
      </x:c>
      <x:c r="C55" s="59"/>
      <x:c r="D55" s="98"/>
      <x:c r="E55" s="98"/>
      <x:c r="F55" s="101" t="str">
        <x:f>IF(AND(D55&lt;&gt;"",E55&lt;&gt;""),(E55-D55)*24,"")</x:f>
      </x:c>
      <x:c r="G55" s="104"/>
      <x:c r="H55" s="104"/>
      <x:c r="I55" s="104"/>
      <x:c r="J55" s="104"/>
      <x:c r="K55" s="104"/>
      <x:c r="L55" s="104"/>
      <x:c r="M55" s="104"/>
      <x:c r="N55" s="104"/>
      <x:c r="O55" s="104" t="n">
        <x:v>12</x:v>
      </x:c>
      <x:c r="P55" s="59" t="str">
        <x:v>local_aux</x:v>
      </x:c>
      <x:c r="Q55" s="59"/>
    </x:row>
    <x:row r="56">
      <x:c r="A56" s="68" t="n">
        <x:v>46319</x:v>
      </x:c>
      <x:c r="B56" s="59" t="str">
        <x:v>Chưa chạy</x:v>
      </x:c>
      <x:c r="C56" s="59"/>
      <x:c r="D56" s="98"/>
      <x:c r="E56" s="98"/>
      <x:c r="F56" s="101" t="str">
        <x:f>IF(AND(D56&lt;&gt;"",E56&lt;&gt;""),(E56-D56)*24,"")</x:f>
      </x:c>
      <x:c r="G56" s="104"/>
      <x:c r="H56" s="104"/>
      <x:c r="I56" s="104"/>
      <x:c r="J56" s="104"/>
      <x:c r="K56" s="104"/>
      <x:c r="L56" s="104"/>
      <x:c r="M56" s="104"/>
      <x:c r="N56" s="104"/>
      <x:c r="O56" s="104" t="n">
        <x:v>12</x:v>
      </x:c>
      <x:c r="P56" s="59" t="str">
        <x:v>local_aux</x:v>
      </x:c>
      <x:c r="Q56" s="59"/>
    </x:row>
    <x:row r="57">
      <x:c r="A57" s="68" t="n">
        <x:v>46320</x:v>
      </x:c>
      <x:c r="B57" s="59" t="str">
        <x:v>Chưa chạy</x:v>
      </x:c>
      <x:c r="C57" s="59"/>
      <x:c r="D57" s="98"/>
      <x:c r="E57" s="98"/>
      <x:c r="F57" s="101" t="str">
        <x:f>IF(AND(D57&lt;&gt;"",E57&lt;&gt;""),(E57-D57)*24,"")</x:f>
      </x:c>
      <x:c r="G57" s="104"/>
      <x:c r="H57" s="104"/>
      <x:c r="I57" s="104"/>
      <x:c r="J57" s="104"/>
      <x:c r="K57" s="104"/>
      <x:c r="L57" s="104"/>
      <x:c r="M57" s="104"/>
      <x:c r="N57" s="104"/>
      <x:c r="O57" s="104" t="n">
        <x:v>12</x:v>
      </x:c>
      <x:c r="P57" s="59" t="str">
        <x:v>local_aux</x:v>
      </x:c>
      <x:c r="Q57" s="59"/>
    </x:row>
    <x:row r="58">
      <x:c r="A58" s="68" t="n">
        <x:v>46321</x:v>
      </x:c>
      <x:c r="B58" s="59" t="str">
        <x:v>Chưa chạy</x:v>
      </x:c>
      <x:c r="C58" s="59"/>
      <x:c r="D58" s="98"/>
      <x:c r="E58" s="98"/>
      <x:c r="F58" s="101" t="str">
        <x:f>IF(AND(D58&lt;&gt;"",E58&lt;&gt;""),(E58-D58)*24,"")</x:f>
      </x:c>
      <x:c r="G58" s="104"/>
      <x:c r="H58" s="104"/>
      <x:c r="I58" s="104"/>
      <x:c r="J58" s="104"/>
      <x:c r="K58" s="104"/>
      <x:c r="L58" s="104"/>
      <x:c r="M58" s="104"/>
      <x:c r="N58" s="104"/>
      <x:c r="O58" s="104" t="n">
        <x:v>12</x:v>
      </x:c>
      <x:c r="P58" s="59" t="str">
        <x:v>local_aux</x:v>
      </x:c>
      <x:c r="Q58" s="59"/>
    </x:row>
    <x:row r="59">
      <x:c r="A59" s="68" t="n">
        <x:v>46322</x:v>
      </x:c>
      <x:c r="B59" s="59" t="str">
        <x:v>Chưa chạy</x:v>
      </x:c>
      <x:c r="C59" s="59"/>
      <x:c r="D59" s="98"/>
      <x:c r="E59" s="98"/>
      <x:c r="F59" s="101" t="str">
        <x:f>IF(AND(D59&lt;&gt;"",E59&lt;&gt;""),(E59-D59)*24,"")</x:f>
      </x:c>
      <x:c r="G59" s="104"/>
      <x:c r="H59" s="104"/>
      <x:c r="I59" s="104"/>
      <x:c r="J59" s="104"/>
      <x:c r="K59" s="104"/>
      <x:c r="L59" s="104"/>
      <x:c r="M59" s="104"/>
      <x:c r="N59" s="104"/>
      <x:c r="O59" s="104" t="n">
        <x:v>12</x:v>
      </x:c>
      <x:c r="P59" s="59" t="str">
        <x:v>local_aux</x:v>
      </x:c>
      <x:c r="Q59" s="59"/>
    </x:row>
    <x:row r="60">
      <x:c r="A60" s="68" t="n">
        <x:v>46323</x:v>
      </x:c>
      <x:c r="B60" s="59" t="str">
        <x:v>Chưa chạy</x:v>
      </x:c>
      <x:c r="C60" s="59"/>
      <x:c r="D60" s="98"/>
      <x:c r="E60" s="98"/>
      <x:c r="F60" s="101" t="str">
        <x:f>IF(AND(D60&lt;&gt;"",E60&lt;&gt;""),(E60-D60)*24,"")</x:f>
      </x:c>
      <x:c r="G60" s="104"/>
      <x:c r="H60" s="104"/>
      <x:c r="I60" s="104"/>
      <x:c r="J60" s="104"/>
      <x:c r="K60" s="104"/>
      <x:c r="L60" s="104"/>
      <x:c r="M60" s="104"/>
      <x:c r="N60" s="104"/>
      <x:c r="O60" s="104" t="n">
        <x:v>12</x:v>
      </x:c>
      <x:c r="P60" s="59" t="str">
        <x:v>local_aux</x:v>
      </x:c>
      <x:c r="Q60" s="59"/>
    </x:row>
    <x:row r="61">
      <x:c r="A61" s="68" t="n">
        <x:v>46324</x:v>
      </x:c>
      <x:c r="B61" s="59" t="str">
        <x:v>Chưa chạy</x:v>
      </x:c>
      <x:c r="C61" s="59"/>
      <x:c r="D61" s="98"/>
      <x:c r="E61" s="98"/>
      <x:c r="F61" s="101" t="str">
        <x:f>IF(AND(D61&lt;&gt;"",E61&lt;&gt;""),(E61-D61)*24,"")</x:f>
      </x:c>
      <x:c r="G61" s="104"/>
      <x:c r="H61" s="104"/>
      <x:c r="I61" s="104"/>
      <x:c r="J61" s="104"/>
      <x:c r="K61" s="104"/>
      <x:c r="L61" s="104"/>
      <x:c r="M61" s="104"/>
      <x:c r="N61" s="104"/>
      <x:c r="O61" s="104" t="n">
        <x:v>12</x:v>
      </x:c>
      <x:c r="P61" s="59" t="str">
        <x:v>local_aux</x:v>
      </x:c>
      <x:c r="Q61" s="59"/>
    </x:row>
    <x:row r="62">
      <x:c r="A62" s="68" t="n">
        <x:v>46325</x:v>
      </x:c>
      <x:c r="B62" s="59" t="str">
        <x:v>Chưa chạy</x:v>
      </x:c>
      <x:c r="C62" s="59"/>
      <x:c r="D62" s="98"/>
      <x:c r="E62" s="98"/>
      <x:c r="F62" s="101" t="str">
        <x:f>IF(AND(D62&lt;&gt;"",E62&lt;&gt;""),(E62-D62)*24,"")</x:f>
      </x:c>
      <x:c r="G62" s="104"/>
      <x:c r="H62" s="104"/>
      <x:c r="I62" s="104"/>
      <x:c r="J62" s="104"/>
      <x:c r="K62" s="104"/>
      <x:c r="L62" s="104"/>
      <x:c r="M62" s="104"/>
      <x:c r="N62" s="104"/>
      <x:c r="O62" s="104" t="n">
        <x:v>12</x:v>
      </x:c>
      <x:c r="P62" s="59" t="str">
        <x:v>local_aux</x:v>
      </x:c>
      <x:c r="Q62" s="59"/>
    </x:row>
    <x:row r="63">
      <x:c r="A63" s="68" t="n">
        <x:v>46326</x:v>
      </x:c>
      <x:c r="B63" s="59" t="str">
        <x:v>Chưa chạy</x:v>
      </x:c>
      <x:c r="C63" s="59"/>
      <x:c r="D63" s="98"/>
      <x:c r="E63" s="98"/>
      <x:c r="F63" s="101" t="str">
        <x:f>IF(AND(D63&lt;&gt;"",E63&lt;&gt;""),(E63-D63)*24,"")</x:f>
      </x:c>
      <x:c r="G63" s="104"/>
      <x:c r="H63" s="104"/>
      <x:c r="I63" s="104"/>
      <x:c r="J63" s="104"/>
      <x:c r="K63" s="104"/>
      <x:c r="L63" s="104"/>
      <x:c r="M63" s="104"/>
      <x:c r="N63" s="104"/>
      <x:c r="O63" s="104" t="n">
        <x:v>12</x:v>
      </x:c>
      <x:c r="P63" s="59" t="str">
        <x:v>local_aux</x:v>
      </x:c>
      <x:c r="Q63" s="59"/>
    </x:row>
    <x:row r="64">
      <x:c r="A64" s="68" t="n">
        <x:v>46327</x:v>
      </x:c>
      <x:c r="B64" s="59" t="str">
        <x:v>Chưa chạy</x:v>
      </x:c>
      <x:c r="C64" s="59"/>
      <x:c r="D64" s="98"/>
      <x:c r="E64" s="98"/>
      <x:c r="F64" s="101" t="str">
        <x:f>IF(AND(D64&lt;&gt;"",E64&lt;&gt;""),(E64-D64)*24,"")</x:f>
      </x:c>
      <x:c r="G64" s="104"/>
      <x:c r="H64" s="104"/>
      <x:c r="I64" s="104"/>
      <x:c r="J64" s="104"/>
      <x:c r="K64" s="104"/>
      <x:c r="L64" s="104"/>
      <x:c r="M64" s="104"/>
      <x:c r="N64" s="104"/>
      <x:c r="O64" s="104" t="n">
        <x:v>12</x:v>
      </x:c>
      <x:c r="P64" s="59" t="str">
        <x:v>local_aux</x:v>
      </x:c>
      <x:c r="Q64" s="59"/>
    </x:row>
    <x:row r="65">
      <x:c r="A65" s="68" t="n">
        <x:v>46328</x:v>
      </x:c>
      <x:c r="B65" s="59" t="str">
        <x:v>Chưa chạy</x:v>
      </x:c>
      <x:c r="C65" s="59"/>
      <x:c r="D65" s="98"/>
      <x:c r="E65" s="98"/>
      <x:c r="F65" s="101" t="str">
        <x:f>IF(AND(D65&lt;&gt;"",E65&lt;&gt;""),(E65-D65)*24,"")</x:f>
      </x:c>
      <x:c r="G65" s="104"/>
      <x:c r="H65" s="104"/>
      <x:c r="I65" s="104"/>
      <x:c r="J65" s="104"/>
      <x:c r="K65" s="104"/>
      <x:c r="L65" s="104"/>
      <x:c r="M65" s="104"/>
      <x:c r="N65" s="104"/>
      <x:c r="O65" s="104" t="n">
        <x:v>12</x:v>
      </x:c>
      <x:c r="P65" s="59" t="str">
        <x:v>local_aux</x:v>
      </x:c>
      <x:c r="Q65" s="59"/>
    </x:row>
    <x:row r="66">
      <x:c r="A66" s="68" t="n">
        <x:v>46329</x:v>
      </x:c>
      <x:c r="B66" s="59" t="str">
        <x:v>Chưa chạy</x:v>
      </x:c>
      <x:c r="C66" s="59"/>
      <x:c r="D66" s="98"/>
      <x:c r="E66" s="98"/>
      <x:c r="F66" s="101" t="str">
        <x:f>IF(AND(D66&lt;&gt;"",E66&lt;&gt;""),(E66-D66)*24,"")</x:f>
      </x:c>
      <x:c r="G66" s="104"/>
      <x:c r="H66" s="104"/>
      <x:c r="I66" s="104"/>
      <x:c r="J66" s="104"/>
      <x:c r="K66" s="104"/>
      <x:c r="L66" s="104"/>
      <x:c r="M66" s="104"/>
      <x:c r="N66" s="104"/>
      <x:c r="O66" s="104" t="n">
        <x:v>12</x:v>
      </x:c>
      <x:c r="P66" s="59" t="str">
        <x:v>local_aux</x:v>
      </x:c>
      <x:c r="Q66" s="59"/>
    </x:row>
    <x:row r="67">
      <x:c r="A67" s="68" t="n">
        <x:v>46330</x:v>
      </x:c>
      <x:c r="B67" s="59" t="str">
        <x:v>Chưa chạy</x:v>
      </x:c>
      <x:c r="C67" s="59"/>
      <x:c r="D67" s="98"/>
      <x:c r="E67" s="98"/>
      <x:c r="F67" s="101" t="str">
        <x:f>IF(AND(D67&lt;&gt;"",E67&lt;&gt;""),(E67-D67)*24,"")</x:f>
      </x:c>
      <x:c r="G67" s="104"/>
      <x:c r="H67" s="104"/>
      <x:c r="I67" s="104"/>
      <x:c r="J67" s="104"/>
      <x:c r="K67" s="104"/>
      <x:c r="L67" s="104"/>
      <x:c r="M67" s="104"/>
      <x:c r="N67" s="104"/>
      <x:c r="O67" s="104" t="n">
        <x:v>12</x:v>
      </x:c>
      <x:c r="P67" s="59" t="str">
        <x:v>local_aux</x:v>
      </x:c>
      <x:c r="Q67" s="59"/>
    </x:row>
    <x:row r="68">
      <x:c r="A68" s="68" t="n">
        <x:v>46331</x:v>
      </x:c>
      <x:c r="B68" s="59" t="str">
        <x:v>Chưa chạy</x:v>
      </x:c>
      <x:c r="C68" s="59"/>
      <x:c r="D68" s="98"/>
      <x:c r="E68" s="98"/>
      <x:c r="F68" s="101" t="str">
        <x:f>IF(AND(D68&lt;&gt;"",E68&lt;&gt;""),(E68-D68)*24,"")</x:f>
      </x:c>
      <x:c r="G68" s="104"/>
      <x:c r="H68" s="104"/>
      <x:c r="I68" s="104"/>
      <x:c r="J68" s="104"/>
      <x:c r="K68" s="104"/>
      <x:c r="L68" s="104"/>
      <x:c r="M68" s="104"/>
      <x:c r="N68" s="104"/>
      <x:c r="O68" s="104" t="n">
        <x:v>12</x:v>
      </x:c>
      <x:c r="P68" s="59" t="str">
        <x:v>local_aux</x:v>
      </x:c>
      <x:c r="Q68" s="59"/>
    </x:row>
    <x:row r="69">
      <x:c r="A69" s="68" t="n">
        <x:v>46332</x:v>
      </x:c>
      <x:c r="B69" s="59" t="str">
        <x:v>Chưa chạy</x:v>
      </x:c>
      <x:c r="C69" s="59"/>
      <x:c r="D69" s="98"/>
      <x:c r="E69" s="98"/>
      <x:c r="F69" s="101" t="str">
        <x:f>IF(AND(D69&lt;&gt;"",E69&lt;&gt;""),(E69-D69)*24,"")</x:f>
      </x:c>
      <x:c r="G69" s="104"/>
      <x:c r="H69" s="104"/>
      <x:c r="I69" s="104"/>
      <x:c r="J69" s="104"/>
      <x:c r="K69" s="104"/>
      <x:c r="L69" s="104"/>
      <x:c r="M69" s="104"/>
      <x:c r="N69" s="104"/>
      <x:c r="O69" s="104" t="n">
        <x:v>12</x:v>
      </x:c>
      <x:c r="P69" s="59" t="str">
        <x:v>local_aux</x:v>
      </x:c>
      <x:c r="Q69" s="59"/>
    </x:row>
    <x:row r="70">
      <x:c r="A70" s="68" t="n">
        <x:v>46333</x:v>
      </x:c>
      <x:c r="B70" s="59" t="str">
        <x:v>Chưa chạy</x:v>
      </x:c>
      <x:c r="C70" s="59"/>
      <x:c r="D70" s="98"/>
      <x:c r="E70" s="98"/>
      <x:c r="F70" s="101" t="str">
        <x:f>IF(AND(D70&lt;&gt;"",E70&lt;&gt;""),(E70-D70)*24,"")</x:f>
      </x:c>
      <x:c r="G70" s="104"/>
      <x:c r="H70" s="104"/>
      <x:c r="I70" s="104"/>
      <x:c r="J70" s="104"/>
      <x:c r="K70" s="104"/>
      <x:c r="L70" s="104"/>
      <x:c r="M70" s="104"/>
      <x:c r="N70" s="104"/>
      <x:c r="O70" s="104" t="n">
        <x:v>12</x:v>
      </x:c>
      <x:c r="P70" s="59" t="str">
        <x:v>local_aux</x:v>
      </x:c>
      <x:c r="Q70" s="59"/>
    </x:row>
    <x:row r="71">
      <x:c r="A71" s="68" t="n">
        <x:v>46334</x:v>
      </x:c>
      <x:c r="B71" s="59" t="str">
        <x:v>Chưa chạy</x:v>
      </x:c>
      <x:c r="C71" s="59"/>
      <x:c r="D71" s="98"/>
      <x:c r="E71" s="98"/>
      <x:c r="F71" s="101" t="str">
        <x:f>IF(AND(D71&lt;&gt;"",E71&lt;&gt;""),(E71-D71)*24,"")</x:f>
      </x:c>
      <x:c r="G71" s="104"/>
      <x:c r="H71" s="104"/>
      <x:c r="I71" s="104"/>
      <x:c r="J71" s="104"/>
      <x:c r="K71" s="104"/>
      <x:c r="L71" s="104"/>
      <x:c r="M71" s="104"/>
      <x:c r="N71" s="104"/>
      <x:c r="O71" s="104" t="n">
        <x:v>12</x:v>
      </x:c>
      <x:c r="P71" s="59" t="str">
        <x:v>local_aux</x:v>
      </x:c>
      <x:c r="Q71" s="59"/>
    </x:row>
    <x:row r="72">
      <x:c r="A72" s="68" t="n">
        <x:v>46335</x:v>
      </x:c>
      <x:c r="B72" s="59" t="str">
        <x:v>Chưa chạy</x:v>
      </x:c>
      <x:c r="C72" s="59"/>
      <x:c r="D72" s="98"/>
      <x:c r="E72" s="98"/>
      <x:c r="F72" s="101" t="str">
        <x:f>IF(AND(D72&lt;&gt;"",E72&lt;&gt;""),(E72-D72)*24,"")</x:f>
      </x:c>
      <x:c r="G72" s="104"/>
      <x:c r="H72" s="104"/>
      <x:c r="I72" s="104"/>
      <x:c r="J72" s="104"/>
      <x:c r="K72" s="104"/>
      <x:c r="L72" s="104"/>
      <x:c r="M72" s="104"/>
      <x:c r="N72" s="104"/>
      <x:c r="O72" s="104" t="n">
        <x:v>12</x:v>
      </x:c>
      <x:c r="P72" s="59" t="str">
        <x:v>local_aux</x:v>
      </x:c>
      <x:c r="Q72" s="59"/>
    </x:row>
    <x:row r="73">
      <x:c r="A73" s="68" t="n">
        <x:v>46336</x:v>
      </x:c>
      <x:c r="B73" s="59" t="str">
        <x:v>Chưa chạy</x:v>
      </x:c>
      <x:c r="C73" s="59"/>
      <x:c r="D73" s="98"/>
      <x:c r="E73" s="98"/>
      <x:c r="F73" s="101" t="str">
        <x:f>IF(AND(D73&lt;&gt;"",E73&lt;&gt;""),(E73-D73)*24,"")</x:f>
      </x:c>
      <x:c r="G73" s="104"/>
      <x:c r="H73" s="104"/>
      <x:c r="I73" s="104"/>
      <x:c r="J73" s="104"/>
      <x:c r="K73" s="104"/>
      <x:c r="L73" s="104"/>
      <x:c r="M73" s="104"/>
      <x:c r="N73" s="104"/>
      <x:c r="O73" s="104" t="n">
        <x:v>12</x:v>
      </x:c>
      <x:c r="P73" s="59" t="str">
        <x:v>local_aux</x:v>
      </x:c>
      <x:c r="Q73" s="59"/>
    </x:row>
    <x:row r="74">
      <x:c r="A74" s="68" t="n">
        <x:v>46337</x:v>
      </x:c>
      <x:c r="B74" s="59" t="str">
        <x:v>Chưa chạy</x:v>
      </x:c>
      <x:c r="C74" s="59"/>
      <x:c r="D74" s="98"/>
      <x:c r="E74" s="98"/>
      <x:c r="F74" s="101" t="str">
        <x:f>IF(AND(D74&lt;&gt;"",E74&lt;&gt;""),(E74-D74)*24,"")</x:f>
      </x:c>
      <x:c r="G74" s="104"/>
      <x:c r="H74" s="104"/>
      <x:c r="I74" s="104"/>
      <x:c r="J74" s="104"/>
      <x:c r="K74" s="104"/>
      <x:c r="L74" s="104"/>
      <x:c r="M74" s="104"/>
      <x:c r="N74" s="104"/>
      <x:c r="O74" s="104" t="n">
        <x:v>12</x:v>
      </x:c>
      <x:c r="P74" s="59" t="str">
        <x:v>local_aux</x:v>
      </x:c>
      <x:c r="Q74" s="59"/>
    </x:row>
    <x:row r="75">
      <x:c r="A75" s="68" t="n">
        <x:v>46338</x:v>
      </x:c>
      <x:c r="B75" s="59" t="str">
        <x:v>Chưa chạy</x:v>
      </x:c>
      <x:c r="C75" s="59"/>
      <x:c r="D75" s="98"/>
      <x:c r="E75" s="98"/>
      <x:c r="F75" s="101" t="str">
        <x:f>IF(AND(D75&lt;&gt;"",E75&lt;&gt;""),(E75-D75)*24,"")</x:f>
      </x:c>
      <x:c r="G75" s="104"/>
      <x:c r="H75" s="104"/>
      <x:c r="I75" s="104"/>
      <x:c r="J75" s="104"/>
      <x:c r="K75" s="104"/>
      <x:c r="L75" s="104"/>
      <x:c r="M75" s="104"/>
      <x:c r="N75" s="104"/>
      <x:c r="O75" s="104" t="n">
        <x:v>12</x:v>
      </x:c>
      <x:c r="P75" s="59" t="str">
        <x:v>local_aux</x:v>
      </x:c>
      <x:c r="Q75" s="59"/>
    </x:row>
    <x:row r="76">
      <x:c r="A76" s="68" t="n">
        <x:v>46339</x:v>
      </x:c>
      <x:c r="B76" s="59" t="str">
        <x:v>Chưa chạy</x:v>
      </x:c>
      <x:c r="C76" s="59"/>
      <x:c r="D76" s="98"/>
      <x:c r="E76" s="98"/>
      <x:c r="F76" s="101" t="str">
        <x:f>IF(AND(D76&lt;&gt;"",E76&lt;&gt;""),(E76-D76)*24,"")</x:f>
      </x:c>
      <x:c r="G76" s="104"/>
      <x:c r="H76" s="104"/>
      <x:c r="I76" s="104"/>
      <x:c r="J76" s="104"/>
      <x:c r="K76" s="104"/>
      <x:c r="L76" s="104"/>
      <x:c r="M76" s="104"/>
      <x:c r="N76" s="104"/>
      <x:c r="O76" s="104" t="n">
        <x:v>12</x:v>
      </x:c>
      <x:c r="P76" s="59" t="str">
        <x:v>local_aux</x:v>
      </x:c>
      <x:c r="Q76" s="59"/>
    </x:row>
    <x:row r="77">
      <x:c r="A77" s="68" t="n">
        <x:v>46340</x:v>
      </x:c>
      <x:c r="B77" s="59" t="str">
        <x:v>Chưa chạy</x:v>
      </x:c>
      <x:c r="C77" s="59"/>
      <x:c r="D77" s="98"/>
      <x:c r="E77" s="98"/>
      <x:c r="F77" s="101" t="str">
        <x:f>IF(AND(D77&lt;&gt;"",E77&lt;&gt;""),(E77-D77)*24,"")</x:f>
      </x:c>
      <x:c r="G77" s="104"/>
      <x:c r="H77" s="104"/>
      <x:c r="I77" s="104"/>
      <x:c r="J77" s="104"/>
      <x:c r="K77" s="104"/>
      <x:c r="L77" s="104"/>
      <x:c r="M77" s="104"/>
      <x:c r="N77" s="104"/>
      <x:c r="O77" s="104" t="n">
        <x:v>12</x:v>
      </x:c>
      <x:c r="P77" s="59" t="str">
        <x:v>local_aux</x:v>
      </x:c>
      <x:c r="Q77" s="59"/>
    </x:row>
    <x:row r="78">
      <x:c r="A78" s="68" t="n">
        <x:v>46341</x:v>
      </x:c>
      <x:c r="B78" s="59" t="str">
        <x:v>Chưa chạy</x:v>
      </x:c>
      <x:c r="C78" s="59"/>
      <x:c r="D78" s="98"/>
      <x:c r="E78" s="98"/>
      <x:c r="F78" s="101" t="str">
        <x:f>IF(AND(D78&lt;&gt;"",E78&lt;&gt;""),(E78-D78)*24,"")</x:f>
      </x:c>
      <x:c r="G78" s="104"/>
      <x:c r="H78" s="104"/>
      <x:c r="I78" s="104"/>
      <x:c r="J78" s="104"/>
      <x:c r="K78" s="104"/>
      <x:c r="L78" s="104"/>
      <x:c r="M78" s="104"/>
      <x:c r="N78" s="104"/>
      <x:c r="O78" s="104" t="n">
        <x:v>12</x:v>
      </x:c>
      <x:c r="P78" s="59" t="str">
        <x:v>local_aux</x:v>
      </x:c>
      <x:c r="Q78" s="59"/>
    </x:row>
    <x:row r="79">
      <x:c r="A79" s="68" t="n">
        <x:v>46342</x:v>
      </x:c>
      <x:c r="B79" s="59" t="str">
        <x:v>Chưa chạy</x:v>
      </x:c>
      <x:c r="C79" s="59"/>
      <x:c r="D79" s="98"/>
      <x:c r="E79" s="98"/>
      <x:c r="F79" s="101" t="str">
        <x:f>IF(AND(D79&lt;&gt;"",E79&lt;&gt;""),(E79-D79)*24,"")</x:f>
      </x:c>
      <x:c r="G79" s="104"/>
      <x:c r="H79" s="104"/>
      <x:c r="I79" s="104"/>
      <x:c r="J79" s="104"/>
      <x:c r="K79" s="104"/>
      <x:c r="L79" s="104"/>
      <x:c r="M79" s="104"/>
      <x:c r="N79" s="104"/>
      <x:c r="O79" s="104" t="n">
        <x:v>12</x:v>
      </x:c>
      <x:c r="P79" s="59" t="str">
        <x:v>local_aux</x:v>
      </x:c>
      <x:c r="Q79" s="59"/>
    </x:row>
    <x:row r="80">
      <x:c r="A80" s="68" t="n">
        <x:v>46343</x:v>
      </x:c>
      <x:c r="B80" s="59" t="str">
        <x:v>Chưa chạy</x:v>
      </x:c>
      <x:c r="C80" s="59"/>
      <x:c r="D80" s="98"/>
      <x:c r="E80" s="98"/>
      <x:c r="F80" s="101" t="str">
        <x:f>IF(AND(D80&lt;&gt;"",E80&lt;&gt;""),(E80-D80)*24,"")</x:f>
      </x:c>
      <x:c r="G80" s="104"/>
      <x:c r="H80" s="104"/>
      <x:c r="I80" s="104"/>
      <x:c r="J80" s="104"/>
      <x:c r="K80" s="104"/>
      <x:c r="L80" s="104"/>
      <x:c r="M80" s="104"/>
      <x:c r="N80" s="104"/>
      <x:c r="O80" s="104" t="n">
        <x:v>12</x:v>
      </x:c>
      <x:c r="P80" s="59" t="str">
        <x:v>local_aux</x:v>
      </x:c>
      <x:c r="Q80" s="59"/>
    </x:row>
    <x:row r="81">
      <x:c r="A81" s="68" t="n">
        <x:v>46344</x:v>
      </x:c>
      <x:c r="B81" s="59" t="str">
        <x:v>Chưa chạy</x:v>
      </x:c>
      <x:c r="C81" s="59"/>
      <x:c r="D81" s="98"/>
      <x:c r="E81" s="98"/>
      <x:c r="F81" s="101" t="str">
        <x:f>IF(AND(D81&lt;&gt;"",E81&lt;&gt;""),(E81-D81)*24,"")</x:f>
      </x:c>
      <x:c r="G81" s="104"/>
      <x:c r="H81" s="104"/>
      <x:c r="I81" s="104"/>
      <x:c r="J81" s="104"/>
      <x:c r="K81" s="104"/>
      <x:c r="L81" s="104"/>
      <x:c r="M81" s="104"/>
      <x:c r="N81" s="104"/>
      <x:c r="O81" s="104" t="n">
        <x:v>12</x:v>
      </x:c>
      <x:c r="P81" s="59" t="str">
        <x:v>local_aux</x:v>
      </x:c>
      <x:c r="Q81" s="59"/>
    </x:row>
    <x:row r="82">
      <x:c r="A82" s="68" t="n">
        <x:v>46345</x:v>
      </x:c>
      <x:c r="B82" s="59" t="str">
        <x:v>Chưa chạy</x:v>
      </x:c>
      <x:c r="C82" s="59"/>
      <x:c r="D82" s="98"/>
      <x:c r="E82" s="98"/>
      <x:c r="F82" s="101" t="str">
        <x:f>IF(AND(D82&lt;&gt;"",E82&lt;&gt;""),(E82-D82)*24,"")</x:f>
      </x:c>
      <x:c r="G82" s="104"/>
      <x:c r="H82" s="104"/>
      <x:c r="I82" s="104"/>
      <x:c r="J82" s="104"/>
      <x:c r="K82" s="104"/>
      <x:c r="L82" s="104"/>
      <x:c r="M82" s="104"/>
      <x:c r="N82" s="104"/>
      <x:c r="O82" s="104" t="n">
        <x:v>12</x:v>
      </x:c>
      <x:c r="P82" s="59" t="str">
        <x:v>local_aux</x:v>
      </x:c>
      <x:c r="Q82" s="59"/>
    </x:row>
    <x:row r="83">
      <x:c r="A83" s="68" t="n">
        <x:v>46346</x:v>
      </x:c>
      <x:c r="B83" s="59" t="str">
        <x:v>Chưa chạy</x:v>
      </x:c>
      <x:c r="C83" s="59"/>
      <x:c r="D83" s="98"/>
      <x:c r="E83" s="98"/>
      <x:c r="F83" s="101" t="str">
        <x:f>IF(AND(D83&lt;&gt;"",E83&lt;&gt;""),(E83-D83)*24,"")</x:f>
      </x:c>
      <x:c r="G83" s="104"/>
      <x:c r="H83" s="104"/>
      <x:c r="I83" s="104"/>
      <x:c r="J83" s="104"/>
      <x:c r="K83" s="104"/>
      <x:c r="L83" s="104"/>
      <x:c r="M83" s="104"/>
      <x:c r="N83" s="104"/>
      <x:c r="O83" s="104" t="n">
        <x:v>12</x:v>
      </x:c>
      <x:c r="P83" s="59" t="str">
        <x:v>local_aux</x:v>
      </x:c>
      <x:c r="Q83" s="59"/>
    </x:row>
    <x:row r="84">
      <x:c r="A84" s="68" t="n">
        <x:v>46347</x:v>
      </x:c>
      <x:c r="B84" s="59" t="str">
        <x:v>Chưa chạy</x:v>
      </x:c>
      <x:c r="C84" s="59"/>
      <x:c r="D84" s="98"/>
      <x:c r="E84" s="98"/>
      <x:c r="F84" s="101" t="str">
        <x:f>IF(AND(D84&lt;&gt;"",E84&lt;&gt;""),(E84-D84)*24,"")</x:f>
      </x:c>
      <x:c r="G84" s="104"/>
      <x:c r="H84" s="104"/>
      <x:c r="I84" s="104"/>
      <x:c r="J84" s="104"/>
      <x:c r="K84" s="104"/>
      <x:c r="L84" s="104"/>
      <x:c r="M84" s="104"/>
      <x:c r="N84" s="104"/>
      <x:c r="O84" s="104" t="n">
        <x:v>12</x:v>
      </x:c>
      <x:c r="P84" s="59" t="str">
        <x:v>local_aux</x:v>
      </x:c>
      <x:c r="Q84" s="59"/>
    </x:row>
    <x:row r="85">
      <x:c r="A85" s="68" t="n">
        <x:v>46348</x:v>
      </x:c>
      <x:c r="B85" s="59" t="str">
        <x:v>Chưa chạy</x:v>
      </x:c>
      <x:c r="C85" s="59"/>
      <x:c r="D85" s="98"/>
      <x:c r="E85" s="98"/>
      <x:c r="F85" s="101" t="str">
        <x:f>IF(AND(D85&lt;&gt;"",E85&lt;&gt;""),(E85-D85)*24,"")</x:f>
      </x:c>
      <x:c r="G85" s="104"/>
      <x:c r="H85" s="104"/>
      <x:c r="I85" s="104"/>
      <x:c r="J85" s="104"/>
      <x:c r="K85" s="104"/>
      <x:c r="L85" s="104"/>
      <x:c r="M85" s="104"/>
      <x:c r="N85" s="104"/>
      <x:c r="O85" s="104" t="n">
        <x:v>12</x:v>
      </x:c>
      <x:c r="P85" s="59" t="str">
        <x:v>local_aux</x:v>
      </x:c>
      <x:c r="Q85" s="59"/>
    </x:row>
    <x:row r="86">
      <x:c r="A86" s="68" t="n">
        <x:v>46349</x:v>
      </x:c>
      <x:c r="B86" s="59" t="str">
        <x:v>Chưa chạy</x:v>
      </x:c>
      <x:c r="C86" s="59"/>
      <x:c r="D86" s="98"/>
      <x:c r="E86" s="98"/>
      <x:c r="F86" s="101" t="str">
        <x:f>IF(AND(D86&lt;&gt;"",E86&lt;&gt;""),(E86-D86)*24,"")</x:f>
      </x:c>
      <x:c r="G86" s="104"/>
      <x:c r="H86" s="104"/>
      <x:c r="I86" s="104"/>
      <x:c r="J86" s="104"/>
      <x:c r="K86" s="104"/>
      <x:c r="L86" s="104"/>
      <x:c r="M86" s="104"/>
      <x:c r="N86" s="104"/>
      <x:c r="O86" s="104" t="n">
        <x:v>12</x:v>
      </x:c>
      <x:c r="P86" s="59" t="str">
        <x:v>local_aux</x:v>
      </x:c>
      <x:c r="Q86" s="59"/>
    </x:row>
    <x:row r="87">
      <x:c r="A87" s="68" t="n">
        <x:v>46350</x:v>
      </x:c>
      <x:c r="B87" s="59" t="str">
        <x:v>Chưa chạy</x:v>
      </x:c>
      <x:c r="C87" s="59"/>
      <x:c r="D87" s="98"/>
      <x:c r="E87" s="98"/>
      <x:c r="F87" s="101" t="str">
        <x:f>IF(AND(D87&lt;&gt;"",E87&lt;&gt;""),(E87-D87)*24,"")</x:f>
      </x:c>
      <x:c r="G87" s="104"/>
      <x:c r="H87" s="104"/>
      <x:c r="I87" s="104"/>
      <x:c r="J87" s="104"/>
      <x:c r="K87" s="104"/>
      <x:c r="L87" s="104"/>
      <x:c r="M87" s="104"/>
      <x:c r="N87" s="104"/>
      <x:c r="O87" s="104" t="n">
        <x:v>12</x:v>
      </x:c>
      <x:c r="P87" s="59" t="str">
        <x:v>local_aux</x:v>
      </x:c>
      <x:c r="Q87" s="59"/>
    </x:row>
    <x:row r="88">
      <x:c r="A88" s="68" t="n">
        <x:v>46351</x:v>
      </x:c>
      <x:c r="B88" s="59" t="str">
        <x:v>Chưa chạy</x:v>
      </x:c>
      <x:c r="C88" s="59"/>
      <x:c r="D88" s="98"/>
      <x:c r="E88" s="98"/>
      <x:c r="F88" s="101" t="str">
        <x:f>IF(AND(D88&lt;&gt;"",E88&lt;&gt;""),(E88-D88)*24,"")</x:f>
      </x:c>
      <x:c r="G88" s="104"/>
      <x:c r="H88" s="104"/>
      <x:c r="I88" s="104"/>
      <x:c r="J88" s="104"/>
      <x:c r="K88" s="104"/>
      <x:c r="L88" s="104"/>
      <x:c r="M88" s="104"/>
      <x:c r="N88" s="104"/>
      <x:c r="O88" s="104" t="n">
        <x:v>12</x:v>
      </x:c>
      <x:c r="P88" s="59" t="str">
        <x:v>local_aux</x:v>
      </x:c>
      <x:c r="Q88" s="59"/>
    </x:row>
    <x:row r="89">
      <x:c r="A89" s="68" t="n">
        <x:v>46352</x:v>
      </x:c>
      <x:c r="B89" s="59" t="str">
        <x:v>Chưa chạy</x:v>
      </x:c>
      <x:c r="C89" s="59"/>
      <x:c r="D89" s="98"/>
      <x:c r="E89" s="98"/>
      <x:c r="F89" s="101" t="str">
        <x:f>IF(AND(D89&lt;&gt;"",E89&lt;&gt;""),(E89-D89)*24,"")</x:f>
      </x:c>
      <x:c r="G89" s="104"/>
      <x:c r="H89" s="104"/>
      <x:c r="I89" s="104"/>
      <x:c r="J89" s="104"/>
      <x:c r="K89" s="104"/>
      <x:c r="L89" s="104"/>
      <x:c r="M89" s="104"/>
      <x:c r="N89" s="104"/>
      <x:c r="O89" s="104" t="n">
        <x:v>12</x:v>
      </x:c>
      <x:c r="P89" s="59" t="str">
        <x:v>local_aux</x:v>
      </x:c>
      <x:c r="Q89" s="59"/>
    </x:row>
    <x:row r="90">
      <x:c r="A90" s="68" t="n">
        <x:v>46353</x:v>
      </x:c>
      <x:c r="B90" s="59" t="str">
        <x:v>Chưa chạy</x:v>
      </x:c>
      <x:c r="C90" s="59"/>
      <x:c r="D90" s="98"/>
      <x:c r="E90" s="98"/>
      <x:c r="F90" s="101" t="str">
        <x:f>IF(AND(D90&lt;&gt;"",E90&lt;&gt;""),(E90-D90)*24,"")</x:f>
      </x:c>
      <x:c r="G90" s="104"/>
      <x:c r="H90" s="104"/>
      <x:c r="I90" s="104"/>
      <x:c r="J90" s="104"/>
      <x:c r="K90" s="104"/>
      <x:c r="L90" s="104"/>
      <x:c r="M90" s="104"/>
      <x:c r="N90" s="104"/>
      <x:c r="O90" s="104" t="n">
        <x:v>12</x:v>
      </x:c>
      <x:c r="P90" s="59" t="str">
        <x:v>local_aux</x:v>
      </x:c>
      <x:c r="Q90" s="59"/>
    </x:row>
    <x:row r="91">
      <x:c r="A91" s="68" t="n">
        <x:v>46354</x:v>
      </x:c>
      <x:c r="B91" s="59" t="str">
        <x:v>Chưa chạy</x:v>
      </x:c>
      <x:c r="C91" s="59"/>
      <x:c r="D91" s="98"/>
      <x:c r="E91" s="98"/>
      <x:c r="F91" s="101" t="str">
        <x:f>IF(AND(D91&lt;&gt;"",E91&lt;&gt;""),(E91-D91)*24,"")</x:f>
      </x:c>
      <x:c r="G91" s="104"/>
      <x:c r="H91" s="104"/>
      <x:c r="I91" s="104"/>
      <x:c r="J91" s="104"/>
      <x:c r="K91" s="104"/>
      <x:c r="L91" s="104"/>
      <x:c r="M91" s="104"/>
      <x:c r="N91" s="104"/>
      <x:c r="O91" s="104" t="n">
        <x:v>12</x:v>
      </x:c>
      <x:c r="P91" s="59" t="str">
        <x:v>local_aux</x:v>
      </x:c>
      <x:c r="Q91" s="59"/>
    </x:row>
    <x:row r="92">
      <x:c r="A92" s="68" t="n">
        <x:v>46355</x:v>
      </x:c>
      <x:c r="B92" s="59" t="str">
        <x:v>Chưa chạy</x:v>
      </x:c>
      <x:c r="C92" s="59"/>
      <x:c r="D92" s="98"/>
      <x:c r="E92" s="98"/>
      <x:c r="F92" s="101" t="str">
        <x:f>IF(AND(D92&lt;&gt;"",E92&lt;&gt;""),(E92-D92)*24,"")</x:f>
      </x:c>
      <x:c r="G92" s="104"/>
      <x:c r="H92" s="104"/>
      <x:c r="I92" s="104"/>
      <x:c r="J92" s="104"/>
      <x:c r="K92" s="104"/>
      <x:c r="L92" s="104"/>
      <x:c r="M92" s="104"/>
      <x:c r="N92" s="104"/>
      <x:c r="O92" s="104" t="n">
        <x:v>12</x:v>
      </x:c>
      <x:c r="P92" s="59" t="str">
        <x:v>local_aux</x:v>
      </x:c>
      <x:c r="Q92" s="59"/>
    </x:row>
    <x:row r="93">
      <x:c r="A93" s="69" t="n">
        <x:v>46356</x:v>
      </x:c>
      <x:c r="B93" s="63" t="str">
        <x:v>Chưa chạy</x:v>
      </x:c>
      <x:c r="C93" s="63"/>
      <x:c r="D93" s="99"/>
      <x:c r="E93" s="99"/>
      <x:c r="F93" s="102" t="str">
        <x:f>IF(AND(D93&lt;&gt;"",E93&lt;&gt;""),(E93-D93)*24,"")</x:f>
      </x:c>
      <x:c r="G93" s="105"/>
      <x:c r="H93" s="105"/>
      <x:c r="I93" s="105"/>
      <x:c r="J93" s="105"/>
      <x:c r="K93" s="105"/>
      <x:c r="L93" s="105"/>
      <x:c r="M93" s="105"/>
      <x:c r="N93" s="105"/>
      <x:c r="O93" s="105" t="n">
        <x:v>12</x:v>
      </x:c>
      <x:c r="P93" s="63" t="str">
        <x:v>local_aux</x:v>
      </x:c>
      <x:c r="Q93" s="63"/>
    </x:row>
  </x:sheetData>
  <x:mergeCells>
    <x:mergeCell ref="A1:Q1"/>
    <x:mergeCell ref="A2:Q2"/>
  </x:mergeCells>
  <x:conditionalFormatting sqref="B4:B93">
    <x:cfRule type="containsText" dxfId="0" priority="1" operator="containsText" text="Hoàn thành"/>
    <x:cfRule type="containsText" dxfId="1" priority="2" operator="containsText" text="Thất bại"/>
  </x:conditionalFormatting>
  <x:dataValidations count="1">
    <x:dataValidation type="list" sqref="B4:B93">
      <x:formula1>"Chưa chạy,Đang chạy,Hoàn thành,Hoàn thành có lỗi,Thất bại,Bỏ qua"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30" hidden="0" customWidth="1"/>
  </x:cols>
  <x:sheetData>
    <x:row r="1" ht="30" customHeight="1">
      <x:c r="A1" s="3" t="str">
        <x:v>LOCAL PRIMARY REFERENCE — 12 CHECK-IN DÙNG ĐỂ LOẠI TRÙNG</x:v>
      </x:c>
      <x:c r="B1" s="3" t="str">
        <x:v>LOCAL PRIMARY REFERENCE — 12 CHECK-IN DÙNG ĐỂ LOẠI TRÙNG</x:v>
      </x:c>
      <x:c r="C1" s="3" t="str">
        <x:v>LOCAL PRIMARY REFERENCE — 12 CHECK-IN DÙNG ĐỂ LOẠI TRÙNG</x:v>
      </x:c>
      <x:c r="D1" s="3" t="str">
        <x:v>LOCAL PRIMARY REFERENCE — 12 CHECK-IN DÙNG ĐỂ LOẠI TRÙNG</x:v>
      </x:c>
      <x:c r="E1" s="3" t="str">
        <x:v>LOCAL PRIMARY REFERENCE — 12 CHECK-IN DÙNG ĐỂ LOẠI TRÙNG</x:v>
      </x:c>
      <x:c r="F1" s="3" t="str">
        <x:v>LOCAL PRIMARY REFERENCE — 12 CHECK-IN DÙNG ĐỂ LOẠI TRÙNG</x:v>
      </x:c>
      <x:c r="G1" s="3" t="str">
        <x:v>LOCAL PRIMARY REFERENCE — 12 CHECK-IN DÙNG ĐỂ LOẠI TRÙNG</x:v>
      </x:c>
      <x:c r="H1" s="3" t="str">
        <x:v>LOCAL PRIMARY REFERENCE — 12 CHECK-IN DÙNG ĐỂ LOẠI TRÙNG</x:v>
      </x:c>
      <x:c r="I1" s="3" t="str">
        <x:v>LOCAL PRIMARY REFERENCE — 12 CHECK-IN DÙNG ĐỂ LOẠI TRÙNG</x:v>
      </x:c>
      <x:c r="J1" s="3" t="str">
        <x:v>LOCAL PRIMARY REFERENCE — 12 CHECK-IN DÙNG ĐỂ LOẠI TRÙNG</x:v>
      </x:c>
      <x:c r="K1" s="3" t="str">
        <x:v>LOCAL PRIMARY REFERENCE — 12 CHECK-IN DÙNG ĐỂ LOẠI TRÙNG</x:v>
      </x:c>
      <x:c r="L1" s="3" t="str">
        <x:v>LOCAL PRIMARY REFERENCE — 12 CHECK-IN DÙNG ĐỂ LOẠI TRÙNG</x:v>
      </x:c>
      <x:c r="M1" s="3" t="str">
        <x:v>LOCAL PRIMARY REFERENCE — 12 CHECK-IN DÙNG ĐỂ LOẠI TRÙNG</x:v>
      </x:c>
      <x:c r="N1" s="3" t="str">
        <x:v>LOCAL PRIMARY REFERENCE — 12 CHECK-IN DÙNG ĐỂ LOẠI TRÙNG</x:v>
      </x:c>
      <x:c r="O1" s="3" t="str">
        <x:v>LOCAL PRIMARY REFERENCE — 12 CHECK-IN DÙNG ĐỂ LOẠI TRÙNG</x:v>
      </x:c>
      <x:c r="P1" s="3" t="str">
        <x:v>LOCAL PRIMARY REFERENCE — 12 CHECK-IN DÙNG ĐỂ LOẠI TRÙNG</x:v>
      </x:c>
    </x:row>
    <x:row r="2">
      <x:c r="A2" s="35" t="str">
        <x:v>Nguồn: D:/MSE/CAPSTONE/outputs/crawl-data-planner-20260816/crawl_sampling_master.xlsx. Snapshot 02/09–30/11/2026; không sửa bằng tay.</x:v>
      </x:c>
      <x:c r="B2" s="35" t="str">
        <x:v>Nguồn: D:/MSE/CAPSTONE/outputs/crawl-data-planner-20260816/crawl_sampling_master.xlsx. Snapshot 02/09–30/11/2026; không sửa bằng tay.</x:v>
      </x:c>
      <x:c r="C2" s="35" t="str">
        <x:v>Nguồn: D:/MSE/CAPSTONE/outputs/crawl-data-planner-20260816/crawl_sampling_master.xlsx. Snapshot 02/09–30/11/2026; không sửa bằng tay.</x:v>
      </x:c>
      <x:c r="D2" s="35" t="str">
        <x:v>Nguồn: D:/MSE/CAPSTONE/outputs/crawl-data-planner-20260816/crawl_sampling_master.xlsx. Snapshot 02/09–30/11/2026; không sửa bằng tay.</x:v>
      </x:c>
      <x:c r="E2" s="35" t="str">
        <x:v>Nguồn: D:/MSE/CAPSTONE/outputs/crawl-data-planner-20260816/crawl_sampling_master.xlsx. Snapshot 02/09–30/11/2026; không sửa bằng tay.</x:v>
      </x:c>
      <x:c r="F2" s="35" t="str">
        <x:v>Nguồn: D:/MSE/CAPSTONE/outputs/crawl-data-planner-20260816/crawl_sampling_master.xlsx. Snapshot 02/09–30/11/2026; không sửa bằng tay.</x:v>
      </x:c>
      <x:c r="G2" s="35" t="str">
        <x:v>Nguồn: D:/MSE/CAPSTONE/outputs/crawl-data-planner-20260816/crawl_sampling_master.xlsx. Snapshot 02/09–30/11/2026; không sửa bằng tay.</x:v>
      </x:c>
      <x:c r="H2" s="35" t="str">
        <x:v>Nguồn: D:/MSE/CAPSTONE/outputs/crawl-data-planner-20260816/crawl_sampling_master.xlsx. Snapshot 02/09–30/11/2026; không sửa bằng tay.</x:v>
      </x:c>
      <x:c r="I2" s="35" t="str">
        <x:v>Nguồn: D:/MSE/CAPSTONE/outputs/crawl-data-planner-20260816/crawl_sampling_master.xlsx. Snapshot 02/09–30/11/2026; không sửa bằng tay.</x:v>
      </x:c>
      <x:c r="J2" s="35" t="str">
        <x:v>Nguồn: D:/MSE/CAPSTONE/outputs/crawl-data-planner-20260816/crawl_sampling_master.xlsx. Snapshot 02/09–30/11/2026; không sửa bằng tay.</x:v>
      </x:c>
      <x:c r="K2" s="35" t="str">
        <x:v>Nguồn: D:/MSE/CAPSTONE/outputs/crawl-data-planner-20260816/crawl_sampling_master.xlsx. Snapshot 02/09–30/11/2026; không sửa bằng tay.</x:v>
      </x:c>
      <x:c r="L2" s="35" t="str">
        <x:v>Nguồn: D:/MSE/CAPSTONE/outputs/crawl-data-planner-20260816/crawl_sampling_master.xlsx. Snapshot 02/09–30/11/2026; không sửa bằng tay.</x:v>
      </x:c>
      <x:c r="M2" s="35" t="str">
        <x:v>Nguồn: D:/MSE/CAPSTONE/outputs/crawl-data-planner-20260816/crawl_sampling_master.xlsx. Snapshot 02/09–30/11/2026; không sửa bằng tay.</x:v>
      </x:c>
      <x:c r="N2" s="35" t="str">
        <x:v>Nguồn: D:/MSE/CAPSTONE/outputs/crawl-data-planner-20260816/crawl_sampling_master.xlsx. Snapshot 02/09–30/11/2026; không sửa bằng tay.</x:v>
      </x:c>
      <x:c r="O2" s="35" t="str">
        <x:v>Nguồn: D:/MSE/CAPSTONE/outputs/crawl-data-planner-20260816/crawl_sampling_master.xlsx. Snapshot 02/09–30/11/2026; không sửa bằng tay.</x:v>
      </x:c>
      <x:c r="P2" s="35" t="str">
        <x:v>Nguồn: D:/MSE/CAPSTONE/outputs/crawl-data-planner-20260816/crawl_sampling_master.xlsx. Snapshot 02/09–30/11/2026; không sửa bằng tay.</x:v>
      </x:c>
    </x:row>
    <x:row r="3" ht="30" customHeight="1">
      <x:c r="A3" s="9" t="str">
        <x:v>Crawl date</x:v>
      </x:c>
      <x:c r="B3" s="9" t="str">
        <x:v>Thứ</x:v>
      </x:c>
      <x:c r="C3" s="9" t="str">
        <x:v>Start time</x:v>
      </x:c>
      <x:c r="D3" s="9" t="str">
        <x:v>N1</x:v>
      </x:c>
      <x:c r="E3" s="9" t="str">
        <x:v>N2</x:v>
      </x:c>
      <x:c r="F3" s="9" t="str">
        <x:v>N3</x:v>
      </x:c>
      <x:c r="G3" s="9" t="str">
        <x:v>N4</x:v>
      </x:c>
      <x:c r="H3" s="9" t="str">
        <x:v>N5</x:v>
      </x:c>
      <x:c r="I3" s="9" t="str">
        <x:v>N6</x:v>
      </x:c>
      <x:c r="J3" s="9" t="str">
        <x:v>N7</x:v>
      </x:c>
      <x:c r="K3" s="9" t="str">
        <x:v>N8</x:v>
      </x:c>
      <x:c r="L3" s="9" t="str">
        <x:v>N9</x:v>
      </x:c>
      <x:c r="M3" s="9" t="str">
        <x:v>F1</x:v>
      </x:c>
      <x:c r="N3" s="9" t="str">
        <x:v>F2</x:v>
      </x:c>
      <x:c r="O3" s="9" t="str">
        <x:v>F3</x:v>
      </x:c>
      <x:c r="P3" s="9" t="str">
        <x:v>Source file</x:v>
      </x:c>
    </x:row>
    <x:row r="4">
      <x:c r="A4" s="67" t="n">
        <x:v>46267</x:v>
      </x:c>
      <x:c r="B4" s="55" t="str">
        <x:v>Thứ Tư</x:v>
      </x:c>
      <x:c r="C4" s="55" t="str">
        <x:v>00:30</x:v>
      </x:c>
      <x:c r="D4" s="67" t="n">
        <x:v>46282</x:v>
      </x:c>
      <x:c r="E4" s="67" t="n">
        <x:v>46284</x:v>
      </x:c>
      <x:c r="F4" s="67" t="n">
        <x:v>46287</x:v>
      </x:c>
      <x:c r="G4" s="67" t="n">
        <x:v>46291</x:v>
      </x:c>
      <x:c r="H4" s="67" t="n">
        <x:v>46267</x:v>
      </x:c>
      <x:c r="I4" s="67" t="n">
        <x:v>46271</x:v>
      </x:c>
      <x:c r="J4" s="67" t="n">
        <x:v>46274</x:v>
      </x:c>
      <x:c r="K4" s="67" t="n">
        <x:v>46277</x:v>
      </x:c>
      <x:c r="L4" s="67" t="n">
        <x:v>46279</x:v>
      </x:c>
      <x:c r="M4" s="67" t="n">
        <x:v>46306</x:v>
      </x:c>
      <x:c r="N4" s="67" t="n">
        <x:v>46344</x:v>
      </x:c>
      <x:c r="O4" s="67" t="n">
        <x:v>46388</x:v>
      </x:c>
      <x:c r="P4" s="55" t="str">
        <x:v>crawl_sampling_master.xlsx</x:v>
      </x:c>
    </x:row>
    <x:row r="5">
      <x:c r="A5" s="68" t="n">
        <x:v>46268</x:v>
      </x:c>
      <x:c r="B5" s="59" t="str">
        <x:v>Thứ Năm</x:v>
      </x:c>
      <x:c r="C5" s="59" t="str">
        <x:v>00:30</x:v>
      </x:c>
      <x:c r="D5" s="68" t="n">
        <x:v>46282</x:v>
      </x:c>
      <x:c r="E5" s="68" t="n">
        <x:v>46284</x:v>
      </x:c>
      <x:c r="F5" s="68" t="n">
        <x:v>46287</x:v>
      </x:c>
      <x:c r="G5" s="68" t="n">
        <x:v>46291</x:v>
      </x:c>
      <x:c r="H5" s="68" t="n">
        <x:v>46295</x:v>
      </x:c>
      <x:c r="I5" s="68" t="n">
        <x:v>46271</x:v>
      </x:c>
      <x:c r="J5" s="68" t="n">
        <x:v>46274</x:v>
      </x:c>
      <x:c r="K5" s="68" t="n">
        <x:v>46277</x:v>
      </x:c>
      <x:c r="L5" s="68" t="n">
        <x:v>46279</x:v>
      </x:c>
      <x:c r="M5" s="68" t="n">
        <x:v>46306</x:v>
      </x:c>
      <x:c r="N5" s="68" t="n">
        <x:v>46344</x:v>
      </x:c>
      <x:c r="O5" s="68" t="n">
        <x:v>46388</x:v>
      </x:c>
      <x:c r="P5" s="59" t="str">
        <x:v>crawl_sampling_master.xlsx</x:v>
      </x:c>
    </x:row>
    <x:row r="6">
      <x:c r="A6" s="68" t="n">
        <x:v>46269</x:v>
      </x:c>
      <x:c r="B6" s="59" t="str">
        <x:v>Thứ Sáu</x:v>
      </x:c>
      <x:c r="C6" s="59" t="str">
        <x:v>00:30</x:v>
      </x:c>
      <x:c r="D6" s="68" t="n">
        <x:v>46282</x:v>
      </x:c>
      <x:c r="E6" s="68" t="n">
        <x:v>46284</x:v>
      </x:c>
      <x:c r="F6" s="68" t="n">
        <x:v>46287</x:v>
      </x:c>
      <x:c r="G6" s="68" t="n">
        <x:v>46291</x:v>
      </x:c>
      <x:c r="H6" s="68" t="n">
        <x:v>46295</x:v>
      </x:c>
      <x:c r="I6" s="68" t="n">
        <x:v>46271</x:v>
      </x:c>
      <x:c r="J6" s="68" t="n">
        <x:v>46274</x:v>
      </x:c>
      <x:c r="K6" s="68" t="n">
        <x:v>46277</x:v>
      </x:c>
      <x:c r="L6" s="68" t="n">
        <x:v>46279</x:v>
      </x:c>
      <x:c r="M6" s="68" t="n">
        <x:v>46306</x:v>
      </x:c>
      <x:c r="N6" s="68" t="n">
        <x:v>46344</x:v>
      </x:c>
      <x:c r="O6" s="68" t="n">
        <x:v>46388</x:v>
      </x:c>
      <x:c r="P6" s="59" t="str">
        <x:v>crawl_sampling_master.xlsx</x:v>
      </x:c>
    </x:row>
    <x:row r="7">
      <x:c r="A7" s="68" t="n">
        <x:v>46270</x:v>
      </x:c>
      <x:c r="B7" s="59" t="str">
        <x:v>Thứ Bảy</x:v>
      </x:c>
      <x:c r="C7" s="59" t="str">
        <x:v>00:30</x:v>
      </x:c>
      <x:c r="D7" s="68" t="n">
        <x:v>46282</x:v>
      </x:c>
      <x:c r="E7" s="68" t="n">
        <x:v>46284</x:v>
      </x:c>
      <x:c r="F7" s="68" t="n">
        <x:v>46287</x:v>
      </x:c>
      <x:c r="G7" s="68" t="n">
        <x:v>46291</x:v>
      </x:c>
      <x:c r="H7" s="68" t="n">
        <x:v>46295</x:v>
      </x:c>
      <x:c r="I7" s="68" t="n">
        <x:v>46271</x:v>
      </x:c>
      <x:c r="J7" s="68" t="n">
        <x:v>46274</x:v>
      </x:c>
      <x:c r="K7" s="68" t="n">
        <x:v>46277</x:v>
      </x:c>
      <x:c r="L7" s="68" t="n">
        <x:v>46279</x:v>
      </x:c>
      <x:c r="M7" s="68" t="n">
        <x:v>46306</x:v>
      </x:c>
      <x:c r="N7" s="68" t="n">
        <x:v>46344</x:v>
      </x:c>
      <x:c r="O7" s="68" t="n">
        <x:v>46388</x:v>
      </x:c>
      <x:c r="P7" s="59" t="str">
        <x:v>crawl_sampling_master.xlsx</x:v>
      </x:c>
    </x:row>
    <x:row r="8">
      <x:c r="A8" s="68" t="n">
        <x:v>46271</x:v>
      </x:c>
      <x:c r="B8" s="59" t="str">
        <x:v>Chủ Nhật</x:v>
      </x:c>
      <x:c r="C8" s="59" t="str">
        <x:v>00:30</x:v>
      </x:c>
      <x:c r="D8" s="68" t="n">
        <x:v>46282</x:v>
      </x:c>
      <x:c r="E8" s="68" t="n">
        <x:v>46284</x:v>
      </x:c>
      <x:c r="F8" s="68" t="n">
        <x:v>46287</x:v>
      </x:c>
      <x:c r="G8" s="68" t="n">
        <x:v>46291</x:v>
      </x:c>
      <x:c r="H8" s="68" t="n">
        <x:v>46295</x:v>
      </x:c>
      <x:c r="I8" s="68" t="n">
        <x:v>46271</x:v>
      </x:c>
      <x:c r="J8" s="68" t="n">
        <x:v>46274</x:v>
      </x:c>
      <x:c r="K8" s="68" t="n">
        <x:v>46277</x:v>
      </x:c>
      <x:c r="L8" s="68" t="n">
        <x:v>46279</x:v>
      </x:c>
      <x:c r="M8" s="68" t="n">
        <x:v>46306</x:v>
      </x:c>
      <x:c r="N8" s="68" t="n">
        <x:v>46344</x:v>
      </x:c>
      <x:c r="O8" s="68" t="n">
        <x:v>46388</x:v>
      </x:c>
      <x:c r="P8" s="59" t="str">
        <x:v>crawl_sampling_master.xlsx</x:v>
      </x:c>
    </x:row>
    <x:row r="9">
      <x:c r="A9" s="68" t="n">
        <x:v>46272</x:v>
      </x:c>
      <x:c r="B9" s="59" t="str">
        <x:v>Thứ Hai</x:v>
      </x:c>
      <x:c r="C9" s="59" t="str">
        <x:v>00:30</x:v>
      </x:c>
      <x:c r="D9" s="68" t="n">
        <x:v>46282</x:v>
      </x:c>
      <x:c r="E9" s="68" t="n">
        <x:v>46284</x:v>
      </x:c>
      <x:c r="F9" s="68" t="n">
        <x:v>46287</x:v>
      </x:c>
      <x:c r="G9" s="68" t="n">
        <x:v>46291</x:v>
      </x:c>
      <x:c r="H9" s="68" t="n">
        <x:v>46295</x:v>
      </x:c>
      <x:c r="I9" s="68" t="n">
        <x:v>46299</x:v>
      </x:c>
      <x:c r="J9" s="68" t="n">
        <x:v>46274</x:v>
      </x:c>
      <x:c r="K9" s="68" t="n">
        <x:v>46277</x:v>
      </x:c>
      <x:c r="L9" s="68" t="n">
        <x:v>46279</x:v>
      </x:c>
      <x:c r="M9" s="68" t="n">
        <x:v>46306</x:v>
      </x:c>
      <x:c r="N9" s="68" t="n">
        <x:v>46344</x:v>
      </x:c>
      <x:c r="O9" s="68" t="n">
        <x:v>46388</x:v>
      </x:c>
      <x:c r="P9" s="59" t="str">
        <x:v>crawl_sampling_master.xlsx</x:v>
      </x:c>
    </x:row>
    <x:row r="10">
      <x:c r="A10" s="68" t="n">
        <x:v>46273</x:v>
      </x:c>
      <x:c r="B10" s="59" t="str">
        <x:v>Thứ Ba</x:v>
      </x:c>
      <x:c r="C10" s="59" t="str">
        <x:v>00:30</x:v>
      </x:c>
      <x:c r="D10" s="68" t="n">
        <x:v>46282</x:v>
      </x:c>
      <x:c r="E10" s="68" t="n">
        <x:v>46284</x:v>
      </x:c>
      <x:c r="F10" s="68" t="n">
        <x:v>46287</x:v>
      </x:c>
      <x:c r="G10" s="68" t="n">
        <x:v>46291</x:v>
      </x:c>
      <x:c r="H10" s="68" t="n">
        <x:v>46295</x:v>
      </x:c>
      <x:c r="I10" s="68" t="n">
        <x:v>46299</x:v>
      </x:c>
      <x:c r="J10" s="68" t="n">
        <x:v>46274</x:v>
      </x:c>
      <x:c r="K10" s="68" t="n">
        <x:v>46277</x:v>
      </x:c>
      <x:c r="L10" s="68" t="n">
        <x:v>46279</x:v>
      </x:c>
      <x:c r="M10" s="68" t="n">
        <x:v>46306</x:v>
      </x:c>
      <x:c r="N10" s="68" t="n">
        <x:v>46344</x:v>
      </x:c>
      <x:c r="O10" s="68" t="n">
        <x:v>46388</x:v>
      </x:c>
      <x:c r="P10" s="59" t="str">
        <x:v>crawl_sampling_master.xlsx</x:v>
      </x:c>
    </x:row>
    <x:row r="11">
      <x:c r="A11" s="68" t="n">
        <x:v>46274</x:v>
      </x:c>
      <x:c r="B11" s="59" t="str">
        <x:v>Thứ Tư</x:v>
      </x:c>
      <x:c r="C11" s="59" t="str">
        <x:v>00:30</x:v>
      </x:c>
      <x:c r="D11" s="68" t="n">
        <x:v>46282</x:v>
      </x:c>
      <x:c r="E11" s="68" t="n">
        <x:v>46284</x:v>
      </x:c>
      <x:c r="F11" s="68" t="n">
        <x:v>46287</x:v>
      </x:c>
      <x:c r="G11" s="68" t="n">
        <x:v>46291</x:v>
      </x:c>
      <x:c r="H11" s="68" t="n">
        <x:v>46295</x:v>
      </x:c>
      <x:c r="I11" s="68" t="n">
        <x:v>46299</x:v>
      </x:c>
      <x:c r="J11" s="68" t="n">
        <x:v>46274</x:v>
      </x:c>
      <x:c r="K11" s="68" t="n">
        <x:v>46277</x:v>
      </x:c>
      <x:c r="L11" s="68" t="n">
        <x:v>46279</x:v>
      </x:c>
      <x:c r="M11" s="68" t="n">
        <x:v>46306</x:v>
      </x:c>
      <x:c r="N11" s="68" t="n">
        <x:v>46344</x:v>
      </x:c>
      <x:c r="O11" s="68" t="n">
        <x:v>46388</x:v>
      </x:c>
      <x:c r="P11" s="59" t="str">
        <x:v>crawl_sampling_master.xlsx</x:v>
      </x:c>
    </x:row>
    <x:row r="12">
      <x:c r="A12" s="68" t="n">
        <x:v>46275</x:v>
      </x:c>
      <x:c r="B12" s="59" t="str">
        <x:v>Thứ Năm</x:v>
      </x:c>
      <x:c r="C12" s="59" t="str">
        <x:v>00:30</x:v>
      </x:c>
      <x:c r="D12" s="68" t="n">
        <x:v>46282</x:v>
      </x:c>
      <x:c r="E12" s="68" t="n">
        <x:v>46284</x:v>
      </x:c>
      <x:c r="F12" s="68" t="n">
        <x:v>46287</x:v>
      </x:c>
      <x:c r="G12" s="68" t="n">
        <x:v>46291</x:v>
      </x:c>
      <x:c r="H12" s="68" t="n">
        <x:v>46295</x:v>
      </x:c>
      <x:c r="I12" s="68" t="n">
        <x:v>46299</x:v>
      </x:c>
      <x:c r="J12" s="68" t="n">
        <x:v>46302</x:v>
      </x:c>
      <x:c r="K12" s="68" t="n">
        <x:v>46277</x:v>
      </x:c>
      <x:c r="L12" s="68" t="n">
        <x:v>46279</x:v>
      </x:c>
      <x:c r="M12" s="68" t="n">
        <x:v>46306</x:v>
      </x:c>
      <x:c r="N12" s="68" t="n">
        <x:v>46344</x:v>
      </x:c>
      <x:c r="O12" s="68" t="n">
        <x:v>46388</x:v>
      </x:c>
      <x:c r="P12" s="59" t="str">
        <x:v>crawl_sampling_master.xlsx</x:v>
      </x:c>
    </x:row>
    <x:row r="13">
      <x:c r="A13" s="68" t="n">
        <x:v>46276</x:v>
      </x:c>
      <x:c r="B13" s="59" t="str">
        <x:v>Thứ Sáu</x:v>
      </x:c>
      <x:c r="C13" s="59" t="str">
        <x:v>00:30</x:v>
      </x:c>
      <x:c r="D13" s="68" t="n">
        <x:v>46282</x:v>
      </x:c>
      <x:c r="E13" s="68" t="n">
        <x:v>46284</x:v>
      </x:c>
      <x:c r="F13" s="68" t="n">
        <x:v>46287</x:v>
      </x:c>
      <x:c r="G13" s="68" t="n">
        <x:v>46291</x:v>
      </x:c>
      <x:c r="H13" s="68" t="n">
        <x:v>46295</x:v>
      </x:c>
      <x:c r="I13" s="68" t="n">
        <x:v>46299</x:v>
      </x:c>
      <x:c r="J13" s="68" t="n">
        <x:v>46302</x:v>
      </x:c>
      <x:c r="K13" s="68" t="n">
        <x:v>46277</x:v>
      </x:c>
      <x:c r="L13" s="68" t="n">
        <x:v>46279</x:v>
      </x:c>
      <x:c r="M13" s="68" t="n">
        <x:v>46306</x:v>
      </x:c>
      <x:c r="N13" s="68" t="n">
        <x:v>46344</x:v>
      </x:c>
      <x:c r="O13" s="68" t="n">
        <x:v>46388</x:v>
      </x:c>
      <x:c r="P13" s="59" t="str">
        <x:v>crawl_sampling_master.xlsx</x:v>
      </x:c>
    </x:row>
    <x:row r="14">
      <x:c r="A14" s="68" t="n">
        <x:v>46277</x:v>
      </x:c>
      <x:c r="B14" s="59" t="str">
        <x:v>Thứ Bảy</x:v>
      </x:c>
      <x:c r="C14" s="59" t="str">
        <x:v>00:30</x:v>
      </x:c>
      <x:c r="D14" s="68" t="n">
        <x:v>46282</x:v>
      </x:c>
      <x:c r="E14" s="68" t="n">
        <x:v>46284</x:v>
      </x:c>
      <x:c r="F14" s="68" t="n">
        <x:v>46287</x:v>
      </x:c>
      <x:c r="G14" s="68" t="n">
        <x:v>46291</x:v>
      </x:c>
      <x:c r="H14" s="68" t="n">
        <x:v>46295</x:v>
      </x:c>
      <x:c r="I14" s="68" t="n">
        <x:v>46299</x:v>
      </x:c>
      <x:c r="J14" s="68" t="n">
        <x:v>46302</x:v>
      </x:c>
      <x:c r="K14" s="68" t="n">
        <x:v>46277</x:v>
      </x:c>
      <x:c r="L14" s="68" t="n">
        <x:v>46279</x:v>
      </x:c>
      <x:c r="M14" s="68" t="n">
        <x:v>46306</x:v>
      </x:c>
      <x:c r="N14" s="68" t="n">
        <x:v>46344</x:v>
      </x:c>
      <x:c r="O14" s="68" t="n">
        <x:v>46388</x:v>
      </x:c>
      <x:c r="P14" s="59" t="str">
        <x:v>crawl_sampling_master.xlsx</x:v>
      </x:c>
    </x:row>
    <x:row r="15">
      <x:c r="A15" s="68" t="n">
        <x:v>46278</x:v>
      </x:c>
      <x:c r="B15" s="59" t="str">
        <x:v>Chủ Nhật</x:v>
      </x:c>
      <x:c r="C15" s="59" t="str">
        <x:v>00:30</x:v>
      </x:c>
      <x:c r="D15" s="68" t="n">
        <x:v>46282</x:v>
      </x:c>
      <x:c r="E15" s="68" t="n">
        <x:v>46284</x:v>
      </x:c>
      <x:c r="F15" s="68" t="n">
        <x:v>46287</x:v>
      </x:c>
      <x:c r="G15" s="68" t="n">
        <x:v>46291</x:v>
      </x:c>
      <x:c r="H15" s="68" t="n">
        <x:v>46295</x:v>
      </x:c>
      <x:c r="I15" s="68" t="n">
        <x:v>46299</x:v>
      </x:c>
      <x:c r="J15" s="68" t="n">
        <x:v>46302</x:v>
      </x:c>
      <x:c r="K15" s="68" t="n">
        <x:v>46305</x:v>
      </x:c>
      <x:c r="L15" s="68" t="n">
        <x:v>46279</x:v>
      </x:c>
      <x:c r="M15" s="68" t="n">
        <x:v>46306</x:v>
      </x:c>
      <x:c r="N15" s="68" t="n">
        <x:v>46344</x:v>
      </x:c>
      <x:c r="O15" s="68" t="n">
        <x:v>46388</x:v>
      </x:c>
      <x:c r="P15" s="59" t="str">
        <x:v>crawl_sampling_master.xlsx</x:v>
      </x:c>
    </x:row>
    <x:row r="16">
      <x:c r="A16" s="68" t="n">
        <x:v>46279</x:v>
      </x:c>
      <x:c r="B16" s="59" t="str">
        <x:v>Thứ Hai</x:v>
      </x:c>
      <x:c r="C16" s="59" t="str">
        <x:v>00:30</x:v>
      </x:c>
      <x:c r="D16" s="68" t="n">
        <x:v>46282</x:v>
      </x:c>
      <x:c r="E16" s="68" t="n">
        <x:v>46284</x:v>
      </x:c>
      <x:c r="F16" s="68" t="n">
        <x:v>46287</x:v>
      </x:c>
      <x:c r="G16" s="68" t="n">
        <x:v>46291</x:v>
      </x:c>
      <x:c r="H16" s="68" t="n">
        <x:v>46295</x:v>
      </x:c>
      <x:c r="I16" s="68" t="n">
        <x:v>46299</x:v>
      </x:c>
      <x:c r="J16" s="68" t="n">
        <x:v>46302</x:v>
      </x:c>
      <x:c r="K16" s="68" t="n">
        <x:v>46305</x:v>
      </x:c>
      <x:c r="L16" s="68" t="n">
        <x:v>46279</x:v>
      </x:c>
      <x:c r="M16" s="68" t="n">
        <x:v>46306</x:v>
      </x:c>
      <x:c r="N16" s="68" t="n">
        <x:v>46344</x:v>
      </x:c>
      <x:c r="O16" s="68" t="n">
        <x:v>46388</x:v>
      </x:c>
      <x:c r="P16" s="59" t="str">
        <x:v>crawl_sampling_master.xlsx</x:v>
      </x:c>
    </x:row>
    <x:row r="17">
      <x:c r="A17" s="68" t="n">
        <x:v>46280</x:v>
      </x:c>
      <x:c r="B17" s="59" t="str">
        <x:v>Thứ Ba</x:v>
      </x:c>
      <x:c r="C17" s="59" t="str">
        <x:v>00:30</x:v>
      </x:c>
      <x:c r="D17" s="68" t="n">
        <x:v>46282</x:v>
      </x:c>
      <x:c r="E17" s="68" t="n">
        <x:v>46284</x:v>
      </x:c>
      <x:c r="F17" s="68" t="n">
        <x:v>46287</x:v>
      </x:c>
      <x:c r="G17" s="68" t="n">
        <x:v>46291</x:v>
      </x:c>
      <x:c r="H17" s="68" t="n">
        <x:v>46295</x:v>
      </x:c>
      <x:c r="I17" s="68" t="n">
        <x:v>46299</x:v>
      </x:c>
      <x:c r="J17" s="68" t="n">
        <x:v>46302</x:v>
      </x:c>
      <x:c r="K17" s="68" t="n">
        <x:v>46305</x:v>
      </x:c>
      <x:c r="L17" s="68" t="n">
        <x:v>46307</x:v>
      </x:c>
      <x:c r="M17" s="68" t="n">
        <x:v>46306</x:v>
      </x:c>
      <x:c r="N17" s="68" t="n">
        <x:v>46344</x:v>
      </x:c>
      <x:c r="O17" s="68" t="n">
        <x:v>46388</x:v>
      </x:c>
      <x:c r="P17" s="59" t="str">
        <x:v>crawl_sampling_master.xlsx</x:v>
      </x:c>
    </x:row>
    <x:row r="18">
      <x:c r="A18" s="68" t="n">
        <x:v>46281</x:v>
      </x:c>
      <x:c r="B18" s="59" t="str">
        <x:v>Thứ Tư</x:v>
      </x:c>
      <x:c r="C18" s="59" t="str">
        <x:v>00:30</x:v>
      </x:c>
      <x:c r="D18" s="68" t="n">
        <x:v>46282</x:v>
      </x:c>
      <x:c r="E18" s="68" t="n">
        <x:v>46284</x:v>
      </x:c>
      <x:c r="F18" s="68" t="n">
        <x:v>46287</x:v>
      </x:c>
      <x:c r="G18" s="68" t="n">
        <x:v>46291</x:v>
      </x:c>
      <x:c r="H18" s="68" t="n">
        <x:v>46295</x:v>
      </x:c>
      <x:c r="I18" s="68" t="n">
        <x:v>46299</x:v>
      </x:c>
      <x:c r="J18" s="68" t="n">
        <x:v>46302</x:v>
      </x:c>
      <x:c r="K18" s="68" t="n">
        <x:v>46305</x:v>
      </x:c>
      <x:c r="L18" s="68" t="n">
        <x:v>46307</x:v>
      </x:c>
      <x:c r="M18" s="68" t="n">
        <x:v>46306</x:v>
      </x:c>
      <x:c r="N18" s="68" t="n">
        <x:v>46344</x:v>
      </x:c>
      <x:c r="O18" s="68" t="n">
        <x:v>46388</x:v>
      </x:c>
      <x:c r="P18" s="59" t="str">
        <x:v>crawl_sampling_master.xlsx</x:v>
      </x:c>
    </x:row>
    <x:row r="19">
      <x:c r="A19" s="68" t="n">
        <x:v>46282</x:v>
      </x:c>
      <x:c r="B19" s="59" t="str">
        <x:v>Thứ Năm</x:v>
      </x:c>
      <x:c r="C19" s="59" t="str">
        <x:v>00:30</x:v>
      </x:c>
      <x:c r="D19" s="68" t="n">
        <x:v>46282</x:v>
      </x:c>
      <x:c r="E19" s="68" t="n">
        <x:v>46284</x:v>
      </x:c>
      <x:c r="F19" s="68" t="n">
        <x:v>46287</x:v>
      </x:c>
      <x:c r="G19" s="68" t="n">
        <x:v>46291</x:v>
      </x:c>
      <x:c r="H19" s="68" t="n">
        <x:v>46295</x:v>
      </x:c>
      <x:c r="I19" s="68" t="n">
        <x:v>46299</x:v>
      </x:c>
      <x:c r="J19" s="68" t="n">
        <x:v>46302</x:v>
      </x:c>
      <x:c r="K19" s="68" t="n">
        <x:v>46305</x:v>
      </x:c>
      <x:c r="L19" s="68" t="n">
        <x:v>46307</x:v>
      </x:c>
      <x:c r="M19" s="68" t="n">
        <x:v>46306</x:v>
      </x:c>
      <x:c r="N19" s="68" t="n">
        <x:v>46344</x:v>
      </x:c>
      <x:c r="O19" s="68" t="n">
        <x:v>46388</x:v>
      </x:c>
      <x:c r="P19" s="59" t="str">
        <x:v>crawl_sampling_master.xlsx</x:v>
      </x:c>
    </x:row>
    <x:row r="20">
      <x:c r="A20" s="68" t="n">
        <x:v>46283</x:v>
      </x:c>
      <x:c r="B20" s="59" t="str">
        <x:v>Thứ Sáu</x:v>
      </x:c>
      <x:c r="C20" s="59" t="str">
        <x:v>00:30</x:v>
      </x:c>
      <x:c r="D20" s="68" t="n">
        <x:v>46310</x:v>
      </x:c>
      <x:c r="E20" s="68" t="n">
        <x:v>46284</x:v>
      </x:c>
      <x:c r="F20" s="68" t="n">
        <x:v>46287</x:v>
      </x:c>
      <x:c r="G20" s="68" t="n">
        <x:v>46291</x:v>
      </x:c>
      <x:c r="H20" s="68" t="n">
        <x:v>46295</x:v>
      </x:c>
      <x:c r="I20" s="68" t="n">
        <x:v>46299</x:v>
      </x:c>
      <x:c r="J20" s="68" t="n">
        <x:v>46302</x:v>
      </x:c>
      <x:c r="K20" s="68" t="n">
        <x:v>46305</x:v>
      </x:c>
      <x:c r="L20" s="68" t="n">
        <x:v>46307</x:v>
      </x:c>
      <x:c r="M20" s="68" t="n">
        <x:v>46306</x:v>
      </x:c>
      <x:c r="N20" s="68" t="n">
        <x:v>46344</x:v>
      </x:c>
      <x:c r="O20" s="68" t="n">
        <x:v>46388</x:v>
      </x:c>
      <x:c r="P20" s="59" t="str">
        <x:v>crawl_sampling_master.xlsx</x:v>
      </x:c>
    </x:row>
    <x:row r="21">
      <x:c r="A21" s="68" t="n">
        <x:v>46284</x:v>
      </x:c>
      <x:c r="B21" s="59" t="str">
        <x:v>Thứ Bảy</x:v>
      </x:c>
      <x:c r="C21" s="59" t="str">
        <x:v>00:30</x:v>
      </x:c>
      <x:c r="D21" s="68" t="n">
        <x:v>46310</x:v>
      </x:c>
      <x:c r="E21" s="68" t="n">
        <x:v>46284</x:v>
      </x:c>
      <x:c r="F21" s="68" t="n">
        <x:v>46287</x:v>
      </x:c>
      <x:c r="G21" s="68" t="n">
        <x:v>46291</x:v>
      </x:c>
      <x:c r="H21" s="68" t="n">
        <x:v>46295</x:v>
      </x:c>
      <x:c r="I21" s="68" t="n">
        <x:v>46299</x:v>
      </x:c>
      <x:c r="J21" s="68" t="n">
        <x:v>46302</x:v>
      </x:c>
      <x:c r="K21" s="68" t="n">
        <x:v>46305</x:v>
      </x:c>
      <x:c r="L21" s="68" t="n">
        <x:v>46307</x:v>
      </x:c>
      <x:c r="M21" s="68" t="n">
        <x:v>46306</x:v>
      </x:c>
      <x:c r="N21" s="68" t="n">
        <x:v>46344</x:v>
      </x:c>
      <x:c r="O21" s="68" t="n">
        <x:v>46388</x:v>
      </x:c>
      <x:c r="P21" s="59" t="str">
        <x:v>crawl_sampling_master.xlsx</x:v>
      </x:c>
    </x:row>
    <x:row r="22">
      <x:c r="A22" s="68" t="n">
        <x:v>46285</x:v>
      </x:c>
      <x:c r="B22" s="59" t="str">
        <x:v>Chủ Nhật</x:v>
      </x:c>
      <x:c r="C22" s="59" t="str">
        <x:v>00:30</x:v>
      </x:c>
      <x:c r="D22" s="68" t="n">
        <x:v>46310</x:v>
      </x:c>
      <x:c r="E22" s="68" t="n">
        <x:v>46312</x:v>
      </x:c>
      <x:c r="F22" s="68" t="n">
        <x:v>46287</x:v>
      </x:c>
      <x:c r="G22" s="68" t="n">
        <x:v>46291</x:v>
      </x:c>
      <x:c r="H22" s="68" t="n">
        <x:v>46295</x:v>
      </x:c>
      <x:c r="I22" s="68" t="n">
        <x:v>46299</x:v>
      </x:c>
      <x:c r="J22" s="68" t="n">
        <x:v>46302</x:v>
      </x:c>
      <x:c r="K22" s="68" t="n">
        <x:v>46305</x:v>
      </x:c>
      <x:c r="L22" s="68" t="n">
        <x:v>46307</x:v>
      </x:c>
      <x:c r="M22" s="68" t="n">
        <x:v>46306</x:v>
      </x:c>
      <x:c r="N22" s="68" t="n">
        <x:v>46344</x:v>
      </x:c>
      <x:c r="O22" s="68" t="n">
        <x:v>46388</x:v>
      </x:c>
      <x:c r="P22" s="59" t="str">
        <x:v>crawl_sampling_master.xlsx</x:v>
      </x:c>
    </x:row>
    <x:row r="23">
      <x:c r="A23" s="68" t="n">
        <x:v>46286</x:v>
      </x:c>
      <x:c r="B23" s="59" t="str">
        <x:v>Thứ Hai</x:v>
      </x:c>
      <x:c r="C23" s="59" t="str">
        <x:v>00:30</x:v>
      </x:c>
      <x:c r="D23" s="68" t="n">
        <x:v>46310</x:v>
      </x:c>
      <x:c r="E23" s="68" t="n">
        <x:v>46312</x:v>
      </x:c>
      <x:c r="F23" s="68" t="n">
        <x:v>46287</x:v>
      </x:c>
      <x:c r="G23" s="68" t="n">
        <x:v>46291</x:v>
      </x:c>
      <x:c r="H23" s="68" t="n">
        <x:v>46295</x:v>
      </x:c>
      <x:c r="I23" s="68" t="n">
        <x:v>46299</x:v>
      </x:c>
      <x:c r="J23" s="68" t="n">
        <x:v>46302</x:v>
      </x:c>
      <x:c r="K23" s="68" t="n">
        <x:v>46305</x:v>
      </x:c>
      <x:c r="L23" s="68" t="n">
        <x:v>46307</x:v>
      </x:c>
      <x:c r="M23" s="68" t="n">
        <x:v>46306</x:v>
      </x:c>
      <x:c r="N23" s="68" t="n">
        <x:v>46344</x:v>
      </x:c>
      <x:c r="O23" s="68" t="n">
        <x:v>46388</x:v>
      </x:c>
      <x:c r="P23" s="59" t="str">
        <x:v>crawl_sampling_master.xlsx</x:v>
      </x:c>
    </x:row>
    <x:row r="24">
      <x:c r="A24" s="68" t="n">
        <x:v>46287</x:v>
      </x:c>
      <x:c r="B24" s="59" t="str">
        <x:v>Thứ Ba</x:v>
      </x:c>
      <x:c r="C24" s="59" t="str">
        <x:v>00:30</x:v>
      </x:c>
      <x:c r="D24" s="68" t="n">
        <x:v>46310</x:v>
      </x:c>
      <x:c r="E24" s="68" t="n">
        <x:v>46312</x:v>
      </x:c>
      <x:c r="F24" s="68" t="n">
        <x:v>46287</x:v>
      </x:c>
      <x:c r="G24" s="68" t="n">
        <x:v>46291</x:v>
      </x:c>
      <x:c r="H24" s="68" t="n">
        <x:v>46295</x:v>
      </x:c>
      <x:c r="I24" s="68" t="n">
        <x:v>46299</x:v>
      </x:c>
      <x:c r="J24" s="68" t="n">
        <x:v>46302</x:v>
      </x:c>
      <x:c r="K24" s="68" t="n">
        <x:v>46305</x:v>
      </x:c>
      <x:c r="L24" s="68" t="n">
        <x:v>46307</x:v>
      </x:c>
      <x:c r="M24" s="68" t="n">
        <x:v>46306</x:v>
      </x:c>
      <x:c r="N24" s="68" t="n">
        <x:v>46344</x:v>
      </x:c>
      <x:c r="O24" s="68" t="n">
        <x:v>46388</x:v>
      </x:c>
      <x:c r="P24" s="59" t="str">
        <x:v>crawl_sampling_master.xlsx</x:v>
      </x:c>
    </x:row>
    <x:row r="25">
      <x:c r="A25" s="68" t="n">
        <x:v>46288</x:v>
      </x:c>
      <x:c r="B25" s="59" t="str">
        <x:v>Thứ Tư</x:v>
      </x:c>
      <x:c r="C25" s="59" t="str">
        <x:v>00:30</x:v>
      </x:c>
      <x:c r="D25" s="68" t="n">
        <x:v>46310</x:v>
      </x:c>
      <x:c r="E25" s="68" t="n">
        <x:v>46312</x:v>
      </x:c>
      <x:c r="F25" s="68" t="n">
        <x:v>46315</x:v>
      </x:c>
      <x:c r="G25" s="68" t="n">
        <x:v>46291</x:v>
      </x:c>
      <x:c r="H25" s="68" t="n">
        <x:v>46295</x:v>
      </x:c>
      <x:c r="I25" s="68" t="n">
        <x:v>46299</x:v>
      </x:c>
      <x:c r="J25" s="68" t="n">
        <x:v>46302</x:v>
      </x:c>
      <x:c r="K25" s="68" t="n">
        <x:v>46305</x:v>
      </x:c>
      <x:c r="L25" s="68" t="n">
        <x:v>46307</x:v>
      </x:c>
      <x:c r="M25" s="68" t="n">
        <x:v>46306</x:v>
      </x:c>
      <x:c r="N25" s="68" t="n">
        <x:v>46344</x:v>
      </x:c>
      <x:c r="O25" s="68" t="n">
        <x:v>46388</x:v>
      </x:c>
      <x:c r="P25" s="59" t="str">
        <x:v>crawl_sampling_master.xlsx</x:v>
      </x:c>
    </x:row>
    <x:row r="26">
      <x:c r="A26" s="68" t="n">
        <x:v>46289</x:v>
      </x:c>
      <x:c r="B26" s="59" t="str">
        <x:v>Thứ Năm</x:v>
      </x:c>
      <x:c r="C26" s="59" t="str">
        <x:v>00:30</x:v>
      </x:c>
      <x:c r="D26" s="68" t="n">
        <x:v>46310</x:v>
      </x:c>
      <x:c r="E26" s="68" t="n">
        <x:v>46312</x:v>
      </x:c>
      <x:c r="F26" s="68" t="n">
        <x:v>46315</x:v>
      </x:c>
      <x:c r="G26" s="68" t="n">
        <x:v>46291</x:v>
      </x:c>
      <x:c r="H26" s="68" t="n">
        <x:v>46295</x:v>
      </x:c>
      <x:c r="I26" s="68" t="n">
        <x:v>46299</x:v>
      </x:c>
      <x:c r="J26" s="68" t="n">
        <x:v>46302</x:v>
      </x:c>
      <x:c r="K26" s="68" t="n">
        <x:v>46305</x:v>
      </x:c>
      <x:c r="L26" s="68" t="n">
        <x:v>46307</x:v>
      </x:c>
      <x:c r="M26" s="68" t="n">
        <x:v>46306</x:v>
      </x:c>
      <x:c r="N26" s="68" t="n">
        <x:v>46344</x:v>
      </x:c>
      <x:c r="O26" s="68" t="n">
        <x:v>46388</x:v>
      </x:c>
      <x:c r="P26" s="59" t="str">
        <x:v>crawl_sampling_master.xlsx</x:v>
      </x:c>
    </x:row>
    <x:row r="27">
      <x:c r="A27" s="68" t="n">
        <x:v>46290</x:v>
      </x:c>
      <x:c r="B27" s="59" t="str">
        <x:v>Thứ Sáu</x:v>
      </x:c>
      <x:c r="C27" s="59" t="str">
        <x:v>00:30</x:v>
      </x:c>
      <x:c r="D27" s="68" t="n">
        <x:v>46310</x:v>
      </x:c>
      <x:c r="E27" s="68" t="n">
        <x:v>46312</x:v>
      </x:c>
      <x:c r="F27" s="68" t="n">
        <x:v>46315</x:v>
      </x:c>
      <x:c r="G27" s="68" t="n">
        <x:v>46291</x:v>
      </x:c>
      <x:c r="H27" s="68" t="n">
        <x:v>46295</x:v>
      </x:c>
      <x:c r="I27" s="68" t="n">
        <x:v>46299</x:v>
      </x:c>
      <x:c r="J27" s="68" t="n">
        <x:v>46302</x:v>
      </x:c>
      <x:c r="K27" s="68" t="n">
        <x:v>46305</x:v>
      </x:c>
      <x:c r="L27" s="68" t="n">
        <x:v>46307</x:v>
      </x:c>
      <x:c r="M27" s="68" t="n">
        <x:v>46306</x:v>
      </x:c>
      <x:c r="N27" s="68" t="n">
        <x:v>46344</x:v>
      </x:c>
      <x:c r="O27" s="68" t="n">
        <x:v>46388</x:v>
      </x:c>
      <x:c r="P27" s="59" t="str">
        <x:v>crawl_sampling_master.xlsx</x:v>
      </x:c>
    </x:row>
    <x:row r="28">
      <x:c r="A28" s="68" t="n">
        <x:v>46291</x:v>
      </x:c>
      <x:c r="B28" s="59" t="str">
        <x:v>Thứ Bảy</x:v>
      </x:c>
      <x:c r="C28" s="59" t="str">
        <x:v>00:30</x:v>
      </x:c>
      <x:c r="D28" s="68" t="n">
        <x:v>46310</x:v>
      </x:c>
      <x:c r="E28" s="68" t="n">
        <x:v>46312</x:v>
      </x:c>
      <x:c r="F28" s="68" t="n">
        <x:v>46315</x:v>
      </x:c>
      <x:c r="G28" s="68" t="n">
        <x:v>46291</x:v>
      </x:c>
      <x:c r="H28" s="68" t="n">
        <x:v>46295</x:v>
      </x:c>
      <x:c r="I28" s="68" t="n">
        <x:v>46299</x:v>
      </x:c>
      <x:c r="J28" s="68" t="n">
        <x:v>46302</x:v>
      </x:c>
      <x:c r="K28" s="68" t="n">
        <x:v>46305</x:v>
      </x:c>
      <x:c r="L28" s="68" t="n">
        <x:v>46307</x:v>
      </x:c>
      <x:c r="M28" s="68" t="n">
        <x:v>46306</x:v>
      </x:c>
      <x:c r="N28" s="68" t="n">
        <x:v>46344</x:v>
      </x:c>
      <x:c r="O28" s="68" t="n">
        <x:v>46388</x:v>
      </x:c>
      <x:c r="P28" s="59" t="str">
        <x:v>crawl_sampling_master.xlsx</x:v>
      </x:c>
    </x:row>
    <x:row r="29">
      <x:c r="A29" s="68" t="n">
        <x:v>46292</x:v>
      </x:c>
      <x:c r="B29" s="59" t="str">
        <x:v>Chủ Nhật</x:v>
      </x:c>
      <x:c r="C29" s="59" t="str">
        <x:v>00:30</x:v>
      </x:c>
      <x:c r="D29" s="68" t="n">
        <x:v>46310</x:v>
      </x:c>
      <x:c r="E29" s="68" t="n">
        <x:v>46312</x:v>
      </x:c>
      <x:c r="F29" s="68" t="n">
        <x:v>46315</x:v>
      </x:c>
      <x:c r="G29" s="68" t="n">
        <x:v>46319</x:v>
      </x:c>
      <x:c r="H29" s="68" t="n">
        <x:v>46295</x:v>
      </x:c>
      <x:c r="I29" s="68" t="n">
        <x:v>46299</x:v>
      </x:c>
      <x:c r="J29" s="68" t="n">
        <x:v>46302</x:v>
      </x:c>
      <x:c r="K29" s="68" t="n">
        <x:v>46305</x:v>
      </x:c>
      <x:c r="L29" s="68" t="n">
        <x:v>46307</x:v>
      </x:c>
      <x:c r="M29" s="68" t="n">
        <x:v>46306</x:v>
      </x:c>
      <x:c r="N29" s="68" t="n">
        <x:v>46344</x:v>
      </x:c>
      <x:c r="O29" s="68" t="n">
        <x:v>46388</x:v>
      </x:c>
      <x:c r="P29" s="59" t="str">
        <x:v>crawl_sampling_master.xlsx</x:v>
      </x:c>
    </x:row>
    <x:row r="30">
      <x:c r="A30" s="68" t="n">
        <x:v>46293</x:v>
      </x:c>
      <x:c r="B30" s="59" t="str">
        <x:v>Thứ Hai</x:v>
      </x:c>
      <x:c r="C30" s="59" t="str">
        <x:v>00:30</x:v>
      </x:c>
      <x:c r="D30" s="68" t="n">
        <x:v>46310</x:v>
      </x:c>
      <x:c r="E30" s="68" t="n">
        <x:v>46312</x:v>
      </x:c>
      <x:c r="F30" s="68" t="n">
        <x:v>46315</x:v>
      </x:c>
      <x:c r="G30" s="68" t="n">
        <x:v>46319</x:v>
      </x:c>
      <x:c r="H30" s="68" t="n">
        <x:v>46295</x:v>
      </x:c>
      <x:c r="I30" s="68" t="n">
        <x:v>46299</x:v>
      </x:c>
      <x:c r="J30" s="68" t="n">
        <x:v>46302</x:v>
      </x:c>
      <x:c r="K30" s="68" t="n">
        <x:v>46305</x:v>
      </x:c>
      <x:c r="L30" s="68" t="n">
        <x:v>46307</x:v>
      </x:c>
      <x:c r="M30" s="68" t="n">
        <x:v>46306</x:v>
      </x:c>
      <x:c r="N30" s="68" t="n">
        <x:v>46344</x:v>
      </x:c>
      <x:c r="O30" s="68" t="n">
        <x:v>46388</x:v>
      </x:c>
      <x:c r="P30" s="59" t="str">
        <x:v>crawl_sampling_master.xlsx</x:v>
      </x:c>
    </x:row>
    <x:row r="31">
      <x:c r="A31" s="68" t="n">
        <x:v>46294</x:v>
      </x:c>
      <x:c r="B31" s="59" t="str">
        <x:v>Thứ Ba</x:v>
      </x:c>
      <x:c r="C31" s="59" t="str">
        <x:v>00:30</x:v>
      </x:c>
      <x:c r="D31" s="68" t="n">
        <x:v>46310</x:v>
      </x:c>
      <x:c r="E31" s="68" t="n">
        <x:v>46312</x:v>
      </x:c>
      <x:c r="F31" s="68" t="n">
        <x:v>46315</x:v>
      </x:c>
      <x:c r="G31" s="68" t="n">
        <x:v>46319</x:v>
      </x:c>
      <x:c r="H31" s="68" t="n">
        <x:v>46295</x:v>
      </x:c>
      <x:c r="I31" s="68" t="n">
        <x:v>46299</x:v>
      </x:c>
      <x:c r="J31" s="68" t="n">
        <x:v>46302</x:v>
      </x:c>
      <x:c r="K31" s="68" t="n">
        <x:v>46305</x:v>
      </x:c>
      <x:c r="L31" s="68" t="n">
        <x:v>46307</x:v>
      </x:c>
      <x:c r="M31" s="68" t="n">
        <x:v>46306</x:v>
      </x:c>
      <x:c r="N31" s="68" t="n">
        <x:v>46344</x:v>
      </x:c>
      <x:c r="O31" s="68" t="n">
        <x:v>46388</x:v>
      </x:c>
      <x:c r="P31" s="59" t="str">
        <x:v>crawl_sampling_master.xlsx</x:v>
      </x:c>
    </x:row>
    <x:row r="32">
      <x:c r="A32" s="68" t="n">
        <x:v>46295</x:v>
      </x:c>
      <x:c r="B32" s="59" t="str">
        <x:v>Thứ Tư</x:v>
      </x:c>
      <x:c r="C32" s="59" t="str">
        <x:v>00:30</x:v>
      </x:c>
      <x:c r="D32" s="68" t="n">
        <x:v>46310</x:v>
      </x:c>
      <x:c r="E32" s="68" t="n">
        <x:v>46312</x:v>
      </x:c>
      <x:c r="F32" s="68" t="n">
        <x:v>46315</x:v>
      </x:c>
      <x:c r="G32" s="68" t="n">
        <x:v>46319</x:v>
      </x:c>
      <x:c r="H32" s="68" t="n">
        <x:v>46295</x:v>
      </x:c>
      <x:c r="I32" s="68" t="n">
        <x:v>46299</x:v>
      </x:c>
      <x:c r="J32" s="68" t="n">
        <x:v>46302</x:v>
      </x:c>
      <x:c r="K32" s="68" t="n">
        <x:v>46305</x:v>
      </x:c>
      <x:c r="L32" s="68" t="n">
        <x:v>46307</x:v>
      </x:c>
      <x:c r="M32" s="68" t="n">
        <x:v>46306</x:v>
      </x:c>
      <x:c r="N32" s="68" t="n">
        <x:v>46344</x:v>
      </x:c>
      <x:c r="O32" s="68" t="n">
        <x:v>46388</x:v>
      </x:c>
      <x:c r="P32" s="59" t="str">
        <x:v>crawl_sampling_master.xlsx</x:v>
      </x:c>
    </x:row>
    <x:row r="33">
      <x:c r="A33" s="68" t="n">
        <x:v>46296</x:v>
      </x:c>
      <x:c r="B33" s="59" t="str">
        <x:v>Thứ Năm</x:v>
      </x:c>
      <x:c r="C33" s="59" t="str">
        <x:v>00:30</x:v>
      </x:c>
      <x:c r="D33" s="68" t="n">
        <x:v>46310</x:v>
      </x:c>
      <x:c r="E33" s="68" t="n">
        <x:v>46312</x:v>
      </x:c>
      <x:c r="F33" s="68" t="n">
        <x:v>46315</x:v>
      </x:c>
      <x:c r="G33" s="68" t="n">
        <x:v>46319</x:v>
      </x:c>
      <x:c r="H33" s="68" t="n">
        <x:v>46323</x:v>
      </x:c>
      <x:c r="I33" s="68" t="n">
        <x:v>46299</x:v>
      </x:c>
      <x:c r="J33" s="68" t="n">
        <x:v>46302</x:v>
      </x:c>
      <x:c r="K33" s="68" t="n">
        <x:v>46305</x:v>
      </x:c>
      <x:c r="L33" s="68" t="n">
        <x:v>46307</x:v>
      </x:c>
      <x:c r="M33" s="68" t="n">
        <x:v>46306</x:v>
      </x:c>
      <x:c r="N33" s="68" t="n">
        <x:v>46344</x:v>
      </x:c>
      <x:c r="O33" s="68" t="n">
        <x:v>46388</x:v>
      </x:c>
      <x:c r="P33" s="59" t="str">
        <x:v>crawl_sampling_master.xlsx</x:v>
      </x:c>
    </x:row>
    <x:row r="34">
      <x:c r="A34" s="68" t="n">
        <x:v>46297</x:v>
      </x:c>
      <x:c r="B34" s="59" t="str">
        <x:v>Thứ Sáu</x:v>
      </x:c>
      <x:c r="C34" s="59" t="str">
        <x:v>00:30</x:v>
      </x:c>
      <x:c r="D34" s="68" t="n">
        <x:v>46310</x:v>
      </x:c>
      <x:c r="E34" s="68" t="n">
        <x:v>46312</x:v>
      </x:c>
      <x:c r="F34" s="68" t="n">
        <x:v>46315</x:v>
      </x:c>
      <x:c r="G34" s="68" t="n">
        <x:v>46319</x:v>
      </x:c>
      <x:c r="H34" s="68" t="n">
        <x:v>46323</x:v>
      </x:c>
      <x:c r="I34" s="68" t="n">
        <x:v>46299</x:v>
      </x:c>
      <x:c r="J34" s="68" t="n">
        <x:v>46302</x:v>
      </x:c>
      <x:c r="K34" s="68" t="n">
        <x:v>46305</x:v>
      </x:c>
      <x:c r="L34" s="68" t="n">
        <x:v>46307</x:v>
      </x:c>
      <x:c r="M34" s="68" t="n">
        <x:v>46306</x:v>
      </x:c>
      <x:c r="N34" s="68" t="n">
        <x:v>46344</x:v>
      </x:c>
      <x:c r="O34" s="68" t="n">
        <x:v>46388</x:v>
      </x:c>
      <x:c r="P34" s="59" t="str">
        <x:v>crawl_sampling_master.xlsx</x:v>
      </x:c>
    </x:row>
    <x:row r="35">
      <x:c r="A35" s="68" t="n">
        <x:v>46298</x:v>
      </x:c>
      <x:c r="B35" s="59" t="str">
        <x:v>Thứ Bảy</x:v>
      </x:c>
      <x:c r="C35" s="59" t="str">
        <x:v>00:30</x:v>
      </x:c>
      <x:c r="D35" s="68" t="n">
        <x:v>46310</x:v>
      </x:c>
      <x:c r="E35" s="68" t="n">
        <x:v>46312</x:v>
      </x:c>
      <x:c r="F35" s="68" t="n">
        <x:v>46315</x:v>
      </x:c>
      <x:c r="G35" s="68" t="n">
        <x:v>46319</x:v>
      </x:c>
      <x:c r="H35" s="68" t="n">
        <x:v>46323</x:v>
      </x:c>
      <x:c r="I35" s="68" t="n">
        <x:v>46299</x:v>
      </x:c>
      <x:c r="J35" s="68" t="n">
        <x:v>46302</x:v>
      </x:c>
      <x:c r="K35" s="68" t="n">
        <x:v>46305</x:v>
      </x:c>
      <x:c r="L35" s="68" t="n">
        <x:v>46307</x:v>
      </x:c>
      <x:c r="M35" s="68" t="n">
        <x:v>46306</x:v>
      </x:c>
      <x:c r="N35" s="68" t="n">
        <x:v>46344</x:v>
      </x:c>
      <x:c r="O35" s="68" t="n">
        <x:v>46388</x:v>
      </x:c>
      <x:c r="P35" s="59" t="str">
        <x:v>crawl_sampling_master.xlsx</x:v>
      </x:c>
    </x:row>
    <x:row r="36">
      <x:c r="A36" s="68" t="n">
        <x:v>46299</x:v>
      </x:c>
      <x:c r="B36" s="59" t="str">
        <x:v>Chủ Nhật</x:v>
      </x:c>
      <x:c r="C36" s="59" t="str">
        <x:v>00:30</x:v>
      </x:c>
      <x:c r="D36" s="68" t="n">
        <x:v>46310</x:v>
      </x:c>
      <x:c r="E36" s="68" t="n">
        <x:v>46312</x:v>
      </x:c>
      <x:c r="F36" s="68" t="n">
        <x:v>46315</x:v>
      </x:c>
      <x:c r="G36" s="68" t="n">
        <x:v>46319</x:v>
      </x:c>
      <x:c r="H36" s="68" t="n">
        <x:v>46323</x:v>
      </x:c>
      <x:c r="I36" s="68" t="n">
        <x:v>46299</x:v>
      </x:c>
      <x:c r="J36" s="68" t="n">
        <x:v>46302</x:v>
      </x:c>
      <x:c r="K36" s="68" t="n">
        <x:v>46305</x:v>
      </x:c>
      <x:c r="L36" s="68" t="n">
        <x:v>46307</x:v>
      </x:c>
      <x:c r="M36" s="68" t="n">
        <x:v>46306</x:v>
      </x:c>
      <x:c r="N36" s="68" t="n">
        <x:v>46344</x:v>
      </x:c>
      <x:c r="O36" s="68" t="n">
        <x:v>46388</x:v>
      </x:c>
      <x:c r="P36" s="59" t="str">
        <x:v>crawl_sampling_master.xlsx</x:v>
      </x:c>
    </x:row>
    <x:row r="37">
      <x:c r="A37" s="68" t="n">
        <x:v>46300</x:v>
      </x:c>
      <x:c r="B37" s="59" t="str">
        <x:v>Thứ Hai</x:v>
      </x:c>
      <x:c r="C37" s="59" t="str">
        <x:v>00:30</x:v>
      </x:c>
      <x:c r="D37" s="68" t="n">
        <x:v>46310</x:v>
      </x:c>
      <x:c r="E37" s="68" t="n">
        <x:v>46312</x:v>
      </x:c>
      <x:c r="F37" s="68" t="n">
        <x:v>46315</x:v>
      </x:c>
      <x:c r="G37" s="68" t="n">
        <x:v>46319</x:v>
      </x:c>
      <x:c r="H37" s="68" t="n">
        <x:v>46323</x:v>
      </x:c>
      <x:c r="I37" s="68" t="n">
        <x:v>46327</x:v>
      </x:c>
      <x:c r="J37" s="68" t="n">
        <x:v>46302</x:v>
      </x:c>
      <x:c r="K37" s="68" t="n">
        <x:v>46305</x:v>
      </x:c>
      <x:c r="L37" s="68" t="n">
        <x:v>46307</x:v>
      </x:c>
      <x:c r="M37" s="68" t="n">
        <x:v>46306</x:v>
      </x:c>
      <x:c r="N37" s="68" t="n">
        <x:v>46344</x:v>
      </x:c>
      <x:c r="O37" s="68" t="n">
        <x:v>46388</x:v>
      </x:c>
      <x:c r="P37" s="59" t="str">
        <x:v>crawl_sampling_master.xlsx</x:v>
      </x:c>
    </x:row>
    <x:row r="38">
      <x:c r="A38" s="68" t="n">
        <x:v>46301</x:v>
      </x:c>
      <x:c r="B38" s="59" t="str">
        <x:v>Thứ Ba</x:v>
      </x:c>
      <x:c r="C38" s="59" t="str">
        <x:v>00:30</x:v>
      </x:c>
      <x:c r="D38" s="68" t="n">
        <x:v>46310</x:v>
      </x:c>
      <x:c r="E38" s="68" t="n">
        <x:v>46312</x:v>
      </x:c>
      <x:c r="F38" s="68" t="n">
        <x:v>46315</x:v>
      </x:c>
      <x:c r="G38" s="68" t="n">
        <x:v>46319</x:v>
      </x:c>
      <x:c r="H38" s="68" t="n">
        <x:v>46323</x:v>
      </x:c>
      <x:c r="I38" s="68" t="n">
        <x:v>46327</x:v>
      </x:c>
      <x:c r="J38" s="68" t="n">
        <x:v>46302</x:v>
      </x:c>
      <x:c r="K38" s="68" t="n">
        <x:v>46305</x:v>
      </x:c>
      <x:c r="L38" s="68" t="n">
        <x:v>46307</x:v>
      </x:c>
      <x:c r="M38" s="68" t="n">
        <x:v>46306</x:v>
      </x:c>
      <x:c r="N38" s="68" t="n">
        <x:v>46344</x:v>
      </x:c>
      <x:c r="O38" s="68" t="n">
        <x:v>46388</x:v>
      </x:c>
      <x:c r="P38" s="59" t="str">
        <x:v>crawl_sampling_master.xlsx</x:v>
      </x:c>
    </x:row>
    <x:row r="39">
      <x:c r="A39" s="68" t="n">
        <x:v>46302</x:v>
      </x:c>
      <x:c r="B39" s="59" t="str">
        <x:v>Thứ Tư</x:v>
      </x:c>
      <x:c r="C39" s="59" t="str">
        <x:v>00:30</x:v>
      </x:c>
      <x:c r="D39" s="68" t="n">
        <x:v>46310</x:v>
      </x:c>
      <x:c r="E39" s="68" t="n">
        <x:v>46312</x:v>
      </x:c>
      <x:c r="F39" s="68" t="n">
        <x:v>46315</x:v>
      </x:c>
      <x:c r="G39" s="68" t="n">
        <x:v>46319</x:v>
      </x:c>
      <x:c r="H39" s="68" t="n">
        <x:v>46323</x:v>
      </x:c>
      <x:c r="I39" s="68" t="n">
        <x:v>46327</x:v>
      </x:c>
      <x:c r="J39" s="68" t="n">
        <x:v>46302</x:v>
      </x:c>
      <x:c r="K39" s="68" t="n">
        <x:v>46305</x:v>
      </x:c>
      <x:c r="L39" s="68" t="n">
        <x:v>46307</x:v>
      </x:c>
      <x:c r="M39" s="68" t="n">
        <x:v>46306</x:v>
      </x:c>
      <x:c r="N39" s="68" t="n">
        <x:v>46344</x:v>
      </x:c>
      <x:c r="O39" s="68" t="n">
        <x:v>46388</x:v>
      </x:c>
      <x:c r="P39" s="59" t="str">
        <x:v>crawl_sampling_master.xlsx</x:v>
      </x:c>
    </x:row>
    <x:row r="40">
      <x:c r="A40" s="68" t="n">
        <x:v>46303</x:v>
      </x:c>
      <x:c r="B40" s="59" t="str">
        <x:v>Thứ Năm</x:v>
      </x:c>
      <x:c r="C40" s="59" t="str">
        <x:v>00:30</x:v>
      </x:c>
      <x:c r="D40" s="68" t="n">
        <x:v>46310</x:v>
      </x:c>
      <x:c r="E40" s="68" t="n">
        <x:v>46312</x:v>
      </x:c>
      <x:c r="F40" s="68" t="n">
        <x:v>46315</x:v>
      </x:c>
      <x:c r="G40" s="68" t="n">
        <x:v>46319</x:v>
      </x:c>
      <x:c r="H40" s="68" t="n">
        <x:v>46323</x:v>
      </x:c>
      <x:c r="I40" s="68" t="n">
        <x:v>46327</x:v>
      </x:c>
      <x:c r="J40" s="68" t="n">
        <x:v>46330</x:v>
      </x:c>
      <x:c r="K40" s="68" t="n">
        <x:v>46305</x:v>
      </x:c>
      <x:c r="L40" s="68" t="n">
        <x:v>46307</x:v>
      </x:c>
      <x:c r="M40" s="68" t="n">
        <x:v>46306</x:v>
      </x:c>
      <x:c r="N40" s="68" t="n">
        <x:v>46344</x:v>
      </x:c>
      <x:c r="O40" s="68" t="n">
        <x:v>46388</x:v>
      </x:c>
      <x:c r="P40" s="59" t="str">
        <x:v>crawl_sampling_master.xlsx</x:v>
      </x:c>
    </x:row>
    <x:row r="41">
      <x:c r="A41" s="68" t="n">
        <x:v>46304</x:v>
      </x:c>
      <x:c r="B41" s="59" t="str">
        <x:v>Thứ Sáu</x:v>
      </x:c>
      <x:c r="C41" s="59" t="str">
        <x:v>00:30</x:v>
      </x:c>
      <x:c r="D41" s="68" t="n">
        <x:v>46310</x:v>
      </x:c>
      <x:c r="E41" s="68" t="n">
        <x:v>46312</x:v>
      </x:c>
      <x:c r="F41" s="68" t="n">
        <x:v>46315</x:v>
      </x:c>
      <x:c r="G41" s="68" t="n">
        <x:v>46319</x:v>
      </x:c>
      <x:c r="H41" s="68" t="n">
        <x:v>46323</x:v>
      </x:c>
      <x:c r="I41" s="68" t="n">
        <x:v>46327</x:v>
      </x:c>
      <x:c r="J41" s="68" t="n">
        <x:v>46330</x:v>
      </x:c>
      <x:c r="K41" s="68" t="n">
        <x:v>46305</x:v>
      </x:c>
      <x:c r="L41" s="68" t="n">
        <x:v>46307</x:v>
      </x:c>
      <x:c r="M41" s="68" t="n">
        <x:v>46306</x:v>
      </x:c>
      <x:c r="N41" s="68" t="n">
        <x:v>46344</x:v>
      </x:c>
      <x:c r="O41" s="68" t="n">
        <x:v>46388</x:v>
      </x:c>
      <x:c r="P41" s="59" t="str">
        <x:v>crawl_sampling_master.xlsx</x:v>
      </x:c>
    </x:row>
    <x:row r="42">
      <x:c r="A42" s="68" t="n">
        <x:v>46305</x:v>
      </x:c>
      <x:c r="B42" s="59" t="str">
        <x:v>Thứ Bảy</x:v>
      </x:c>
      <x:c r="C42" s="59" t="str">
        <x:v>00:30</x:v>
      </x:c>
      <x:c r="D42" s="68" t="n">
        <x:v>46310</x:v>
      </x:c>
      <x:c r="E42" s="68" t="n">
        <x:v>46312</x:v>
      </x:c>
      <x:c r="F42" s="68" t="n">
        <x:v>46315</x:v>
      </x:c>
      <x:c r="G42" s="68" t="n">
        <x:v>46319</x:v>
      </x:c>
      <x:c r="H42" s="68" t="n">
        <x:v>46323</x:v>
      </x:c>
      <x:c r="I42" s="68" t="n">
        <x:v>46327</x:v>
      </x:c>
      <x:c r="J42" s="68" t="n">
        <x:v>46330</x:v>
      </x:c>
      <x:c r="K42" s="68" t="n">
        <x:v>46305</x:v>
      </x:c>
      <x:c r="L42" s="68" t="n">
        <x:v>46307</x:v>
      </x:c>
      <x:c r="M42" s="68" t="n">
        <x:v>46306</x:v>
      </x:c>
      <x:c r="N42" s="68" t="n">
        <x:v>46344</x:v>
      </x:c>
      <x:c r="O42" s="68" t="n">
        <x:v>46388</x:v>
      </x:c>
      <x:c r="P42" s="59" t="str">
        <x:v>crawl_sampling_master.xlsx</x:v>
      </x:c>
    </x:row>
    <x:row r="43">
      <x:c r="A43" s="68" t="n">
        <x:v>46306</x:v>
      </x:c>
      <x:c r="B43" s="59" t="str">
        <x:v>Chủ Nhật</x:v>
      </x:c>
      <x:c r="C43" s="59" t="str">
        <x:v>00:30</x:v>
      </x:c>
      <x:c r="D43" s="68" t="n">
        <x:v>46310</x:v>
      </x:c>
      <x:c r="E43" s="68" t="n">
        <x:v>46312</x:v>
      </x:c>
      <x:c r="F43" s="68" t="n">
        <x:v>46315</x:v>
      </x:c>
      <x:c r="G43" s="68" t="n">
        <x:v>46319</x:v>
      </x:c>
      <x:c r="H43" s="68" t="n">
        <x:v>46323</x:v>
      </x:c>
      <x:c r="I43" s="68" t="n">
        <x:v>46327</x:v>
      </x:c>
      <x:c r="J43" s="68" t="n">
        <x:v>46330</x:v>
      </x:c>
      <x:c r="K43" s="68" t="n">
        <x:v>46333</x:v>
      </x:c>
      <x:c r="L43" s="68" t="n">
        <x:v>46307</x:v>
      </x:c>
      <x:c r="M43" s="68" t="n">
        <x:v>46306</x:v>
      </x:c>
      <x:c r="N43" s="68" t="n">
        <x:v>46344</x:v>
      </x:c>
      <x:c r="O43" s="68" t="n">
        <x:v>46388</x:v>
      </x:c>
      <x:c r="P43" s="59" t="str">
        <x:v>crawl_sampling_master.xlsx</x:v>
      </x:c>
    </x:row>
    <x:row r="44">
      <x:c r="A44" s="68" t="n">
        <x:v>46307</x:v>
      </x:c>
      <x:c r="B44" s="59" t="str">
        <x:v>Thứ Hai</x:v>
      </x:c>
      <x:c r="C44" s="59" t="str">
        <x:v>00:30</x:v>
      </x:c>
      <x:c r="D44" s="68" t="n">
        <x:v>46310</x:v>
      </x:c>
      <x:c r="E44" s="68" t="n">
        <x:v>46312</x:v>
      </x:c>
      <x:c r="F44" s="68" t="n">
        <x:v>46315</x:v>
      </x:c>
      <x:c r="G44" s="68" t="n">
        <x:v>46319</x:v>
      </x:c>
      <x:c r="H44" s="68" t="n">
        <x:v>46323</x:v>
      </x:c>
      <x:c r="I44" s="68" t="n">
        <x:v>46327</x:v>
      </x:c>
      <x:c r="J44" s="68" t="n">
        <x:v>46330</x:v>
      </x:c>
      <x:c r="K44" s="68" t="n">
        <x:v>46333</x:v>
      </x:c>
      <x:c r="L44" s="68" t="n">
        <x:v>46307</x:v>
      </x:c>
      <x:c r="M44" s="68" t="n">
        <x:v>46362</x:v>
      </x:c>
      <x:c r="N44" s="68" t="n">
        <x:v>46344</x:v>
      </x:c>
      <x:c r="O44" s="68" t="n">
        <x:v>46388</x:v>
      </x:c>
      <x:c r="P44" s="59" t="str">
        <x:v>crawl_sampling_master.xlsx</x:v>
      </x:c>
    </x:row>
    <x:row r="45">
      <x:c r="A45" s="68" t="n">
        <x:v>46308</x:v>
      </x:c>
      <x:c r="B45" s="59" t="str">
        <x:v>Thứ Ba</x:v>
      </x:c>
      <x:c r="C45" s="59" t="str">
        <x:v>00:30</x:v>
      </x:c>
      <x:c r="D45" s="68" t="n">
        <x:v>46310</x:v>
      </x:c>
      <x:c r="E45" s="68" t="n">
        <x:v>46312</x:v>
      </x:c>
      <x:c r="F45" s="68" t="n">
        <x:v>46315</x:v>
      </x:c>
      <x:c r="G45" s="68" t="n">
        <x:v>46319</x:v>
      </x:c>
      <x:c r="H45" s="68" t="n">
        <x:v>46323</x:v>
      </x:c>
      <x:c r="I45" s="68" t="n">
        <x:v>46327</x:v>
      </x:c>
      <x:c r="J45" s="68" t="n">
        <x:v>46330</x:v>
      </x:c>
      <x:c r="K45" s="68" t="n">
        <x:v>46333</x:v>
      </x:c>
      <x:c r="L45" s="68" t="n">
        <x:v>46335</x:v>
      </x:c>
      <x:c r="M45" s="68" t="n">
        <x:v>46362</x:v>
      </x:c>
      <x:c r="N45" s="68" t="n">
        <x:v>46344</x:v>
      </x:c>
      <x:c r="O45" s="68" t="n">
        <x:v>46388</x:v>
      </x:c>
      <x:c r="P45" s="59" t="str">
        <x:v>crawl_sampling_master.xlsx</x:v>
      </x:c>
    </x:row>
    <x:row r="46">
      <x:c r="A46" s="68" t="n">
        <x:v>46309</x:v>
      </x:c>
      <x:c r="B46" s="59" t="str">
        <x:v>Thứ Tư</x:v>
      </x:c>
      <x:c r="C46" s="59" t="str">
        <x:v>00:30</x:v>
      </x:c>
      <x:c r="D46" s="68" t="n">
        <x:v>46310</x:v>
      </x:c>
      <x:c r="E46" s="68" t="n">
        <x:v>46312</x:v>
      </x:c>
      <x:c r="F46" s="68" t="n">
        <x:v>46315</x:v>
      </x:c>
      <x:c r="G46" s="68" t="n">
        <x:v>46319</x:v>
      </x:c>
      <x:c r="H46" s="68" t="n">
        <x:v>46323</x:v>
      </x:c>
      <x:c r="I46" s="68" t="n">
        <x:v>46327</x:v>
      </x:c>
      <x:c r="J46" s="68" t="n">
        <x:v>46330</x:v>
      </x:c>
      <x:c r="K46" s="68" t="n">
        <x:v>46333</x:v>
      </x:c>
      <x:c r="L46" s="68" t="n">
        <x:v>46335</x:v>
      </x:c>
      <x:c r="M46" s="68" t="n">
        <x:v>46362</x:v>
      </x:c>
      <x:c r="N46" s="68" t="n">
        <x:v>46344</x:v>
      </x:c>
      <x:c r="O46" s="68" t="n">
        <x:v>46388</x:v>
      </x:c>
      <x:c r="P46" s="59" t="str">
        <x:v>crawl_sampling_master.xlsx</x:v>
      </x:c>
    </x:row>
    <x:row r="47">
      <x:c r="A47" s="68" t="n">
        <x:v>46310</x:v>
      </x:c>
      <x:c r="B47" s="59" t="str">
        <x:v>Thứ Năm</x:v>
      </x:c>
      <x:c r="C47" s="59" t="str">
        <x:v>00:30</x:v>
      </x:c>
      <x:c r="D47" s="68" t="n">
        <x:v>46310</x:v>
      </x:c>
      <x:c r="E47" s="68" t="n">
        <x:v>46312</x:v>
      </x:c>
      <x:c r="F47" s="68" t="n">
        <x:v>46315</x:v>
      </x:c>
      <x:c r="G47" s="68" t="n">
        <x:v>46319</x:v>
      </x:c>
      <x:c r="H47" s="68" t="n">
        <x:v>46323</x:v>
      </x:c>
      <x:c r="I47" s="68" t="n">
        <x:v>46327</x:v>
      </x:c>
      <x:c r="J47" s="68" t="n">
        <x:v>46330</x:v>
      </x:c>
      <x:c r="K47" s="68" t="n">
        <x:v>46333</x:v>
      </x:c>
      <x:c r="L47" s="68" t="n">
        <x:v>46335</x:v>
      </x:c>
      <x:c r="M47" s="68" t="n">
        <x:v>46362</x:v>
      </x:c>
      <x:c r="N47" s="68" t="n">
        <x:v>46344</x:v>
      </x:c>
      <x:c r="O47" s="68" t="n">
        <x:v>46388</x:v>
      </x:c>
      <x:c r="P47" s="59" t="str">
        <x:v>crawl_sampling_master.xlsx</x:v>
      </x:c>
    </x:row>
    <x:row r="48">
      <x:c r="A48" s="68" t="n">
        <x:v>46311</x:v>
      </x:c>
      <x:c r="B48" s="59" t="str">
        <x:v>Thứ Sáu</x:v>
      </x:c>
      <x:c r="C48" s="59" t="str">
        <x:v>00:30</x:v>
      </x:c>
      <x:c r="D48" s="68" t="n">
        <x:v>46338</x:v>
      </x:c>
      <x:c r="E48" s="68" t="n">
        <x:v>46312</x:v>
      </x:c>
      <x:c r="F48" s="68" t="n">
        <x:v>46315</x:v>
      </x:c>
      <x:c r="G48" s="68" t="n">
        <x:v>46319</x:v>
      </x:c>
      <x:c r="H48" s="68" t="n">
        <x:v>46323</x:v>
      </x:c>
      <x:c r="I48" s="68" t="n">
        <x:v>46327</x:v>
      </x:c>
      <x:c r="J48" s="68" t="n">
        <x:v>46330</x:v>
      </x:c>
      <x:c r="K48" s="68" t="n">
        <x:v>46333</x:v>
      </x:c>
      <x:c r="L48" s="68" t="n">
        <x:v>46335</x:v>
      </x:c>
      <x:c r="M48" s="68" t="n">
        <x:v>46362</x:v>
      </x:c>
      <x:c r="N48" s="68" t="n">
        <x:v>46344</x:v>
      </x:c>
      <x:c r="O48" s="68" t="n">
        <x:v>46388</x:v>
      </x:c>
      <x:c r="P48" s="59" t="str">
        <x:v>crawl_sampling_master.xlsx</x:v>
      </x:c>
    </x:row>
    <x:row r="49">
      <x:c r="A49" s="68" t="n">
        <x:v>46312</x:v>
      </x:c>
      <x:c r="B49" s="59" t="str">
        <x:v>Thứ Bảy</x:v>
      </x:c>
      <x:c r="C49" s="59" t="str">
        <x:v>00:30</x:v>
      </x:c>
      <x:c r="D49" s="68" t="n">
        <x:v>46338</x:v>
      </x:c>
      <x:c r="E49" s="68" t="n">
        <x:v>46312</x:v>
      </x:c>
      <x:c r="F49" s="68" t="n">
        <x:v>46315</x:v>
      </x:c>
      <x:c r="G49" s="68" t="n">
        <x:v>46319</x:v>
      </x:c>
      <x:c r="H49" s="68" t="n">
        <x:v>46323</x:v>
      </x:c>
      <x:c r="I49" s="68" t="n">
        <x:v>46327</x:v>
      </x:c>
      <x:c r="J49" s="68" t="n">
        <x:v>46330</x:v>
      </x:c>
      <x:c r="K49" s="68" t="n">
        <x:v>46333</x:v>
      </x:c>
      <x:c r="L49" s="68" t="n">
        <x:v>46335</x:v>
      </x:c>
      <x:c r="M49" s="68" t="n">
        <x:v>46362</x:v>
      </x:c>
      <x:c r="N49" s="68" t="n">
        <x:v>46344</x:v>
      </x:c>
      <x:c r="O49" s="68" t="n">
        <x:v>46388</x:v>
      </x:c>
      <x:c r="P49" s="59" t="str">
        <x:v>crawl_sampling_master.xlsx</x:v>
      </x:c>
    </x:row>
    <x:row r="50">
      <x:c r="A50" s="68" t="n">
        <x:v>46313</x:v>
      </x:c>
      <x:c r="B50" s="59" t="str">
        <x:v>Chủ Nhật</x:v>
      </x:c>
      <x:c r="C50" s="59" t="str">
        <x:v>00:30</x:v>
      </x:c>
      <x:c r="D50" s="68" t="n">
        <x:v>46338</x:v>
      </x:c>
      <x:c r="E50" s="68" t="n">
        <x:v>46340</x:v>
      </x:c>
      <x:c r="F50" s="68" t="n">
        <x:v>46315</x:v>
      </x:c>
      <x:c r="G50" s="68" t="n">
        <x:v>46319</x:v>
      </x:c>
      <x:c r="H50" s="68" t="n">
        <x:v>46323</x:v>
      </x:c>
      <x:c r="I50" s="68" t="n">
        <x:v>46327</x:v>
      </x:c>
      <x:c r="J50" s="68" t="n">
        <x:v>46330</x:v>
      </x:c>
      <x:c r="K50" s="68" t="n">
        <x:v>46333</x:v>
      </x:c>
      <x:c r="L50" s="68" t="n">
        <x:v>46335</x:v>
      </x:c>
      <x:c r="M50" s="68" t="n">
        <x:v>46362</x:v>
      </x:c>
      <x:c r="N50" s="68" t="n">
        <x:v>46344</x:v>
      </x:c>
      <x:c r="O50" s="68" t="n">
        <x:v>46388</x:v>
      </x:c>
      <x:c r="P50" s="59" t="str">
        <x:v>crawl_sampling_master.xlsx</x:v>
      </x:c>
    </x:row>
    <x:row r="51">
      <x:c r="A51" s="68" t="n">
        <x:v>46314</x:v>
      </x:c>
      <x:c r="B51" s="59" t="str">
        <x:v>Thứ Hai</x:v>
      </x:c>
      <x:c r="C51" s="59" t="str">
        <x:v>00:30</x:v>
      </x:c>
      <x:c r="D51" s="68" t="n">
        <x:v>46338</x:v>
      </x:c>
      <x:c r="E51" s="68" t="n">
        <x:v>46340</x:v>
      </x:c>
      <x:c r="F51" s="68" t="n">
        <x:v>46315</x:v>
      </x:c>
      <x:c r="G51" s="68" t="n">
        <x:v>46319</x:v>
      </x:c>
      <x:c r="H51" s="68" t="n">
        <x:v>46323</x:v>
      </x:c>
      <x:c r="I51" s="68" t="n">
        <x:v>46327</x:v>
      </x:c>
      <x:c r="J51" s="68" t="n">
        <x:v>46330</x:v>
      </x:c>
      <x:c r="K51" s="68" t="n">
        <x:v>46333</x:v>
      </x:c>
      <x:c r="L51" s="68" t="n">
        <x:v>46335</x:v>
      </x:c>
      <x:c r="M51" s="68" t="n">
        <x:v>46362</x:v>
      </x:c>
      <x:c r="N51" s="68" t="n">
        <x:v>46344</x:v>
      </x:c>
      <x:c r="O51" s="68" t="n">
        <x:v>46388</x:v>
      </x:c>
      <x:c r="P51" s="59" t="str">
        <x:v>crawl_sampling_master.xlsx</x:v>
      </x:c>
    </x:row>
    <x:row r="52">
      <x:c r="A52" s="68" t="n">
        <x:v>46315</x:v>
      </x:c>
      <x:c r="B52" s="59" t="str">
        <x:v>Thứ Ba</x:v>
      </x:c>
      <x:c r="C52" s="59" t="str">
        <x:v>00:30</x:v>
      </x:c>
      <x:c r="D52" s="68" t="n">
        <x:v>46338</x:v>
      </x:c>
      <x:c r="E52" s="68" t="n">
        <x:v>46340</x:v>
      </x:c>
      <x:c r="F52" s="68" t="n">
        <x:v>46315</x:v>
      </x:c>
      <x:c r="G52" s="68" t="n">
        <x:v>46319</x:v>
      </x:c>
      <x:c r="H52" s="68" t="n">
        <x:v>46323</x:v>
      </x:c>
      <x:c r="I52" s="68" t="n">
        <x:v>46327</x:v>
      </x:c>
      <x:c r="J52" s="68" t="n">
        <x:v>46330</x:v>
      </x:c>
      <x:c r="K52" s="68" t="n">
        <x:v>46333</x:v>
      </x:c>
      <x:c r="L52" s="68" t="n">
        <x:v>46335</x:v>
      </x:c>
      <x:c r="M52" s="68" t="n">
        <x:v>46362</x:v>
      </x:c>
      <x:c r="N52" s="68" t="n">
        <x:v>46344</x:v>
      </x:c>
      <x:c r="O52" s="68" t="n">
        <x:v>46388</x:v>
      </x:c>
      <x:c r="P52" s="59" t="str">
        <x:v>crawl_sampling_master.xlsx</x:v>
      </x:c>
    </x:row>
    <x:row r="53">
      <x:c r="A53" s="68" t="n">
        <x:v>46316</x:v>
      </x:c>
      <x:c r="B53" s="59" t="str">
        <x:v>Thứ Tư</x:v>
      </x:c>
      <x:c r="C53" s="59" t="str">
        <x:v>00:30</x:v>
      </x:c>
      <x:c r="D53" s="68" t="n">
        <x:v>46338</x:v>
      </x:c>
      <x:c r="E53" s="68" t="n">
        <x:v>46340</x:v>
      </x:c>
      <x:c r="F53" s="68" t="n">
        <x:v>46343</x:v>
      </x:c>
      <x:c r="G53" s="68" t="n">
        <x:v>46319</x:v>
      </x:c>
      <x:c r="H53" s="68" t="n">
        <x:v>46323</x:v>
      </x:c>
      <x:c r="I53" s="68" t="n">
        <x:v>46327</x:v>
      </x:c>
      <x:c r="J53" s="68" t="n">
        <x:v>46330</x:v>
      </x:c>
      <x:c r="K53" s="68" t="n">
        <x:v>46333</x:v>
      </x:c>
      <x:c r="L53" s="68" t="n">
        <x:v>46335</x:v>
      </x:c>
      <x:c r="M53" s="68" t="n">
        <x:v>46362</x:v>
      </x:c>
      <x:c r="N53" s="68" t="n">
        <x:v>46344</x:v>
      </x:c>
      <x:c r="O53" s="68" t="n">
        <x:v>46388</x:v>
      </x:c>
      <x:c r="P53" s="59" t="str">
        <x:v>crawl_sampling_master.xlsx</x:v>
      </x:c>
    </x:row>
    <x:row r="54">
      <x:c r="A54" s="68" t="n">
        <x:v>46317</x:v>
      </x:c>
      <x:c r="B54" s="59" t="str">
        <x:v>Thứ Năm</x:v>
      </x:c>
      <x:c r="C54" s="59" t="str">
        <x:v>00:30</x:v>
      </x:c>
      <x:c r="D54" s="68" t="n">
        <x:v>46338</x:v>
      </x:c>
      <x:c r="E54" s="68" t="n">
        <x:v>46340</x:v>
      </x:c>
      <x:c r="F54" s="68" t="n">
        <x:v>46343</x:v>
      </x:c>
      <x:c r="G54" s="68" t="n">
        <x:v>46319</x:v>
      </x:c>
      <x:c r="H54" s="68" t="n">
        <x:v>46323</x:v>
      </x:c>
      <x:c r="I54" s="68" t="n">
        <x:v>46327</x:v>
      </x:c>
      <x:c r="J54" s="68" t="n">
        <x:v>46330</x:v>
      </x:c>
      <x:c r="K54" s="68" t="n">
        <x:v>46333</x:v>
      </x:c>
      <x:c r="L54" s="68" t="n">
        <x:v>46335</x:v>
      </x:c>
      <x:c r="M54" s="68" t="n">
        <x:v>46362</x:v>
      </x:c>
      <x:c r="N54" s="68" t="n">
        <x:v>46344</x:v>
      </x:c>
      <x:c r="O54" s="68" t="n">
        <x:v>46388</x:v>
      </x:c>
      <x:c r="P54" s="59" t="str">
        <x:v>crawl_sampling_master.xlsx</x:v>
      </x:c>
    </x:row>
    <x:row r="55">
      <x:c r="A55" s="68" t="n">
        <x:v>46318</x:v>
      </x:c>
      <x:c r="B55" s="59" t="str">
        <x:v>Thứ Sáu</x:v>
      </x:c>
      <x:c r="C55" s="59" t="str">
        <x:v>00:30</x:v>
      </x:c>
      <x:c r="D55" s="68" t="n">
        <x:v>46338</x:v>
      </x:c>
      <x:c r="E55" s="68" t="n">
        <x:v>46340</x:v>
      </x:c>
      <x:c r="F55" s="68" t="n">
        <x:v>46343</x:v>
      </x:c>
      <x:c r="G55" s="68" t="n">
        <x:v>46319</x:v>
      </x:c>
      <x:c r="H55" s="68" t="n">
        <x:v>46323</x:v>
      </x:c>
      <x:c r="I55" s="68" t="n">
        <x:v>46327</x:v>
      </x:c>
      <x:c r="J55" s="68" t="n">
        <x:v>46330</x:v>
      </x:c>
      <x:c r="K55" s="68" t="n">
        <x:v>46333</x:v>
      </x:c>
      <x:c r="L55" s="68" t="n">
        <x:v>46335</x:v>
      </x:c>
      <x:c r="M55" s="68" t="n">
        <x:v>46362</x:v>
      </x:c>
      <x:c r="N55" s="68" t="n">
        <x:v>46344</x:v>
      </x:c>
      <x:c r="O55" s="68" t="n">
        <x:v>46388</x:v>
      </x:c>
      <x:c r="P55" s="59" t="str">
        <x:v>crawl_sampling_master.xlsx</x:v>
      </x:c>
    </x:row>
    <x:row r="56">
      <x:c r="A56" s="68" t="n">
        <x:v>46319</x:v>
      </x:c>
      <x:c r="B56" s="59" t="str">
        <x:v>Thứ Bảy</x:v>
      </x:c>
      <x:c r="C56" s="59" t="str">
        <x:v>00:30</x:v>
      </x:c>
      <x:c r="D56" s="68" t="n">
        <x:v>46338</x:v>
      </x:c>
      <x:c r="E56" s="68" t="n">
        <x:v>46340</x:v>
      </x:c>
      <x:c r="F56" s="68" t="n">
        <x:v>46343</x:v>
      </x:c>
      <x:c r="G56" s="68" t="n">
        <x:v>46319</x:v>
      </x:c>
      <x:c r="H56" s="68" t="n">
        <x:v>46323</x:v>
      </x:c>
      <x:c r="I56" s="68" t="n">
        <x:v>46327</x:v>
      </x:c>
      <x:c r="J56" s="68" t="n">
        <x:v>46330</x:v>
      </x:c>
      <x:c r="K56" s="68" t="n">
        <x:v>46333</x:v>
      </x:c>
      <x:c r="L56" s="68" t="n">
        <x:v>46335</x:v>
      </x:c>
      <x:c r="M56" s="68" t="n">
        <x:v>46362</x:v>
      </x:c>
      <x:c r="N56" s="68" t="n">
        <x:v>46344</x:v>
      </x:c>
      <x:c r="O56" s="68" t="n">
        <x:v>46388</x:v>
      </x:c>
      <x:c r="P56" s="59" t="str">
        <x:v>crawl_sampling_master.xlsx</x:v>
      </x:c>
    </x:row>
    <x:row r="57">
      <x:c r="A57" s="68" t="n">
        <x:v>46320</x:v>
      </x:c>
      <x:c r="B57" s="59" t="str">
        <x:v>Chủ Nhật</x:v>
      </x:c>
      <x:c r="C57" s="59" t="str">
        <x:v>00:30</x:v>
      </x:c>
      <x:c r="D57" s="68" t="n">
        <x:v>46338</x:v>
      </x:c>
      <x:c r="E57" s="68" t="n">
        <x:v>46340</x:v>
      </x:c>
      <x:c r="F57" s="68" t="n">
        <x:v>46343</x:v>
      </x:c>
      <x:c r="G57" s="68" t="n">
        <x:v>46347</x:v>
      </x:c>
      <x:c r="H57" s="68" t="n">
        <x:v>46323</x:v>
      </x:c>
      <x:c r="I57" s="68" t="n">
        <x:v>46327</x:v>
      </x:c>
      <x:c r="J57" s="68" t="n">
        <x:v>46330</x:v>
      </x:c>
      <x:c r="K57" s="68" t="n">
        <x:v>46333</x:v>
      </x:c>
      <x:c r="L57" s="68" t="n">
        <x:v>46335</x:v>
      </x:c>
      <x:c r="M57" s="68" t="n">
        <x:v>46362</x:v>
      </x:c>
      <x:c r="N57" s="68" t="n">
        <x:v>46344</x:v>
      </x:c>
      <x:c r="O57" s="68" t="n">
        <x:v>46388</x:v>
      </x:c>
      <x:c r="P57" s="59" t="str">
        <x:v>crawl_sampling_master.xlsx</x:v>
      </x:c>
    </x:row>
    <x:row r="58">
      <x:c r="A58" s="68" t="n">
        <x:v>46321</x:v>
      </x:c>
      <x:c r="B58" s="59" t="str">
        <x:v>Thứ Hai</x:v>
      </x:c>
      <x:c r="C58" s="59" t="str">
        <x:v>00:30</x:v>
      </x:c>
      <x:c r="D58" s="68" t="n">
        <x:v>46338</x:v>
      </x:c>
      <x:c r="E58" s="68" t="n">
        <x:v>46340</x:v>
      </x:c>
      <x:c r="F58" s="68" t="n">
        <x:v>46343</x:v>
      </x:c>
      <x:c r="G58" s="68" t="n">
        <x:v>46347</x:v>
      </x:c>
      <x:c r="H58" s="68" t="n">
        <x:v>46323</x:v>
      </x:c>
      <x:c r="I58" s="68" t="n">
        <x:v>46327</x:v>
      </x:c>
      <x:c r="J58" s="68" t="n">
        <x:v>46330</x:v>
      </x:c>
      <x:c r="K58" s="68" t="n">
        <x:v>46333</x:v>
      </x:c>
      <x:c r="L58" s="68" t="n">
        <x:v>46335</x:v>
      </x:c>
      <x:c r="M58" s="68" t="n">
        <x:v>46362</x:v>
      </x:c>
      <x:c r="N58" s="68" t="n">
        <x:v>46344</x:v>
      </x:c>
      <x:c r="O58" s="68" t="n">
        <x:v>46388</x:v>
      </x:c>
      <x:c r="P58" s="59" t="str">
        <x:v>crawl_sampling_master.xlsx</x:v>
      </x:c>
    </x:row>
    <x:row r="59">
      <x:c r="A59" s="68" t="n">
        <x:v>46322</x:v>
      </x:c>
      <x:c r="B59" s="59" t="str">
        <x:v>Thứ Ba</x:v>
      </x:c>
      <x:c r="C59" s="59" t="str">
        <x:v>00:30</x:v>
      </x:c>
      <x:c r="D59" s="68" t="n">
        <x:v>46338</x:v>
      </x:c>
      <x:c r="E59" s="68" t="n">
        <x:v>46340</x:v>
      </x:c>
      <x:c r="F59" s="68" t="n">
        <x:v>46343</x:v>
      </x:c>
      <x:c r="G59" s="68" t="n">
        <x:v>46347</x:v>
      </x:c>
      <x:c r="H59" s="68" t="n">
        <x:v>46323</x:v>
      </x:c>
      <x:c r="I59" s="68" t="n">
        <x:v>46327</x:v>
      </x:c>
      <x:c r="J59" s="68" t="n">
        <x:v>46330</x:v>
      </x:c>
      <x:c r="K59" s="68" t="n">
        <x:v>46333</x:v>
      </x:c>
      <x:c r="L59" s="68" t="n">
        <x:v>46335</x:v>
      </x:c>
      <x:c r="M59" s="68" t="n">
        <x:v>46362</x:v>
      </x:c>
      <x:c r="N59" s="68" t="n">
        <x:v>46344</x:v>
      </x:c>
      <x:c r="O59" s="68" t="n">
        <x:v>46388</x:v>
      </x:c>
      <x:c r="P59" s="59" t="str">
        <x:v>crawl_sampling_master.xlsx</x:v>
      </x:c>
    </x:row>
    <x:row r="60">
      <x:c r="A60" s="68" t="n">
        <x:v>46323</x:v>
      </x:c>
      <x:c r="B60" s="59" t="str">
        <x:v>Thứ Tư</x:v>
      </x:c>
      <x:c r="C60" s="59" t="str">
        <x:v>00:30</x:v>
      </x:c>
      <x:c r="D60" s="68" t="n">
        <x:v>46338</x:v>
      </x:c>
      <x:c r="E60" s="68" t="n">
        <x:v>46340</x:v>
      </x:c>
      <x:c r="F60" s="68" t="n">
        <x:v>46343</x:v>
      </x:c>
      <x:c r="G60" s="68" t="n">
        <x:v>46347</x:v>
      </x:c>
      <x:c r="H60" s="68" t="n">
        <x:v>46323</x:v>
      </x:c>
      <x:c r="I60" s="68" t="n">
        <x:v>46327</x:v>
      </x:c>
      <x:c r="J60" s="68" t="n">
        <x:v>46330</x:v>
      </x:c>
      <x:c r="K60" s="68" t="n">
        <x:v>46333</x:v>
      </x:c>
      <x:c r="L60" s="68" t="n">
        <x:v>46335</x:v>
      </x:c>
      <x:c r="M60" s="68" t="n">
        <x:v>46362</x:v>
      </x:c>
      <x:c r="N60" s="68" t="n">
        <x:v>46344</x:v>
      </x:c>
      <x:c r="O60" s="68" t="n">
        <x:v>46388</x:v>
      </x:c>
      <x:c r="P60" s="59" t="str">
        <x:v>crawl_sampling_master.xlsx</x:v>
      </x:c>
    </x:row>
    <x:row r="61">
      <x:c r="A61" s="68" t="n">
        <x:v>46324</x:v>
      </x:c>
      <x:c r="B61" s="59" t="str">
        <x:v>Thứ Năm</x:v>
      </x:c>
      <x:c r="C61" s="59" t="str">
        <x:v>00:30</x:v>
      </x:c>
      <x:c r="D61" s="68" t="n">
        <x:v>46338</x:v>
      </x:c>
      <x:c r="E61" s="68" t="n">
        <x:v>46340</x:v>
      </x:c>
      <x:c r="F61" s="68" t="n">
        <x:v>46343</x:v>
      </x:c>
      <x:c r="G61" s="68" t="n">
        <x:v>46347</x:v>
      </x:c>
      <x:c r="H61" s="68" t="n">
        <x:v>46351</x:v>
      </x:c>
      <x:c r="I61" s="68" t="n">
        <x:v>46327</x:v>
      </x:c>
      <x:c r="J61" s="68" t="n">
        <x:v>46330</x:v>
      </x:c>
      <x:c r="K61" s="68" t="n">
        <x:v>46333</x:v>
      </x:c>
      <x:c r="L61" s="68" t="n">
        <x:v>46335</x:v>
      </x:c>
      <x:c r="M61" s="68" t="n">
        <x:v>46362</x:v>
      </x:c>
      <x:c r="N61" s="68" t="n">
        <x:v>46344</x:v>
      </x:c>
      <x:c r="O61" s="68" t="n">
        <x:v>46388</x:v>
      </x:c>
      <x:c r="P61" s="59" t="str">
        <x:v>crawl_sampling_master.xlsx</x:v>
      </x:c>
    </x:row>
    <x:row r="62">
      <x:c r="A62" s="68" t="n">
        <x:v>46325</x:v>
      </x:c>
      <x:c r="B62" s="59" t="str">
        <x:v>Thứ Sáu</x:v>
      </x:c>
      <x:c r="C62" s="59" t="str">
        <x:v>00:30</x:v>
      </x:c>
      <x:c r="D62" s="68" t="n">
        <x:v>46338</x:v>
      </x:c>
      <x:c r="E62" s="68" t="n">
        <x:v>46340</x:v>
      </x:c>
      <x:c r="F62" s="68" t="n">
        <x:v>46343</x:v>
      </x:c>
      <x:c r="G62" s="68" t="n">
        <x:v>46347</x:v>
      </x:c>
      <x:c r="H62" s="68" t="n">
        <x:v>46351</x:v>
      </x:c>
      <x:c r="I62" s="68" t="n">
        <x:v>46327</x:v>
      </x:c>
      <x:c r="J62" s="68" t="n">
        <x:v>46330</x:v>
      </x:c>
      <x:c r="K62" s="68" t="n">
        <x:v>46333</x:v>
      </x:c>
      <x:c r="L62" s="68" t="n">
        <x:v>46335</x:v>
      </x:c>
      <x:c r="M62" s="68" t="n">
        <x:v>46362</x:v>
      </x:c>
      <x:c r="N62" s="68" t="n">
        <x:v>46344</x:v>
      </x:c>
      <x:c r="O62" s="68" t="n">
        <x:v>46388</x:v>
      </x:c>
      <x:c r="P62" s="59" t="str">
        <x:v>crawl_sampling_master.xlsx</x:v>
      </x:c>
    </x:row>
    <x:row r="63">
      <x:c r="A63" s="68" t="n">
        <x:v>46326</x:v>
      </x:c>
      <x:c r="B63" s="59" t="str">
        <x:v>Thứ Bảy</x:v>
      </x:c>
      <x:c r="C63" s="59" t="str">
        <x:v>00:30</x:v>
      </x:c>
      <x:c r="D63" s="68" t="n">
        <x:v>46338</x:v>
      </x:c>
      <x:c r="E63" s="68" t="n">
        <x:v>46340</x:v>
      </x:c>
      <x:c r="F63" s="68" t="n">
        <x:v>46343</x:v>
      </x:c>
      <x:c r="G63" s="68" t="n">
        <x:v>46347</x:v>
      </x:c>
      <x:c r="H63" s="68" t="n">
        <x:v>46351</x:v>
      </x:c>
      <x:c r="I63" s="68" t="n">
        <x:v>46327</x:v>
      </x:c>
      <x:c r="J63" s="68" t="n">
        <x:v>46330</x:v>
      </x:c>
      <x:c r="K63" s="68" t="n">
        <x:v>46333</x:v>
      </x:c>
      <x:c r="L63" s="68" t="n">
        <x:v>46335</x:v>
      </x:c>
      <x:c r="M63" s="68" t="n">
        <x:v>46362</x:v>
      </x:c>
      <x:c r="N63" s="68" t="n">
        <x:v>46344</x:v>
      </x:c>
      <x:c r="O63" s="68" t="n">
        <x:v>46388</x:v>
      </x:c>
      <x:c r="P63" s="59" t="str">
        <x:v>crawl_sampling_master.xlsx</x:v>
      </x:c>
    </x:row>
    <x:row r="64">
      <x:c r="A64" s="68" t="n">
        <x:v>46327</x:v>
      </x:c>
      <x:c r="B64" s="59" t="str">
        <x:v>Chủ Nhật</x:v>
      </x:c>
      <x:c r="C64" s="59" t="str">
        <x:v>00:30</x:v>
      </x:c>
      <x:c r="D64" s="68" t="n">
        <x:v>46338</x:v>
      </x:c>
      <x:c r="E64" s="68" t="n">
        <x:v>46340</x:v>
      </x:c>
      <x:c r="F64" s="68" t="n">
        <x:v>46343</x:v>
      </x:c>
      <x:c r="G64" s="68" t="n">
        <x:v>46347</x:v>
      </x:c>
      <x:c r="H64" s="68" t="n">
        <x:v>46351</x:v>
      </x:c>
      <x:c r="I64" s="68" t="n">
        <x:v>46327</x:v>
      </x:c>
      <x:c r="J64" s="68" t="n">
        <x:v>46330</x:v>
      </x:c>
      <x:c r="K64" s="68" t="n">
        <x:v>46333</x:v>
      </x:c>
      <x:c r="L64" s="68" t="n">
        <x:v>46335</x:v>
      </x:c>
      <x:c r="M64" s="68" t="n">
        <x:v>46362</x:v>
      </x:c>
      <x:c r="N64" s="68" t="n">
        <x:v>46344</x:v>
      </x:c>
      <x:c r="O64" s="68" t="n">
        <x:v>46388</x:v>
      </x:c>
      <x:c r="P64" s="59" t="str">
        <x:v>crawl_sampling_master.xlsx</x:v>
      </x:c>
    </x:row>
    <x:row r="65">
      <x:c r="A65" s="68" t="n">
        <x:v>46328</x:v>
      </x:c>
      <x:c r="B65" s="59" t="str">
        <x:v>Thứ Hai</x:v>
      </x:c>
      <x:c r="C65" s="59" t="str">
        <x:v>00:30</x:v>
      </x:c>
      <x:c r="D65" s="68" t="n">
        <x:v>46338</x:v>
      </x:c>
      <x:c r="E65" s="68" t="n">
        <x:v>46340</x:v>
      </x:c>
      <x:c r="F65" s="68" t="n">
        <x:v>46343</x:v>
      </x:c>
      <x:c r="G65" s="68" t="n">
        <x:v>46347</x:v>
      </x:c>
      <x:c r="H65" s="68" t="n">
        <x:v>46351</x:v>
      </x:c>
      <x:c r="I65" s="68" t="n">
        <x:v>46355</x:v>
      </x:c>
      <x:c r="J65" s="68" t="n">
        <x:v>46330</x:v>
      </x:c>
      <x:c r="K65" s="68" t="n">
        <x:v>46333</x:v>
      </x:c>
      <x:c r="L65" s="68" t="n">
        <x:v>46335</x:v>
      </x:c>
      <x:c r="M65" s="68" t="n">
        <x:v>46362</x:v>
      </x:c>
      <x:c r="N65" s="68" t="n">
        <x:v>46344</x:v>
      </x:c>
      <x:c r="O65" s="68" t="n">
        <x:v>46388</x:v>
      </x:c>
      <x:c r="P65" s="59" t="str">
        <x:v>crawl_sampling_master.xlsx</x:v>
      </x:c>
    </x:row>
    <x:row r="66">
      <x:c r="A66" s="68" t="n">
        <x:v>46329</x:v>
      </x:c>
      <x:c r="B66" s="59" t="str">
        <x:v>Thứ Ba</x:v>
      </x:c>
      <x:c r="C66" s="59" t="str">
        <x:v>00:30</x:v>
      </x:c>
      <x:c r="D66" s="68" t="n">
        <x:v>46338</x:v>
      </x:c>
      <x:c r="E66" s="68" t="n">
        <x:v>46340</x:v>
      </x:c>
      <x:c r="F66" s="68" t="n">
        <x:v>46343</x:v>
      </x:c>
      <x:c r="G66" s="68" t="n">
        <x:v>46347</x:v>
      </x:c>
      <x:c r="H66" s="68" t="n">
        <x:v>46351</x:v>
      </x:c>
      <x:c r="I66" s="68" t="n">
        <x:v>46355</x:v>
      </x:c>
      <x:c r="J66" s="68" t="n">
        <x:v>46330</x:v>
      </x:c>
      <x:c r="K66" s="68" t="n">
        <x:v>46333</x:v>
      </x:c>
      <x:c r="L66" s="68" t="n">
        <x:v>46335</x:v>
      </x:c>
      <x:c r="M66" s="68" t="n">
        <x:v>46362</x:v>
      </x:c>
      <x:c r="N66" s="68" t="n">
        <x:v>46344</x:v>
      </x:c>
      <x:c r="O66" s="68" t="n">
        <x:v>46388</x:v>
      </x:c>
      <x:c r="P66" s="59" t="str">
        <x:v>crawl_sampling_master.xlsx</x:v>
      </x:c>
    </x:row>
    <x:row r="67">
      <x:c r="A67" s="68" t="n">
        <x:v>46330</x:v>
      </x:c>
      <x:c r="B67" s="59" t="str">
        <x:v>Thứ Tư</x:v>
      </x:c>
      <x:c r="C67" s="59" t="str">
        <x:v>00:30</x:v>
      </x:c>
      <x:c r="D67" s="68" t="n">
        <x:v>46338</x:v>
      </x:c>
      <x:c r="E67" s="68" t="n">
        <x:v>46340</x:v>
      </x:c>
      <x:c r="F67" s="68" t="n">
        <x:v>46343</x:v>
      </x:c>
      <x:c r="G67" s="68" t="n">
        <x:v>46347</x:v>
      </x:c>
      <x:c r="H67" s="68" t="n">
        <x:v>46351</x:v>
      </x:c>
      <x:c r="I67" s="68" t="n">
        <x:v>46355</x:v>
      </x:c>
      <x:c r="J67" s="68" t="n">
        <x:v>46330</x:v>
      </x:c>
      <x:c r="K67" s="68" t="n">
        <x:v>46333</x:v>
      </x:c>
      <x:c r="L67" s="68" t="n">
        <x:v>46335</x:v>
      </x:c>
      <x:c r="M67" s="68" t="n">
        <x:v>46362</x:v>
      </x:c>
      <x:c r="N67" s="68" t="n">
        <x:v>46344</x:v>
      </x:c>
      <x:c r="O67" s="68" t="n">
        <x:v>46388</x:v>
      </x:c>
      <x:c r="P67" s="59" t="str">
        <x:v>crawl_sampling_master.xlsx</x:v>
      </x:c>
    </x:row>
    <x:row r="68">
      <x:c r="A68" s="68" t="n">
        <x:v>46331</x:v>
      </x:c>
      <x:c r="B68" s="59" t="str">
        <x:v>Thứ Năm</x:v>
      </x:c>
      <x:c r="C68" s="59" t="str">
        <x:v>00:30</x:v>
      </x:c>
      <x:c r="D68" s="68" t="n">
        <x:v>46338</x:v>
      </x:c>
      <x:c r="E68" s="68" t="n">
        <x:v>46340</x:v>
      </x:c>
      <x:c r="F68" s="68" t="n">
        <x:v>46343</x:v>
      </x:c>
      <x:c r="G68" s="68" t="n">
        <x:v>46347</x:v>
      </x:c>
      <x:c r="H68" s="68" t="n">
        <x:v>46351</x:v>
      </x:c>
      <x:c r="I68" s="68" t="n">
        <x:v>46355</x:v>
      </x:c>
      <x:c r="J68" s="68" t="n">
        <x:v>46358</x:v>
      </x:c>
      <x:c r="K68" s="68" t="n">
        <x:v>46333</x:v>
      </x:c>
      <x:c r="L68" s="68" t="n">
        <x:v>46335</x:v>
      </x:c>
      <x:c r="M68" s="68" t="n">
        <x:v>46362</x:v>
      </x:c>
      <x:c r="N68" s="68" t="n">
        <x:v>46344</x:v>
      </x:c>
      <x:c r="O68" s="68" t="n">
        <x:v>46388</x:v>
      </x:c>
      <x:c r="P68" s="59" t="str">
        <x:v>crawl_sampling_master.xlsx</x:v>
      </x:c>
    </x:row>
    <x:row r="69">
      <x:c r="A69" s="68" t="n">
        <x:v>46332</x:v>
      </x:c>
      <x:c r="B69" s="59" t="str">
        <x:v>Thứ Sáu</x:v>
      </x:c>
      <x:c r="C69" s="59" t="str">
        <x:v>00:30</x:v>
      </x:c>
      <x:c r="D69" s="68" t="n">
        <x:v>46338</x:v>
      </x:c>
      <x:c r="E69" s="68" t="n">
        <x:v>46340</x:v>
      </x:c>
      <x:c r="F69" s="68" t="n">
        <x:v>46343</x:v>
      </x:c>
      <x:c r="G69" s="68" t="n">
        <x:v>46347</x:v>
      </x:c>
      <x:c r="H69" s="68" t="n">
        <x:v>46351</x:v>
      </x:c>
      <x:c r="I69" s="68" t="n">
        <x:v>46355</x:v>
      </x:c>
      <x:c r="J69" s="68" t="n">
        <x:v>46358</x:v>
      </x:c>
      <x:c r="K69" s="68" t="n">
        <x:v>46333</x:v>
      </x:c>
      <x:c r="L69" s="68" t="n">
        <x:v>46335</x:v>
      </x:c>
      <x:c r="M69" s="68" t="n">
        <x:v>46362</x:v>
      </x:c>
      <x:c r="N69" s="68" t="n">
        <x:v>46344</x:v>
      </x:c>
      <x:c r="O69" s="68" t="n">
        <x:v>46388</x:v>
      </x:c>
      <x:c r="P69" s="59" t="str">
        <x:v>crawl_sampling_master.xlsx</x:v>
      </x:c>
    </x:row>
    <x:row r="70">
      <x:c r="A70" s="68" t="n">
        <x:v>46333</x:v>
      </x:c>
      <x:c r="B70" s="59" t="str">
        <x:v>Thứ Bảy</x:v>
      </x:c>
      <x:c r="C70" s="59" t="str">
        <x:v>00:30</x:v>
      </x:c>
      <x:c r="D70" s="68" t="n">
        <x:v>46338</x:v>
      </x:c>
      <x:c r="E70" s="68" t="n">
        <x:v>46340</x:v>
      </x:c>
      <x:c r="F70" s="68" t="n">
        <x:v>46343</x:v>
      </x:c>
      <x:c r="G70" s="68" t="n">
        <x:v>46347</x:v>
      </x:c>
      <x:c r="H70" s="68" t="n">
        <x:v>46351</x:v>
      </x:c>
      <x:c r="I70" s="68" t="n">
        <x:v>46355</x:v>
      </x:c>
      <x:c r="J70" s="68" t="n">
        <x:v>46358</x:v>
      </x:c>
      <x:c r="K70" s="68" t="n">
        <x:v>46333</x:v>
      </x:c>
      <x:c r="L70" s="68" t="n">
        <x:v>46335</x:v>
      </x:c>
      <x:c r="M70" s="68" t="n">
        <x:v>46362</x:v>
      </x:c>
      <x:c r="N70" s="68" t="n">
        <x:v>46344</x:v>
      </x:c>
      <x:c r="O70" s="68" t="n">
        <x:v>46388</x:v>
      </x:c>
      <x:c r="P70" s="59" t="str">
        <x:v>crawl_sampling_master.xlsx</x:v>
      </x:c>
    </x:row>
    <x:row r="71">
      <x:c r="A71" s="68" t="n">
        <x:v>46334</x:v>
      </x:c>
      <x:c r="B71" s="59" t="str">
        <x:v>Chủ Nhật</x:v>
      </x:c>
      <x:c r="C71" s="59" t="str">
        <x:v>00:30</x:v>
      </x:c>
      <x:c r="D71" s="68" t="n">
        <x:v>46338</x:v>
      </x:c>
      <x:c r="E71" s="68" t="n">
        <x:v>46340</x:v>
      </x:c>
      <x:c r="F71" s="68" t="n">
        <x:v>46343</x:v>
      </x:c>
      <x:c r="G71" s="68" t="n">
        <x:v>46347</x:v>
      </x:c>
      <x:c r="H71" s="68" t="n">
        <x:v>46351</x:v>
      </x:c>
      <x:c r="I71" s="68" t="n">
        <x:v>46355</x:v>
      </x:c>
      <x:c r="J71" s="68" t="n">
        <x:v>46358</x:v>
      </x:c>
      <x:c r="K71" s="68" t="n">
        <x:v>46361</x:v>
      </x:c>
      <x:c r="L71" s="68" t="n">
        <x:v>46335</x:v>
      </x:c>
      <x:c r="M71" s="68" t="n">
        <x:v>46362</x:v>
      </x:c>
      <x:c r="N71" s="68" t="n">
        <x:v>46344</x:v>
      </x:c>
      <x:c r="O71" s="68" t="n">
        <x:v>46388</x:v>
      </x:c>
      <x:c r="P71" s="59" t="str">
        <x:v>crawl_sampling_master.xlsx</x:v>
      </x:c>
    </x:row>
    <x:row r="72">
      <x:c r="A72" s="68" t="n">
        <x:v>46335</x:v>
      </x:c>
      <x:c r="B72" s="59" t="str">
        <x:v>Thứ Hai</x:v>
      </x:c>
      <x:c r="C72" s="59" t="str">
        <x:v>00:30</x:v>
      </x:c>
      <x:c r="D72" s="68" t="n">
        <x:v>46338</x:v>
      </x:c>
      <x:c r="E72" s="68" t="n">
        <x:v>46340</x:v>
      </x:c>
      <x:c r="F72" s="68" t="n">
        <x:v>46343</x:v>
      </x:c>
      <x:c r="G72" s="68" t="n">
        <x:v>46347</x:v>
      </x:c>
      <x:c r="H72" s="68" t="n">
        <x:v>46351</x:v>
      </x:c>
      <x:c r="I72" s="68" t="n">
        <x:v>46355</x:v>
      </x:c>
      <x:c r="J72" s="68" t="n">
        <x:v>46358</x:v>
      </x:c>
      <x:c r="K72" s="68" t="n">
        <x:v>46361</x:v>
      </x:c>
      <x:c r="L72" s="68" t="n">
        <x:v>46335</x:v>
      </x:c>
      <x:c r="M72" s="68" t="n">
        <x:v>46362</x:v>
      </x:c>
      <x:c r="N72" s="68" t="n">
        <x:v>46344</x:v>
      </x:c>
      <x:c r="O72" s="68" t="n">
        <x:v>46388</x:v>
      </x:c>
      <x:c r="P72" s="59" t="str">
        <x:v>crawl_sampling_master.xlsx</x:v>
      </x:c>
    </x:row>
    <x:row r="73">
      <x:c r="A73" s="68" t="n">
        <x:v>46336</x:v>
      </x:c>
      <x:c r="B73" s="59" t="str">
        <x:v>Thứ Ba</x:v>
      </x:c>
      <x:c r="C73" s="59" t="str">
        <x:v>00:30</x:v>
      </x:c>
      <x:c r="D73" s="68" t="n">
        <x:v>46338</x:v>
      </x:c>
      <x:c r="E73" s="68" t="n">
        <x:v>46340</x:v>
      </x:c>
      <x:c r="F73" s="68" t="n">
        <x:v>46343</x:v>
      </x:c>
      <x:c r="G73" s="68" t="n">
        <x:v>46347</x:v>
      </x:c>
      <x:c r="H73" s="68" t="n">
        <x:v>46351</x:v>
      </x:c>
      <x:c r="I73" s="68" t="n">
        <x:v>46355</x:v>
      </x:c>
      <x:c r="J73" s="68" t="n">
        <x:v>46358</x:v>
      </x:c>
      <x:c r="K73" s="68" t="n">
        <x:v>46361</x:v>
      </x:c>
      <x:c r="L73" s="68" t="n">
        <x:v>46363</x:v>
      </x:c>
      <x:c r="M73" s="68" t="n">
        <x:v>46362</x:v>
      </x:c>
      <x:c r="N73" s="68" t="n">
        <x:v>46344</x:v>
      </x:c>
      <x:c r="O73" s="68" t="n">
        <x:v>46388</x:v>
      </x:c>
      <x:c r="P73" s="59" t="str">
        <x:v>crawl_sampling_master.xlsx</x:v>
      </x:c>
    </x:row>
    <x:row r="74">
      <x:c r="A74" s="68" t="n">
        <x:v>46337</x:v>
      </x:c>
      <x:c r="B74" s="59" t="str">
        <x:v>Thứ Tư</x:v>
      </x:c>
      <x:c r="C74" s="59" t="str">
        <x:v>00:30</x:v>
      </x:c>
      <x:c r="D74" s="68" t="n">
        <x:v>46338</x:v>
      </x:c>
      <x:c r="E74" s="68" t="n">
        <x:v>46340</x:v>
      </x:c>
      <x:c r="F74" s="68" t="n">
        <x:v>46343</x:v>
      </x:c>
      <x:c r="G74" s="68" t="n">
        <x:v>46347</x:v>
      </x:c>
      <x:c r="H74" s="68" t="n">
        <x:v>46351</x:v>
      </x:c>
      <x:c r="I74" s="68" t="n">
        <x:v>46355</x:v>
      </x:c>
      <x:c r="J74" s="68" t="n">
        <x:v>46358</x:v>
      </x:c>
      <x:c r="K74" s="68" t="n">
        <x:v>46361</x:v>
      </x:c>
      <x:c r="L74" s="68" t="n">
        <x:v>46363</x:v>
      </x:c>
      <x:c r="M74" s="68" t="n">
        <x:v>46362</x:v>
      </x:c>
      <x:c r="N74" s="68" t="n">
        <x:v>46344</x:v>
      </x:c>
      <x:c r="O74" s="68" t="n">
        <x:v>46388</x:v>
      </x:c>
      <x:c r="P74" s="59" t="str">
        <x:v>crawl_sampling_master.xlsx</x:v>
      </x:c>
    </x:row>
    <x:row r="75">
      <x:c r="A75" s="68" t="n">
        <x:v>46338</x:v>
      </x:c>
      <x:c r="B75" s="59" t="str">
        <x:v>Thứ Năm</x:v>
      </x:c>
      <x:c r="C75" s="59" t="str">
        <x:v>00:30</x:v>
      </x:c>
      <x:c r="D75" s="68" t="n">
        <x:v>46338</x:v>
      </x:c>
      <x:c r="E75" s="68" t="n">
        <x:v>46340</x:v>
      </x:c>
      <x:c r="F75" s="68" t="n">
        <x:v>46343</x:v>
      </x:c>
      <x:c r="G75" s="68" t="n">
        <x:v>46347</x:v>
      </x:c>
      <x:c r="H75" s="68" t="n">
        <x:v>46351</x:v>
      </x:c>
      <x:c r="I75" s="68" t="n">
        <x:v>46355</x:v>
      </x:c>
      <x:c r="J75" s="68" t="n">
        <x:v>46358</x:v>
      </x:c>
      <x:c r="K75" s="68" t="n">
        <x:v>46361</x:v>
      </x:c>
      <x:c r="L75" s="68" t="n">
        <x:v>46363</x:v>
      </x:c>
      <x:c r="M75" s="68" t="n">
        <x:v>46362</x:v>
      </x:c>
      <x:c r="N75" s="68" t="n">
        <x:v>46344</x:v>
      </x:c>
      <x:c r="O75" s="68" t="n">
        <x:v>46388</x:v>
      </x:c>
      <x:c r="P75" s="59" t="str">
        <x:v>crawl_sampling_master.xlsx</x:v>
      </x:c>
    </x:row>
    <x:row r="76">
      <x:c r="A76" s="68" t="n">
        <x:v>46339</x:v>
      </x:c>
      <x:c r="B76" s="59" t="str">
        <x:v>Thứ Sáu</x:v>
      </x:c>
      <x:c r="C76" s="59" t="str">
        <x:v>00:30</x:v>
      </x:c>
      <x:c r="D76" s="68" t="n">
        <x:v>46366</x:v>
      </x:c>
      <x:c r="E76" s="68" t="n">
        <x:v>46340</x:v>
      </x:c>
      <x:c r="F76" s="68" t="n">
        <x:v>46343</x:v>
      </x:c>
      <x:c r="G76" s="68" t="n">
        <x:v>46347</x:v>
      </x:c>
      <x:c r="H76" s="68" t="n">
        <x:v>46351</x:v>
      </x:c>
      <x:c r="I76" s="68" t="n">
        <x:v>46355</x:v>
      </x:c>
      <x:c r="J76" s="68" t="n">
        <x:v>46358</x:v>
      </x:c>
      <x:c r="K76" s="68" t="n">
        <x:v>46361</x:v>
      </x:c>
      <x:c r="L76" s="68" t="n">
        <x:v>46363</x:v>
      </x:c>
      <x:c r="M76" s="68" t="n">
        <x:v>46362</x:v>
      </x:c>
      <x:c r="N76" s="68" t="n">
        <x:v>46344</x:v>
      </x:c>
      <x:c r="O76" s="68" t="n">
        <x:v>46388</x:v>
      </x:c>
      <x:c r="P76" s="59" t="str">
        <x:v>crawl_sampling_master.xlsx</x:v>
      </x:c>
    </x:row>
    <x:row r="77">
      <x:c r="A77" s="68" t="n">
        <x:v>46340</x:v>
      </x:c>
      <x:c r="B77" s="59" t="str">
        <x:v>Thứ Bảy</x:v>
      </x:c>
      <x:c r="C77" s="59" t="str">
        <x:v>00:30</x:v>
      </x:c>
      <x:c r="D77" s="68" t="n">
        <x:v>46366</x:v>
      </x:c>
      <x:c r="E77" s="68" t="n">
        <x:v>46340</x:v>
      </x:c>
      <x:c r="F77" s="68" t="n">
        <x:v>46343</x:v>
      </x:c>
      <x:c r="G77" s="68" t="n">
        <x:v>46347</x:v>
      </x:c>
      <x:c r="H77" s="68" t="n">
        <x:v>46351</x:v>
      </x:c>
      <x:c r="I77" s="68" t="n">
        <x:v>46355</x:v>
      </x:c>
      <x:c r="J77" s="68" t="n">
        <x:v>46358</x:v>
      </x:c>
      <x:c r="K77" s="68" t="n">
        <x:v>46361</x:v>
      </x:c>
      <x:c r="L77" s="68" t="n">
        <x:v>46363</x:v>
      </x:c>
      <x:c r="M77" s="68" t="n">
        <x:v>46362</x:v>
      </x:c>
      <x:c r="N77" s="68" t="n">
        <x:v>46344</x:v>
      </x:c>
      <x:c r="O77" s="68" t="n">
        <x:v>46388</x:v>
      </x:c>
      <x:c r="P77" s="59" t="str">
        <x:v>crawl_sampling_master.xlsx</x:v>
      </x:c>
    </x:row>
    <x:row r="78">
      <x:c r="A78" s="68" t="n">
        <x:v>46341</x:v>
      </x:c>
      <x:c r="B78" s="59" t="str">
        <x:v>Chủ Nhật</x:v>
      </x:c>
      <x:c r="C78" s="59" t="str">
        <x:v>00:30</x:v>
      </x:c>
      <x:c r="D78" s="68" t="n">
        <x:v>46366</x:v>
      </x:c>
      <x:c r="E78" s="68" t="n">
        <x:v>46368</x:v>
      </x:c>
      <x:c r="F78" s="68" t="n">
        <x:v>46343</x:v>
      </x:c>
      <x:c r="G78" s="68" t="n">
        <x:v>46347</x:v>
      </x:c>
      <x:c r="H78" s="68" t="n">
        <x:v>46351</x:v>
      </x:c>
      <x:c r="I78" s="68" t="n">
        <x:v>46355</x:v>
      </x:c>
      <x:c r="J78" s="68" t="n">
        <x:v>46358</x:v>
      </x:c>
      <x:c r="K78" s="68" t="n">
        <x:v>46361</x:v>
      </x:c>
      <x:c r="L78" s="68" t="n">
        <x:v>46363</x:v>
      </x:c>
      <x:c r="M78" s="68" t="n">
        <x:v>46362</x:v>
      </x:c>
      <x:c r="N78" s="68" t="n">
        <x:v>46344</x:v>
      </x:c>
      <x:c r="O78" s="68" t="n">
        <x:v>46388</x:v>
      </x:c>
      <x:c r="P78" s="59" t="str">
        <x:v>crawl_sampling_master.xlsx</x:v>
      </x:c>
    </x:row>
    <x:row r="79">
      <x:c r="A79" s="68" t="n">
        <x:v>46342</x:v>
      </x:c>
      <x:c r="B79" s="59" t="str">
        <x:v>Thứ Hai</x:v>
      </x:c>
      <x:c r="C79" s="59" t="str">
        <x:v>00:30</x:v>
      </x:c>
      <x:c r="D79" s="68" t="n">
        <x:v>46366</x:v>
      </x:c>
      <x:c r="E79" s="68" t="n">
        <x:v>46368</x:v>
      </x:c>
      <x:c r="F79" s="68" t="n">
        <x:v>46343</x:v>
      </x:c>
      <x:c r="G79" s="68" t="n">
        <x:v>46347</x:v>
      </x:c>
      <x:c r="H79" s="68" t="n">
        <x:v>46351</x:v>
      </x:c>
      <x:c r="I79" s="68" t="n">
        <x:v>46355</x:v>
      </x:c>
      <x:c r="J79" s="68" t="n">
        <x:v>46358</x:v>
      </x:c>
      <x:c r="K79" s="68" t="n">
        <x:v>46361</x:v>
      </x:c>
      <x:c r="L79" s="68" t="n">
        <x:v>46363</x:v>
      </x:c>
      <x:c r="M79" s="68" t="n">
        <x:v>46362</x:v>
      </x:c>
      <x:c r="N79" s="68" t="n">
        <x:v>46344</x:v>
      </x:c>
      <x:c r="O79" s="68" t="n">
        <x:v>46388</x:v>
      </x:c>
      <x:c r="P79" s="59" t="str">
        <x:v>crawl_sampling_master.xlsx</x:v>
      </x:c>
    </x:row>
    <x:row r="80">
      <x:c r="A80" s="68" t="n">
        <x:v>46343</x:v>
      </x:c>
      <x:c r="B80" s="59" t="str">
        <x:v>Thứ Ba</x:v>
      </x:c>
      <x:c r="C80" s="59" t="str">
        <x:v>00:30</x:v>
      </x:c>
      <x:c r="D80" s="68" t="n">
        <x:v>46366</x:v>
      </x:c>
      <x:c r="E80" s="68" t="n">
        <x:v>46368</x:v>
      </x:c>
      <x:c r="F80" s="68" t="n">
        <x:v>46343</x:v>
      </x:c>
      <x:c r="G80" s="68" t="n">
        <x:v>46347</x:v>
      </x:c>
      <x:c r="H80" s="68" t="n">
        <x:v>46351</x:v>
      </x:c>
      <x:c r="I80" s="68" t="n">
        <x:v>46355</x:v>
      </x:c>
      <x:c r="J80" s="68" t="n">
        <x:v>46358</x:v>
      </x:c>
      <x:c r="K80" s="68" t="n">
        <x:v>46361</x:v>
      </x:c>
      <x:c r="L80" s="68" t="n">
        <x:v>46363</x:v>
      </x:c>
      <x:c r="M80" s="68" t="n">
        <x:v>46362</x:v>
      </x:c>
      <x:c r="N80" s="68" t="n">
        <x:v>46344</x:v>
      </x:c>
      <x:c r="O80" s="68" t="n">
        <x:v>46388</x:v>
      </x:c>
      <x:c r="P80" s="59" t="str">
        <x:v>crawl_sampling_master.xlsx</x:v>
      </x:c>
    </x:row>
    <x:row r="81">
      <x:c r="A81" s="68" t="n">
        <x:v>46344</x:v>
      </x:c>
      <x:c r="B81" s="59" t="str">
        <x:v>Thứ Tư</x:v>
      </x:c>
      <x:c r="C81" s="59" t="str">
        <x:v>00:30</x:v>
      </x:c>
      <x:c r="D81" s="68" t="n">
        <x:v>46366</x:v>
      </x:c>
      <x:c r="E81" s="68" t="n">
        <x:v>46368</x:v>
      </x:c>
      <x:c r="F81" s="68" t="n">
        <x:v>46371</x:v>
      </x:c>
      <x:c r="G81" s="68" t="n">
        <x:v>46347</x:v>
      </x:c>
      <x:c r="H81" s="68" t="n">
        <x:v>46351</x:v>
      </x:c>
      <x:c r="I81" s="68" t="n">
        <x:v>46355</x:v>
      </x:c>
      <x:c r="J81" s="68" t="n">
        <x:v>46358</x:v>
      </x:c>
      <x:c r="K81" s="68" t="n">
        <x:v>46361</x:v>
      </x:c>
      <x:c r="L81" s="68" t="n">
        <x:v>46363</x:v>
      </x:c>
      <x:c r="M81" s="68" t="n">
        <x:v>46362</x:v>
      </x:c>
      <x:c r="N81" s="68" t="n">
        <x:v>46344</x:v>
      </x:c>
      <x:c r="O81" s="68" t="n">
        <x:v>46388</x:v>
      </x:c>
      <x:c r="P81" s="59" t="str">
        <x:v>crawl_sampling_master.xlsx</x:v>
      </x:c>
    </x:row>
    <x:row r="82">
      <x:c r="A82" s="68" t="n">
        <x:v>46345</x:v>
      </x:c>
      <x:c r="B82" s="59" t="str">
        <x:v>Thứ Năm</x:v>
      </x:c>
      <x:c r="C82" s="59" t="str">
        <x:v>00:30</x:v>
      </x:c>
      <x:c r="D82" s="68" t="n">
        <x:v>46366</x:v>
      </x:c>
      <x:c r="E82" s="68" t="n">
        <x:v>46368</x:v>
      </x:c>
      <x:c r="F82" s="68" t="n">
        <x:v>46371</x:v>
      </x:c>
      <x:c r="G82" s="68" t="n">
        <x:v>46347</x:v>
      </x:c>
      <x:c r="H82" s="68" t="n">
        <x:v>46351</x:v>
      </x:c>
      <x:c r="I82" s="68" t="n">
        <x:v>46355</x:v>
      </x:c>
      <x:c r="J82" s="68" t="n">
        <x:v>46358</x:v>
      </x:c>
      <x:c r="K82" s="68" t="n">
        <x:v>46361</x:v>
      </x:c>
      <x:c r="L82" s="68" t="n">
        <x:v>46363</x:v>
      </x:c>
      <x:c r="M82" s="68" t="n">
        <x:v>46362</x:v>
      </x:c>
      <x:c r="N82" s="68" t="n">
        <x:v>46428</x:v>
      </x:c>
      <x:c r="O82" s="68" t="n">
        <x:v>46388</x:v>
      </x:c>
      <x:c r="P82" s="59" t="str">
        <x:v>crawl_sampling_master.xlsx</x:v>
      </x:c>
    </x:row>
    <x:row r="83">
      <x:c r="A83" s="68" t="n">
        <x:v>46346</x:v>
      </x:c>
      <x:c r="B83" s="59" t="str">
        <x:v>Thứ Sáu</x:v>
      </x:c>
      <x:c r="C83" s="59" t="str">
        <x:v>00:30</x:v>
      </x:c>
      <x:c r="D83" s="68" t="n">
        <x:v>46366</x:v>
      </x:c>
      <x:c r="E83" s="68" t="n">
        <x:v>46368</x:v>
      </x:c>
      <x:c r="F83" s="68" t="n">
        <x:v>46371</x:v>
      </x:c>
      <x:c r="G83" s="68" t="n">
        <x:v>46347</x:v>
      </x:c>
      <x:c r="H83" s="68" t="n">
        <x:v>46351</x:v>
      </x:c>
      <x:c r="I83" s="68" t="n">
        <x:v>46355</x:v>
      </x:c>
      <x:c r="J83" s="68" t="n">
        <x:v>46358</x:v>
      </x:c>
      <x:c r="K83" s="68" t="n">
        <x:v>46361</x:v>
      </x:c>
      <x:c r="L83" s="68" t="n">
        <x:v>46363</x:v>
      </x:c>
      <x:c r="M83" s="68" t="n">
        <x:v>46362</x:v>
      </x:c>
      <x:c r="N83" s="68" t="n">
        <x:v>46428</x:v>
      </x:c>
      <x:c r="O83" s="68" t="n">
        <x:v>46388</x:v>
      </x:c>
      <x:c r="P83" s="59" t="str">
        <x:v>crawl_sampling_master.xlsx</x:v>
      </x:c>
    </x:row>
    <x:row r="84">
      <x:c r="A84" s="68" t="n">
        <x:v>46347</x:v>
      </x:c>
      <x:c r="B84" s="59" t="str">
        <x:v>Thứ Bảy</x:v>
      </x:c>
      <x:c r="C84" s="59" t="str">
        <x:v>00:30</x:v>
      </x:c>
      <x:c r="D84" s="68" t="n">
        <x:v>46366</x:v>
      </x:c>
      <x:c r="E84" s="68" t="n">
        <x:v>46368</x:v>
      </x:c>
      <x:c r="F84" s="68" t="n">
        <x:v>46371</x:v>
      </x:c>
      <x:c r="G84" s="68" t="n">
        <x:v>46347</x:v>
      </x:c>
      <x:c r="H84" s="68" t="n">
        <x:v>46351</x:v>
      </x:c>
      <x:c r="I84" s="68" t="n">
        <x:v>46355</x:v>
      </x:c>
      <x:c r="J84" s="68" t="n">
        <x:v>46358</x:v>
      </x:c>
      <x:c r="K84" s="68" t="n">
        <x:v>46361</x:v>
      </x:c>
      <x:c r="L84" s="68" t="n">
        <x:v>46363</x:v>
      </x:c>
      <x:c r="M84" s="68" t="n">
        <x:v>46362</x:v>
      </x:c>
      <x:c r="N84" s="68" t="n">
        <x:v>46428</x:v>
      </x:c>
      <x:c r="O84" s="68" t="n">
        <x:v>46388</x:v>
      </x:c>
      <x:c r="P84" s="59" t="str">
        <x:v>crawl_sampling_master.xlsx</x:v>
      </x:c>
    </x:row>
    <x:row r="85">
      <x:c r="A85" s="68" t="n">
        <x:v>46348</x:v>
      </x:c>
      <x:c r="B85" s="59" t="str">
        <x:v>Chủ Nhật</x:v>
      </x:c>
      <x:c r="C85" s="59" t="str">
        <x:v>00:30</x:v>
      </x:c>
      <x:c r="D85" s="68" t="n">
        <x:v>46366</x:v>
      </x:c>
      <x:c r="E85" s="68" t="n">
        <x:v>46368</x:v>
      </x:c>
      <x:c r="F85" s="68" t="n">
        <x:v>46371</x:v>
      </x:c>
      <x:c r="G85" s="68" t="n">
        <x:v>46375</x:v>
      </x:c>
      <x:c r="H85" s="68" t="n">
        <x:v>46351</x:v>
      </x:c>
      <x:c r="I85" s="68" t="n">
        <x:v>46355</x:v>
      </x:c>
      <x:c r="J85" s="68" t="n">
        <x:v>46358</x:v>
      </x:c>
      <x:c r="K85" s="68" t="n">
        <x:v>46361</x:v>
      </x:c>
      <x:c r="L85" s="68" t="n">
        <x:v>46363</x:v>
      </x:c>
      <x:c r="M85" s="68" t="n">
        <x:v>46362</x:v>
      </x:c>
      <x:c r="N85" s="68" t="n">
        <x:v>46428</x:v>
      </x:c>
      <x:c r="O85" s="68" t="n">
        <x:v>46388</x:v>
      </x:c>
      <x:c r="P85" s="59" t="str">
        <x:v>crawl_sampling_master.xlsx</x:v>
      </x:c>
    </x:row>
    <x:row r="86">
      <x:c r="A86" s="68" t="n">
        <x:v>46349</x:v>
      </x:c>
      <x:c r="B86" s="59" t="str">
        <x:v>Thứ Hai</x:v>
      </x:c>
      <x:c r="C86" s="59" t="str">
        <x:v>00:30</x:v>
      </x:c>
      <x:c r="D86" s="68" t="n">
        <x:v>46366</x:v>
      </x:c>
      <x:c r="E86" s="68" t="n">
        <x:v>46368</x:v>
      </x:c>
      <x:c r="F86" s="68" t="n">
        <x:v>46371</x:v>
      </x:c>
      <x:c r="G86" s="68" t="n">
        <x:v>46375</x:v>
      </x:c>
      <x:c r="H86" s="68" t="n">
        <x:v>46351</x:v>
      </x:c>
      <x:c r="I86" s="68" t="n">
        <x:v>46355</x:v>
      </x:c>
      <x:c r="J86" s="68" t="n">
        <x:v>46358</x:v>
      </x:c>
      <x:c r="K86" s="68" t="n">
        <x:v>46361</x:v>
      </x:c>
      <x:c r="L86" s="68" t="n">
        <x:v>46363</x:v>
      </x:c>
      <x:c r="M86" s="68" t="n">
        <x:v>46362</x:v>
      </x:c>
      <x:c r="N86" s="68" t="n">
        <x:v>46428</x:v>
      </x:c>
      <x:c r="O86" s="68" t="n">
        <x:v>46388</x:v>
      </x:c>
      <x:c r="P86" s="59" t="str">
        <x:v>crawl_sampling_master.xlsx</x:v>
      </x:c>
    </x:row>
    <x:row r="87">
      <x:c r="A87" s="68" t="n">
        <x:v>46350</x:v>
      </x:c>
      <x:c r="B87" s="59" t="str">
        <x:v>Thứ Ba</x:v>
      </x:c>
      <x:c r="C87" s="59" t="str">
        <x:v>00:30</x:v>
      </x:c>
      <x:c r="D87" s="68" t="n">
        <x:v>46366</x:v>
      </x:c>
      <x:c r="E87" s="68" t="n">
        <x:v>46368</x:v>
      </x:c>
      <x:c r="F87" s="68" t="n">
        <x:v>46371</x:v>
      </x:c>
      <x:c r="G87" s="68" t="n">
        <x:v>46375</x:v>
      </x:c>
      <x:c r="H87" s="68" t="n">
        <x:v>46351</x:v>
      </x:c>
      <x:c r="I87" s="68" t="n">
        <x:v>46355</x:v>
      </x:c>
      <x:c r="J87" s="68" t="n">
        <x:v>46358</x:v>
      </x:c>
      <x:c r="K87" s="68" t="n">
        <x:v>46361</x:v>
      </x:c>
      <x:c r="L87" s="68" t="n">
        <x:v>46363</x:v>
      </x:c>
      <x:c r="M87" s="68" t="n">
        <x:v>46362</x:v>
      </x:c>
      <x:c r="N87" s="68" t="n">
        <x:v>46428</x:v>
      </x:c>
      <x:c r="O87" s="68" t="n">
        <x:v>46388</x:v>
      </x:c>
      <x:c r="P87" s="59" t="str">
        <x:v>crawl_sampling_master.xlsx</x:v>
      </x:c>
    </x:row>
    <x:row r="88">
      <x:c r="A88" s="68" t="n">
        <x:v>46351</x:v>
      </x:c>
      <x:c r="B88" s="59" t="str">
        <x:v>Thứ Tư</x:v>
      </x:c>
      <x:c r="C88" s="59" t="str">
        <x:v>00:30</x:v>
      </x:c>
      <x:c r="D88" s="68" t="n">
        <x:v>46366</x:v>
      </x:c>
      <x:c r="E88" s="68" t="n">
        <x:v>46368</x:v>
      </x:c>
      <x:c r="F88" s="68" t="n">
        <x:v>46371</x:v>
      </x:c>
      <x:c r="G88" s="68" t="n">
        <x:v>46375</x:v>
      </x:c>
      <x:c r="H88" s="68" t="n">
        <x:v>46351</x:v>
      </x:c>
      <x:c r="I88" s="68" t="n">
        <x:v>46355</x:v>
      </x:c>
      <x:c r="J88" s="68" t="n">
        <x:v>46358</x:v>
      </x:c>
      <x:c r="K88" s="68" t="n">
        <x:v>46361</x:v>
      </x:c>
      <x:c r="L88" s="68" t="n">
        <x:v>46363</x:v>
      </x:c>
      <x:c r="M88" s="68" t="n">
        <x:v>46362</x:v>
      </x:c>
      <x:c r="N88" s="68" t="n">
        <x:v>46428</x:v>
      </x:c>
      <x:c r="O88" s="68" t="n">
        <x:v>46388</x:v>
      </x:c>
      <x:c r="P88" s="59" t="str">
        <x:v>crawl_sampling_master.xlsx</x:v>
      </x:c>
    </x:row>
    <x:row r="89">
      <x:c r="A89" s="68" t="n">
        <x:v>46352</x:v>
      </x:c>
      <x:c r="B89" s="59" t="str">
        <x:v>Thứ Năm</x:v>
      </x:c>
      <x:c r="C89" s="59" t="str">
        <x:v>00:30</x:v>
      </x:c>
      <x:c r="D89" s="68" t="n">
        <x:v>46366</x:v>
      </x:c>
      <x:c r="E89" s="68" t="n">
        <x:v>46368</x:v>
      </x:c>
      <x:c r="F89" s="68" t="n">
        <x:v>46371</x:v>
      </x:c>
      <x:c r="G89" s="68" t="n">
        <x:v>46375</x:v>
      </x:c>
      <x:c r="H89" s="68" t="n">
        <x:v>46379</x:v>
      </x:c>
      <x:c r="I89" s="68" t="n">
        <x:v>46355</x:v>
      </x:c>
      <x:c r="J89" s="68" t="n">
        <x:v>46358</x:v>
      </x:c>
      <x:c r="K89" s="68" t="n">
        <x:v>46361</x:v>
      </x:c>
      <x:c r="L89" s="68" t="n">
        <x:v>46363</x:v>
      </x:c>
      <x:c r="M89" s="68" t="n">
        <x:v>46362</x:v>
      </x:c>
      <x:c r="N89" s="68" t="n">
        <x:v>46428</x:v>
      </x:c>
      <x:c r="O89" s="68" t="n">
        <x:v>46388</x:v>
      </x:c>
      <x:c r="P89" s="59" t="str">
        <x:v>crawl_sampling_master.xlsx</x:v>
      </x:c>
    </x:row>
    <x:row r="90">
      <x:c r="A90" s="68" t="n">
        <x:v>46353</x:v>
      </x:c>
      <x:c r="B90" s="59" t="str">
        <x:v>Thứ Sáu</x:v>
      </x:c>
      <x:c r="C90" s="59" t="str">
        <x:v>00:30</x:v>
      </x:c>
      <x:c r="D90" s="68" t="n">
        <x:v>46366</x:v>
      </x:c>
      <x:c r="E90" s="68" t="n">
        <x:v>46368</x:v>
      </x:c>
      <x:c r="F90" s="68" t="n">
        <x:v>46371</x:v>
      </x:c>
      <x:c r="G90" s="68" t="n">
        <x:v>46375</x:v>
      </x:c>
      <x:c r="H90" s="68" t="n">
        <x:v>46379</x:v>
      </x:c>
      <x:c r="I90" s="68" t="n">
        <x:v>46355</x:v>
      </x:c>
      <x:c r="J90" s="68" t="n">
        <x:v>46358</x:v>
      </x:c>
      <x:c r="K90" s="68" t="n">
        <x:v>46361</x:v>
      </x:c>
      <x:c r="L90" s="68" t="n">
        <x:v>46363</x:v>
      </x:c>
      <x:c r="M90" s="68" t="n">
        <x:v>46362</x:v>
      </x:c>
      <x:c r="N90" s="68" t="n">
        <x:v>46428</x:v>
      </x:c>
      <x:c r="O90" s="68" t="n">
        <x:v>46388</x:v>
      </x:c>
      <x:c r="P90" s="59" t="str">
        <x:v>crawl_sampling_master.xlsx</x:v>
      </x:c>
    </x:row>
    <x:row r="91">
      <x:c r="A91" s="68" t="n">
        <x:v>46354</x:v>
      </x:c>
      <x:c r="B91" s="59" t="str">
        <x:v>Thứ Bảy</x:v>
      </x:c>
      <x:c r="C91" s="59" t="str">
        <x:v>00:30</x:v>
      </x:c>
      <x:c r="D91" s="68" t="n">
        <x:v>46366</x:v>
      </x:c>
      <x:c r="E91" s="68" t="n">
        <x:v>46368</x:v>
      </x:c>
      <x:c r="F91" s="68" t="n">
        <x:v>46371</x:v>
      </x:c>
      <x:c r="G91" s="68" t="n">
        <x:v>46375</x:v>
      </x:c>
      <x:c r="H91" s="68" t="n">
        <x:v>46379</x:v>
      </x:c>
      <x:c r="I91" s="68" t="n">
        <x:v>46355</x:v>
      </x:c>
      <x:c r="J91" s="68" t="n">
        <x:v>46358</x:v>
      </x:c>
      <x:c r="K91" s="68" t="n">
        <x:v>46361</x:v>
      </x:c>
      <x:c r="L91" s="68" t="n">
        <x:v>46363</x:v>
      </x:c>
      <x:c r="M91" s="68" t="n">
        <x:v>46362</x:v>
      </x:c>
      <x:c r="N91" s="68" t="n">
        <x:v>46428</x:v>
      </x:c>
      <x:c r="O91" s="68" t="n">
        <x:v>46388</x:v>
      </x:c>
      <x:c r="P91" s="59" t="str">
        <x:v>crawl_sampling_master.xlsx</x:v>
      </x:c>
    </x:row>
    <x:row r="92">
      <x:c r="A92" s="68" t="n">
        <x:v>46355</x:v>
      </x:c>
      <x:c r="B92" s="59" t="str">
        <x:v>Chủ Nhật</x:v>
      </x:c>
      <x:c r="C92" s="59" t="str">
        <x:v>00:30</x:v>
      </x:c>
      <x:c r="D92" s="68" t="n">
        <x:v>46366</x:v>
      </x:c>
      <x:c r="E92" s="68" t="n">
        <x:v>46368</x:v>
      </x:c>
      <x:c r="F92" s="68" t="n">
        <x:v>46371</x:v>
      </x:c>
      <x:c r="G92" s="68" t="n">
        <x:v>46375</x:v>
      </x:c>
      <x:c r="H92" s="68" t="n">
        <x:v>46379</x:v>
      </x:c>
      <x:c r="I92" s="68" t="n">
        <x:v>46355</x:v>
      </x:c>
      <x:c r="J92" s="68" t="n">
        <x:v>46358</x:v>
      </x:c>
      <x:c r="K92" s="68" t="n">
        <x:v>46361</x:v>
      </x:c>
      <x:c r="L92" s="68" t="n">
        <x:v>46363</x:v>
      </x:c>
      <x:c r="M92" s="68" t="n">
        <x:v>46362</x:v>
      </x:c>
      <x:c r="N92" s="68" t="n">
        <x:v>46428</x:v>
      </x:c>
      <x:c r="O92" s="68" t="n">
        <x:v>46388</x:v>
      </x:c>
      <x:c r="P92" s="59" t="str">
        <x:v>crawl_sampling_master.xlsx</x:v>
      </x:c>
    </x:row>
    <x:row r="93">
      <x:c r="A93" s="69" t="n">
        <x:v>46356</x:v>
      </x:c>
      <x:c r="B93" s="63" t="str">
        <x:v>Thứ Hai</x:v>
      </x:c>
      <x:c r="C93" s="63" t="str">
        <x:v>00:30</x:v>
      </x:c>
      <x:c r="D93" s="69" t="n">
        <x:v>46366</x:v>
      </x:c>
      <x:c r="E93" s="69" t="n">
        <x:v>46368</x:v>
      </x:c>
      <x:c r="F93" s="69" t="n">
        <x:v>46371</x:v>
      </x:c>
      <x:c r="G93" s="69" t="n">
        <x:v>46375</x:v>
      </x:c>
      <x:c r="H93" s="69" t="n">
        <x:v>46379</x:v>
      </x:c>
      <x:c r="I93" s="69" t="n">
        <x:v>46383</x:v>
      </x:c>
      <x:c r="J93" s="69" t="n">
        <x:v>46358</x:v>
      </x:c>
      <x:c r="K93" s="69" t="n">
        <x:v>46361</x:v>
      </x:c>
      <x:c r="L93" s="69" t="n">
        <x:v>46363</x:v>
      </x:c>
      <x:c r="M93" s="69" t="n">
        <x:v>46362</x:v>
      </x:c>
      <x:c r="N93" s="69" t="n">
        <x:v>46428</x:v>
      </x:c>
      <x:c r="O93" s="69" t="n">
        <x:v>46388</x:v>
      </x:c>
      <x:c r="P93" s="63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</x:cols>
  <x:sheetData>
    <x:row r="1" ht="30" customHeight="1">
      <x:c r="A1" s="3" t="str">
        <x:v>VPS REFERENCE — 5 CHECK-IN DÙNG ĐỂ LOẠI TRÙNG</x:v>
      </x:c>
      <x:c r="B1" s="3" t="str">
        <x:v>VPS REFERENCE — 5 CHECK-IN DÙNG ĐỂ LOẠI TRÙNG</x:v>
      </x:c>
      <x:c r="C1" s="3" t="str">
        <x:v>VPS REFERENCE — 5 CHECK-IN DÙNG ĐỂ LOẠI TRÙNG</x:v>
      </x:c>
      <x:c r="D1" s="3" t="str">
        <x:v>VPS REFERENCE — 5 CHECK-IN DÙNG ĐỂ LOẠI TRÙNG</x:v>
      </x:c>
      <x:c r="E1" s="3" t="str">
        <x:v>VPS REFERENCE — 5 CHECK-IN DÙNG ĐỂ LOẠI TRÙNG</x:v>
      </x:c>
      <x:c r="F1" s="3" t="str">
        <x:v>VPS REFERENCE — 5 CHECK-IN DÙNG ĐỂ LOẠI TRÙNG</x:v>
      </x:c>
      <x:c r="G1" s="3" t="str">
        <x:v>VPS REFERENCE — 5 CHECK-IN DÙNG ĐỂ LOẠI TRÙNG</x:v>
      </x:c>
      <x:c r="H1" s="3" t="str">
        <x:v>VPS REFERENCE — 5 CHECK-IN DÙNG ĐỂ LOẠI TRÙNG</x:v>
      </x:c>
      <x:c r="I1" s="3" t="str">
        <x:v>VPS REFERENCE — 5 CHECK-IN DÙNG ĐỂ LOẠI TRÙNG</x:v>
      </x:c>
    </x:row>
    <x:row r="2">
      <x:c r="A2" s="35" t="str">
        <x:v>Nguồn: D:/MSE/CAPSTONE/outputs/vps-crawl-planner-20260823/vps_crawl_sampling_master.xlsx. Snapshot 02/09–30/11/2026; không sửa bằng tay.</x:v>
      </x:c>
      <x:c r="B2" s="35" t="str">
        <x:v>Nguồn: D:/MSE/CAPSTONE/outputs/vps-crawl-planner-20260823/vps_crawl_sampling_master.xlsx. Snapshot 02/09–30/11/2026; không sửa bằng tay.</x:v>
      </x:c>
      <x:c r="C2" s="35" t="str">
        <x:v>Nguồn: D:/MSE/CAPSTONE/outputs/vps-crawl-planner-20260823/vps_crawl_sampling_master.xlsx. Snapshot 02/09–30/11/2026; không sửa bằng tay.</x:v>
      </x:c>
      <x:c r="D2" s="35" t="str">
        <x:v>Nguồn: D:/MSE/CAPSTONE/outputs/vps-crawl-planner-20260823/vps_crawl_sampling_master.xlsx. Snapshot 02/09–30/11/2026; không sửa bằng tay.</x:v>
      </x:c>
      <x:c r="E2" s="35" t="str">
        <x:v>Nguồn: D:/MSE/CAPSTONE/outputs/vps-crawl-planner-20260823/vps_crawl_sampling_master.xlsx. Snapshot 02/09–30/11/2026; không sửa bằng tay.</x:v>
      </x:c>
      <x:c r="F2" s="35" t="str">
        <x:v>Nguồn: D:/MSE/CAPSTONE/outputs/vps-crawl-planner-20260823/vps_crawl_sampling_master.xlsx. Snapshot 02/09–30/11/2026; không sửa bằng tay.</x:v>
      </x:c>
      <x:c r="G2" s="35" t="str">
        <x:v>Nguồn: D:/MSE/CAPSTONE/outputs/vps-crawl-planner-20260823/vps_crawl_sampling_master.xlsx. Snapshot 02/09–30/11/2026; không sửa bằng tay.</x:v>
      </x:c>
      <x:c r="H2" s="35" t="str">
        <x:v>Nguồn: D:/MSE/CAPSTONE/outputs/vps-crawl-planner-20260823/vps_crawl_sampling_master.xlsx. Snapshot 02/09–30/11/2026; không sửa bằng tay.</x:v>
      </x:c>
      <x:c r="I2" s="35" t="str">
        <x:v>Nguồn: D:/MSE/CAPSTONE/outputs/vps-crawl-planner-20260823/vps_crawl_sampling_master.xlsx. Snapshot 02/09–30/11/2026; không sửa bằng tay.</x:v>
      </x:c>
    </x:row>
    <x:row r="3" ht="30" customHeight="1">
      <x:c r="A3" s="9" t="str">
        <x:v>Crawl date</x:v>
      </x:c>
      <x:c r="B3" s="9" t="str">
        <x:v>Thứ</x:v>
      </x:c>
      <x:c r="C3" s="9" t="str">
        <x:v>Start time</x:v>
      </x:c>
      <x:c r="D3" s="9" t="str">
        <x:v>V1</x:v>
      </x:c>
      <x:c r="E3" s="9" t="str">
        <x:v>V2</x:v>
      </x:c>
      <x:c r="F3" s="9" t="str">
        <x:v>V3</x:v>
      </x:c>
      <x:c r="G3" s="9" t="str">
        <x:v>V4</x:v>
      </x:c>
      <x:c r="H3" s="9" t="str">
        <x:v>V5</x:v>
      </x:c>
      <x:c r="I3" s="9" t="str">
        <x:v>Source file</x:v>
      </x:c>
    </x:row>
    <x:row r="4">
      <x:c r="A4" s="67" t="n">
        <x:v>46267</x:v>
      </x:c>
      <x:c r="B4" s="55" t="str">
        <x:v>Thứ Tư</x:v>
      </x:c>
      <x:c r="C4" s="55" t="str">
        <x:v>00:30</x:v>
      </x:c>
      <x:c r="D4" s="67" t="n">
        <x:v>46289</x:v>
      </x:c>
      <x:c r="E4" s="67" t="n">
        <x:v>46292</x:v>
      </x:c>
      <x:c r="F4" s="67" t="n">
        <x:v>46268</x:v>
      </x:c>
      <x:c r="G4" s="67" t="n">
        <x:v>46281</x:v>
      </x:c>
      <x:c r="H4" s="67" t="n">
        <x:v>46411</x:v>
      </x:c>
      <x:c r="I4" s="55" t="str">
        <x:v>vps_crawl_sampling_master.xlsx</x:v>
      </x:c>
    </x:row>
    <x:row r="5">
      <x:c r="A5" s="68" t="n">
        <x:v>46268</x:v>
      </x:c>
      <x:c r="B5" s="59" t="str">
        <x:v>Thứ Năm</x:v>
      </x:c>
      <x:c r="C5" s="59" t="str">
        <x:v>00:30</x:v>
      </x:c>
      <x:c r="D5" s="68" t="n">
        <x:v>46289</x:v>
      </x:c>
      <x:c r="E5" s="68" t="n">
        <x:v>46292</x:v>
      </x:c>
      <x:c r="F5" s="68" t="n">
        <x:v>46268</x:v>
      </x:c>
      <x:c r="G5" s="68" t="n">
        <x:v>46281</x:v>
      </x:c>
      <x:c r="H5" s="68" t="n">
        <x:v>46411</x:v>
      </x:c>
      <x:c r="I5" s="59" t="str">
        <x:v>vps_crawl_sampling_master.xlsx</x:v>
      </x:c>
    </x:row>
    <x:row r="6">
      <x:c r="A6" s="68" t="n">
        <x:v>46269</x:v>
      </x:c>
      <x:c r="B6" s="59" t="str">
        <x:v>Thứ Sáu</x:v>
      </x:c>
      <x:c r="C6" s="59" t="str">
        <x:v>00:30</x:v>
      </x:c>
      <x:c r="D6" s="68" t="n">
        <x:v>46289</x:v>
      </x:c>
      <x:c r="E6" s="68" t="n">
        <x:v>46292</x:v>
      </x:c>
      <x:c r="F6" s="68" t="n">
        <x:v>46296</x:v>
      </x:c>
      <x:c r="G6" s="68" t="n">
        <x:v>46281</x:v>
      </x:c>
      <x:c r="H6" s="68" t="n">
        <x:v>46411</x:v>
      </x:c>
      <x:c r="I6" s="59" t="str">
        <x:v>vps_crawl_sampling_master.xlsx</x:v>
      </x:c>
    </x:row>
    <x:row r="7">
      <x:c r="A7" s="68" t="n">
        <x:v>46270</x:v>
      </x:c>
      <x:c r="B7" s="59" t="str">
        <x:v>Thứ Bảy</x:v>
      </x:c>
      <x:c r="C7" s="59" t="str">
        <x:v>00:30</x:v>
      </x:c>
      <x:c r="D7" s="68" t="n">
        <x:v>46289</x:v>
      </x:c>
      <x:c r="E7" s="68" t="n">
        <x:v>46292</x:v>
      </x:c>
      <x:c r="F7" s="68" t="n">
        <x:v>46296</x:v>
      </x:c>
      <x:c r="G7" s="68" t="n">
        <x:v>46281</x:v>
      </x:c>
      <x:c r="H7" s="68" t="n">
        <x:v>46411</x:v>
      </x:c>
      <x:c r="I7" s="59" t="str">
        <x:v>vps_crawl_sampling_master.xlsx</x:v>
      </x:c>
    </x:row>
    <x:row r="8">
      <x:c r="A8" s="68" t="n">
        <x:v>46271</x:v>
      </x:c>
      <x:c r="B8" s="59" t="str">
        <x:v>Chủ Nhật</x:v>
      </x:c>
      <x:c r="C8" s="59" t="str">
        <x:v>00:30</x:v>
      </x:c>
      <x:c r="D8" s="68" t="n">
        <x:v>46289</x:v>
      </x:c>
      <x:c r="E8" s="68" t="n">
        <x:v>46292</x:v>
      </x:c>
      <x:c r="F8" s="68" t="n">
        <x:v>46296</x:v>
      </x:c>
      <x:c r="G8" s="68" t="n">
        <x:v>46281</x:v>
      </x:c>
      <x:c r="H8" s="68" t="n">
        <x:v>46411</x:v>
      </x:c>
      <x:c r="I8" s="59" t="str">
        <x:v>vps_crawl_sampling_master.xlsx</x:v>
      </x:c>
    </x:row>
    <x:row r="9">
      <x:c r="A9" s="68" t="n">
        <x:v>46272</x:v>
      </x:c>
      <x:c r="B9" s="59" t="str">
        <x:v>Thứ Hai</x:v>
      </x:c>
      <x:c r="C9" s="59" t="str">
        <x:v>00:30</x:v>
      </x:c>
      <x:c r="D9" s="68" t="n">
        <x:v>46289</x:v>
      </x:c>
      <x:c r="E9" s="68" t="n">
        <x:v>46292</x:v>
      </x:c>
      <x:c r="F9" s="68" t="n">
        <x:v>46296</x:v>
      </x:c>
      <x:c r="G9" s="68" t="n">
        <x:v>46281</x:v>
      </x:c>
      <x:c r="H9" s="68" t="n">
        <x:v>46411</x:v>
      </x:c>
      <x:c r="I9" s="59" t="str">
        <x:v>vps_crawl_sampling_master.xlsx</x:v>
      </x:c>
    </x:row>
    <x:row r="10">
      <x:c r="A10" s="68" t="n">
        <x:v>46273</x:v>
      </x:c>
      <x:c r="B10" s="59" t="str">
        <x:v>Thứ Ba</x:v>
      </x:c>
      <x:c r="C10" s="59" t="str">
        <x:v>00:30</x:v>
      </x:c>
      <x:c r="D10" s="68" t="n">
        <x:v>46289</x:v>
      </x:c>
      <x:c r="E10" s="68" t="n">
        <x:v>46292</x:v>
      </x:c>
      <x:c r="F10" s="68" t="n">
        <x:v>46296</x:v>
      </x:c>
      <x:c r="G10" s="68" t="n">
        <x:v>46281</x:v>
      </x:c>
      <x:c r="H10" s="68" t="n">
        <x:v>46411</x:v>
      </x:c>
      <x:c r="I10" s="59" t="str">
        <x:v>vps_crawl_sampling_master.xlsx</x:v>
      </x:c>
    </x:row>
    <x:row r="11">
      <x:c r="A11" s="68" t="n">
        <x:v>46274</x:v>
      </x:c>
      <x:c r="B11" s="59" t="str">
        <x:v>Thứ Tư</x:v>
      </x:c>
      <x:c r="C11" s="59" t="str">
        <x:v>00:30</x:v>
      </x:c>
      <x:c r="D11" s="68" t="n">
        <x:v>46289</x:v>
      </x:c>
      <x:c r="E11" s="68" t="n">
        <x:v>46292</x:v>
      </x:c>
      <x:c r="F11" s="68" t="n">
        <x:v>46296</x:v>
      </x:c>
      <x:c r="G11" s="68" t="n">
        <x:v>46281</x:v>
      </x:c>
      <x:c r="H11" s="68" t="n">
        <x:v>46411</x:v>
      </x:c>
      <x:c r="I11" s="59" t="str">
        <x:v>vps_crawl_sampling_master.xlsx</x:v>
      </x:c>
    </x:row>
    <x:row r="12">
      <x:c r="A12" s="68" t="n">
        <x:v>46275</x:v>
      </x:c>
      <x:c r="B12" s="59" t="str">
        <x:v>Thứ Năm</x:v>
      </x:c>
      <x:c r="C12" s="59" t="str">
        <x:v>00:30</x:v>
      </x:c>
      <x:c r="D12" s="68" t="n">
        <x:v>46289</x:v>
      </x:c>
      <x:c r="E12" s="68" t="n">
        <x:v>46292</x:v>
      </x:c>
      <x:c r="F12" s="68" t="n">
        <x:v>46296</x:v>
      </x:c>
      <x:c r="G12" s="68" t="n">
        <x:v>46281</x:v>
      </x:c>
      <x:c r="H12" s="68" t="n">
        <x:v>46411</x:v>
      </x:c>
      <x:c r="I12" s="59" t="str">
        <x:v>vps_crawl_sampling_master.xlsx</x:v>
      </x:c>
    </x:row>
    <x:row r="13">
      <x:c r="A13" s="68" t="n">
        <x:v>46276</x:v>
      </x:c>
      <x:c r="B13" s="59" t="str">
        <x:v>Thứ Sáu</x:v>
      </x:c>
      <x:c r="C13" s="59" t="str">
        <x:v>00:30</x:v>
      </x:c>
      <x:c r="D13" s="68" t="n">
        <x:v>46289</x:v>
      </x:c>
      <x:c r="E13" s="68" t="n">
        <x:v>46292</x:v>
      </x:c>
      <x:c r="F13" s="68" t="n">
        <x:v>46296</x:v>
      </x:c>
      <x:c r="G13" s="68" t="n">
        <x:v>46281</x:v>
      </x:c>
      <x:c r="H13" s="68" t="n">
        <x:v>46411</x:v>
      </x:c>
      <x:c r="I13" s="59" t="str">
        <x:v>vps_crawl_sampling_master.xlsx</x:v>
      </x:c>
    </x:row>
    <x:row r="14">
      <x:c r="A14" s="68" t="n">
        <x:v>46277</x:v>
      </x:c>
      <x:c r="B14" s="59" t="str">
        <x:v>Thứ Bảy</x:v>
      </x:c>
      <x:c r="C14" s="59" t="str">
        <x:v>00:30</x:v>
      </x:c>
      <x:c r="D14" s="68" t="n">
        <x:v>46289</x:v>
      </x:c>
      <x:c r="E14" s="68" t="n">
        <x:v>46292</x:v>
      </x:c>
      <x:c r="F14" s="68" t="n">
        <x:v>46296</x:v>
      </x:c>
      <x:c r="G14" s="68" t="n">
        <x:v>46281</x:v>
      </x:c>
      <x:c r="H14" s="68" t="n">
        <x:v>46411</x:v>
      </x:c>
      <x:c r="I14" s="59" t="str">
        <x:v>vps_crawl_sampling_master.xlsx</x:v>
      </x:c>
    </x:row>
    <x:row r="15">
      <x:c r="A15" s="68" t="n">
        <x:v>46278</x:v>
      </x:c>
      <x:c r="B15" s="59" t="str">
        <x:v>Chủ Nhật</x:v>
      </x:c>
      <x:c r="C15" s="59" t="str">
        <x:v>00:30</x:v>
      </x:c>
      <x:c r="D15" s="68" t="n">
        <x:v>46289</x:v>
      </x:c>
      <x:c r="E15" s="68" t="n">
        <x:v>46292</x:v>
      </x:c>
      <x:c r="F15" s="68" t="n">
        <x:v>46296</x:v>
      </x:c>
      <x:c r="G15" s="68" t="n">
        <x:v>46281</x:v>
      </x:c>
      <x:c r="H15" s="68" t="n">
        <x:v>46411</x:v>
      </x:c>
      <x:c r="I15" s="59" t="str">
        <x:v>vps_crawl_sampling_master.xlsx</x:v>
      </x:c>
    </x:row>
    <x:row r="16">
      <x:c r="A16" s="68" t="n">
        <x:v>46279</x:v>
      </x:c>
      <x:c r="B16" s="59" t="str">
        <x:v>Thứ Hai</x:v>
      </x:c>
      <x:c r="C16" s="59" t="str">
        <x:v>00:30</x:v>
      </x:c>
      <x:c r="D16" s="68" t="n">
        <x:v>46289</x:v>
      </x:c>
      <x:c r="E16" s="68" t="n">
        <x:v>46292</x:v>
      </x:c>
      <x:c r="F16" s="68" t="n">
        <x:v>46296</x:v>
      </x:c>
      <x:c r="G16" s="68" t="n">
        <x:v>46281</x:v>
      </x:c>
      <x:c r="H16" s="68" t="n">
        <x:v>46411</x:v>
      </x:c>
      <x:c r="I16" s="59" t="str">
        <x:v>vps_crawl_sampling_master.xlsx</x:v>
      </x:c>
    </x:row>
    <x:row r="17">
      <x:c r="A17" s="68" t="n">
        <x:v>46280</x:v>
      </x:c>
      <x:c r="B17" s="59" t="str">
        <x:v>Thứ Ba</x:v>
      </x:c>
      <x:c r="C17" s="59" t="str">
        <x:v>00:30</x:v>
      </x:c>
      <x:c r="D17" s="68" t="n">
        <x:v>46289</x:v>
      </x:c>
      <x:c r="E17" s="68" t="n">
        <x:v>46292</x:v>
      </x:c>
      <x:c r="F17" s="68" t="n">
        <x:v>46296</x:v>
      </x:c>
      <x:c r="G17" s="68" t="n">
        <x:v>46281</x:v>
      </x:c>
      <x:c r="H17" s="68" t="n">
        <x:v>46411</x:v>
      </x:c>
      <x:c r="I17" s="59" t="str">
        <x:v>vps_crawl_sampling_master.xlsx</x:v>
      </x:c>
    </x:row>
    <x:row r="18">
      <x:c r="A18" s="68" t="n">
        <x:v>46281</x:v>
      </x:c>
      <x:c r="B18" s="59" t="str">
        <x:v>Thứ Tư</x:v>
      </x:c>
      <x:c r="C18" s="59" t="str">
        <x:v>00:30</x:v>
      </x:c>
      <x:c r="D18" s="68" t="n">
        <x:v>46289</x:v>
      </x:c>
      <x:c r="E18" s="68" t="n">
        <x:v>46292</x:v>
      </x:c>
      <x:c r="F18" s="68" t="n">
        <x:v>46296</x:v>
      </x:c>
      <x:c r="G18" s="68" t="n">
        <x:v>46281</x:v>
      </x:c>
      <x:c r="H18" s="68" t="n">
        <x:v>46411</x:v>
      </x:c>
      <x:c r="I18" s="59" t="str">
        <x:v>vps_crawl_sampling_master.xlsx</x:v>
      </x:c>
    </x:row>
    <x:row r="19">
      <x:c r="A19" s="68" t="n">
        <x:v>46282</x:v>
      </x:c>
      <x:c r="B19" s="59" t="str">
        <x:v>Thứ Năm</x:v>
      </x:c>
      <x:c r="C19" s="59" t="str">
        <x:v>00:30</x:v>
      </x:c>
      <x:c r="D19" s="68" t="n">
        <x:v>46289</x:v>
      </x:c>
      <x:c r="E19" s="68" t="n">
        <x:v>46292</x:v>
      </x:c>
      <x:c r="F19" s="68" t="n">
        <x:v>46296</x:v>
      </x:c>
      <x:c r="G19" s="68" t="n">
        <x:v>46309</x:v>
      </x:c>
      <x:c r="H19" s="68" t="n">
        <x:v>46411</x:v>
      </x:c>
      <x:c r="I19" s="59" t="str">
        <x:v>vps_crawl_sampling_master.xlsx</x:v>
      </x:c>
    </x:row>
    <x:row r="20">
      <x:c r="A20" s="68" t="n">
        <x:v>46283</x:v>
      </x:c>
      <x:c r="B20" s="59" t="str">
        <x:v>Thứ Sáu</x:v>
      </x:c>
      <x:c r="C20" s="59" t="str">
        <x:v>00:30</x:v>
      </x:c>
      <x:c r="D20" s="68" t="n">
        <x:v>46289</x:v>
      </x:c>
      <x:c r="E20" s="68" t="n">
        <x:v>46292</x:v>
      </x:c>
      <x:c r="F20" s="68" t="n">
        <x:v>46296</x:v>
      </x:c>
      <x:c r="G20" s="68" t="n">
        <x:v>46309</x:v>
      </x:c>
      <x:c r="H20" s="68" t="n">
        <x:v>46411</x:v>
      </x:c>
      <x:c r="I20" s="59" t="str">
        <x:v>vps_crawl_sampling_master.xlsx</x:v>
      </x:c>
    </x:row>
    <x:row r="21">
      <x:c r="A21" s="68" t="n">
        <x:v>46284</x:v>
      </x:c>
      <x:c r="B21" s="59" t="str">
        <x:v>Thứ Bảy</x:v>
      </x:c>
      <x:c r="C21" s="59" t="str">
        <x:v>00:30</x:v>
      </x:c>
      <x:c r="D21" s="68" t="n">
        <x:v>46289</x:v>
      </x:c>
      <x:c r="E21" s="68" t="n">
        <x:v>46292</x:v>
      </x:c>
      <x:c r="F21" s="68" t="n">
        <x:v>46296</x:v>
      </x:c>
      <x:c r="G21" s="68" t="n">
        <x:v>46309</x:v>
      </x:c>
      <x:c r="H21" s="68" t="n">
        <x:v>46411</x:v>
      </x:c>
      <x:c r="I21" s="59" t="str">
        <x:v>vps_crawl_sampling_master.xlsx</x:v>
      </x:c>
    </x:row>
    <x:row r="22">
      <x:c r="A22" s="68" t="n">
        <x:v>46285</x:v>
      </x:c>
      <x:c r="B22" s="59" t="str">
        <x:v>Chủ Nhật</x:v>
      </x:c>
      <x:c r="C22" s="59" t="str">
        <x:v>00:30</x:v>
      </x:c>
      <x:c r="D22" s="68" t="n">
        <x:v>46289</x:v>
      </x:c>
      <x:c r="E22" s="68" t="n">
        <x:v>46292</x:v>
      </x:c>
      <x:c r="F22" s="68" t="n">
        <x:v>46296</x:v>
      </x:c>
      <x:c r="G22" s="68" t="n">
        <x:v>46309</x:v>
      </x:c>
      <x:c r="H22" s="68" t="n">
        <x:v>46411</x:v>
      </x:c>
      <x:c r="I22" s="59" t="str">
        <x:v>vps_crawl_sampling_master.xlsx</x:v>
      </x:c>
    </x:row>
    <x:row r="23">
      <x:c r="A23" s="68" t="n">
        <x:v>46286</x:v>
      </x:c>
      <x:c r="B23" s="59" t="str">
        <x:v>Thứ Hai</x:v>
      </x:c>
      <x:c r="C23" s="59" t="str">
        <x:v>00:30</x:v>
      </x:c>
      <x:c r="D23" s="68" t="n">
        <x:v>46289</x:v>
      </x:c>
      <x:c r="E23" s="68" t="n">
        <x:v>46292</x:v>
      </x:c>
      <x:c r="F23" s="68" t="n">
        <x:v>46296</x:v>
      </x:c>
      <x:c r="G23" s="68" t="n">
        <x:v>46309</x:v>
      </x:c>
      <x:c r="H23" s="68" t="n">
        <x:v>46411</x:v>
      </x:c>
      <x:c r="I23" s="59" t="str">
        <x:v>vps_crawl_sampling_master.xlsx</x:v>
      </x:c>
    </x:row>
    <x:row r="24">
      <x:c r="A24" s="68" t="n">
        <x:v>46287</x:v>
      </x:c>
      <x:c r="B24" s="59" t="str">
        <x:v>Thứ Ba</x:v>
      </x:c>
      <x:c r="C24" s="59" t="str">
        <x:v>00:30</x:v>
      </x:c>
      <x:c r="D24" s="68" t="n">
        <x:v>46289</x:v>
      </x:c>
      <x:c r="E24" s="68" t="n">
        <x:v>46292</x:v>
      </x:c>
      <x:c r="F24" s="68" t="n">
        <x:v>46296</x:v>
      </x:c>
      <x:c r="G24" s="68" t="n">
        <x:v>46309</x:v>
      </x:c>
      <x:c r="H24" s="68" t="n">
        <x:v>46411</x:v>
      </x:c>
      <x:c r="I24" s="59" t="str">
        <x:v>vps_crawl_sampling_master.xlsx</x:v>
      </x:c>
    </x:row>
    <x:row r="25">
      <x:c r="A25" s="68" t="n">
        <x:v>46288</x:v>
      </x:c>
      <x:c r="B25" s="59" t="str">
        <x:v>Thứ Tư</x:v>
      </x:c>
      <x:c r="C25" s="59" t="str">
        <x:v>00:30</x:v>
      </x:c>
      <x:c r="D25" s="68" t="n">
        <x:v>46289</x:v>
      </x:c>
      <x:c r="E25" s="68" t="n">
        <x:v>46292</x:v>
      </x:c>
      <x:c r="F25" s="68" t="n">
        <x:v>46296</x:v>
      </x:c>
      <x:c r="G25" s="68" t="n">
        <x:v>46309</x:v>
      </x:c>
      <x:c r="H25" s="68" t="n">
        <x:v>46411</x:v>
      </x:c>
      <x:c r="I25" s="59" t="str">
        <x:v>vps_crawl_sampling_master.xlsx</x:v>
      </x:c>
    </x:row>
    <x:row r="26">
      <x:c r="A26" s="68" t="n">
        <x:v>46289</x:v>
      </x:c>
      <x:c r="B26" s="59" t="str">
        <x:v>Thứ Năm</x:v>
      </x:c>
      <x:c r="C26" s="59" t="str">
        <x:v>00:30</x:v>
      </x:c>
      <x:c r="D26" s="68" t="n">
        <x:v>46289</x:v>
      </x:c>
      <x:c r="E26" s="68" t="n">
        <x:v>46292</x:v>
      </x:c>
      <x:c r="F26" s="68" t="n">
        <x:v>46296</x:v>
      </x:c>
      <x:c r="G26" s="68" t="n">
        <x:v>46309</x:v>
      </x:c>
      <x:c r="H26" s="68" t="n">
        <x:v>46411</x:v>
      </x:c>
      <x:c r="I26" s="59" t="str">
        <x:v>vps_crawl_sampling_master.xlsx</x:v>
      </x:c>
    </x:row>
    <x:row r="27">
      <x:c r="A27" s="68" t="n">
        <x:v>46290</x:v>
      </x:c>
      <x:c r="B27" s="59" t="str">
        <x:v>Thứ Sáu</x:v>
      </x:c>
      <x:c r="C27" s="59" t="str">
        <x:v>00:30</x:v>
      </x:c>
      <x:c r="D27" s="68" t="n">
        <x:v>46317</x:v>
      </x:c>
      <x:c r="E27" s="68" t="n">
        <x:v>46292</x:v>
      </x:c>
      <x:c r="F27" s="68" t="n">
        <x:v>46296</x:v>
      </x:c>
      <x:c r="G27" s="68" t="n">
        <x:v>46309</x:v>
      </x:c>
      <x:c r="H27" s="68" t="n">
        <x:v>46411</x:v>
      </x:c>
      <x:c r="I27" s="59" t="str">
        <x:v>vps_crawl_sampling_master.xlsx</x:v>
      </x:c>
    </x:row>
    <x:row r="28">
      <x:c r="A28" s="68" t="n">
        <x:v>46291</x:v>
      </x:c>
      <x:c r="B28" s="59" t="str">
        <x:v>Thứ Bảy</x:v>
      </x:c>
      <x:c r="C28" s="59" t="str">
        <x:v>00:30</x:v>
      </x:c>
      <x:c r="D28" s="68" t="n">
        <x:v>46317</x:v>
      </x:c>
      <x:c r="E28" s="68" t="n">
        <x:v>46292</x:v>
      </x:c>
      <x:c r="F28" s="68" t="n">
        <x:v>46296</x:v>
      </x:c>
      <x:c r="G28" s="68" t="n">
        <x:v>46309</x:v>
      </x:c>
      <x:c r="H28" s="68" t="n">
        <x:v>46411</x:v>
      </x:c>
      <x:c r="I28" s="59" t="str">
        <x:v>vps_crawl_sampling_master.xlsx</x:v>
      </x:c>
    </x:row>
    <x:row r="29">
      <x:c r="A29" s="68" t="n">
        <x:v>46292</x:v>
      </x:c>
      <x:c r="B29" s="59" t="str">
        <x:v>Chủ Nhật</x:v>
      </x:c>
      <x:c r="C29" s="59" t="str">
        <x:v>00:30</x:v>
      </x:c>
      <x:c r="D29" s="68" t="n">
        <x:v>46317</x:v>
      </x:c>
      <x:c r="E29" s="68" t="n">
        <x:v>46292</x:v>
      </x:c>
      <x:c r="F29" s="68" t="n">
        <x:v>46296</x:v>
      </x:c>
      <x:c r="G29" s="68" t="n">
        <x:v>46309</x:v>
      </x:c>
      <x:c r="H29" s="68" t="n">
        <x:v>46411</x:v>
      </x:c>
      <x:c r="I29" s="59" t="str">
        <x:v>vps_crawl_sampling_master.xlsx</x:v>
      </x:c>
    </x:row>
    <x:row r="30">
      <x:c r="A30" s="68" t="n">
        <x:v>46293</x:v>
      </x:c>
      <x:c r="B30" s="59" t="str">
        <x:v>Thứ Hai</x:v>
      </x:c>
      <x:c r="C30" s="59" t="str">
        <x:v>00:30</x:v>
      </x:c>
      <x:c r="D30" s="68" t="n">
        <x:v>46317</x:v>
      </x:c>
      <x:c r="E30" s="68" t="n">
        <x:v>46320</x:v>
      </x:c>
      <x:c r="F30" s="68" t="n">
        <x:v>46296</x:v>
      </x:c>
      <x:c r="G30" s="68" t="n">
        <x:v>46309</x:v>
      </x:c>
      <x:c r="H30" s="68" t="n">
        <x:v>46411</x:v>
      </x:c>
      <x:c r="I30" s="59" t="str">
        <x:v>vps_crawl_sampling_master.xlsx</x:v>
      </x:c>
    </x:row>
    <x:row r="31">
      <x:c r="A31" s="68" t="n">
        <x:v>46294</x:v>
      </x:c>
      <x:c r="B31" s="59" t="str">
        <x:v>Thứ Ba</x:v>
      </x:c>
      <x:c r="C31" s="59" t="str">
        <x:v>00:30</x:v>
      </x:c>
      <x:c r="D31" s="68" t="n">
        <x:v>46317</x:v>
      </x:c>
      <x:c r="E31" s="68" t="n">
        <x:v>46320</x:v>
      </x:c>
      <x:c r="F31" s="68" t="n">
        <x:v>46296</x:v>
      </x:c>
      <x:c r="G31" s="68" t="n">
        <x:v>46309</x:v>
      </x:c>
      <x:c r="H31" s="68" t="n">
        <x:v>46411</x:v>
      </x:c>
      <x:c r="I31" s="59" t="str">
        <x:v>vps_crawl_sampling_master.xlsx</x:v>
      </x:c>
    </x:row>
    <x:row r="32">
      <x:c r="A32" s="68" t="n">
        <x:v>46295</x:v>
      </x:c>
      <x:c r="B32" s="59" t="str">
        <x:v>Thứ Tư</x:v>
      </x:c>
      <x:c r="C32" s="59" t="str">
        <x:v>00:30</x:v>
      </x:c>
      <x:c r="D32" s="68" t="n">
        <x:v>46317</x:v>
      </x:c>
      <x:c r="E32" s="68" t="n">
        <x:v>46320</x:v>
      </x:c>
      <x:c r="F32" s="68" t="n">
        <x:v>46296</x:v>
      </x:c>
      <x:c r="G32" s="68" t="n">
        <x:v>46309</x:v>
      </x:c>
      <x:c r="H32" s="68" t="n">
        <x:v>46411</x:v>
      </x:c>
      <x:c r="I32" s="59" t="str">
        <x:v>vps_crawl_sampling_master.xlsx</x:v>
      </x:c>
    </x:row>
    <x:row r="33">
      <x:c r="A33" s="68" t="n">
        <x:v>46296</x:v>
      </x:c>
      <x:c r="B33" s="59" t="str">
        <x:v>Thứ Năm</x:v>
      </x:c>
      <x:c r="C33" s="59" t="str">
        <x:v>00:30</x:v>
      </x:c>
      <x:c r="D33" s="68" t="n">
        <x:v>46317</x:v>
      </x:c>
      <x:c r="E33" s="68" t="n">
        <x:v>46320</x:v>
      </x:c>
      <x:c r="F33" s="68" t="n">
        <x:v>46296</x:v>
      </x:c>
      <x:c r="G33" s="68" t="n">
        <x:v>46309</x:v>
      </x:c>
      <x:c r="H33" s="68" t="n">
        <x:v>46411</x:v>
      </x:c>
      <x:c r="I33" s="59" t="str">
        <x:v>vps_crawl_sampling_master.xlsx</x:v>
      </x:c>
    </x:row>
    <x:row r="34">
      <x:c r="A34" s="68" t="n">
        <x:v>46297</x:v>
      </x:c>
      <x:c r="B34" s="59" t="str">
        <x:v>Thứ Sáu</x:v>
      </x:c>
      <x:c r="C34" s="59" t="str">
        <x:v>00:30</x:v>
      </x:c>
      <x:c r="D34" s="68" t="n">
        <x:v>46317</x:v>
      </x:c>
      <x:c r="E34" s="68" t="n">
        <x:v>46320</x:v>
      </x:c>
      <x:c r="F34" s="68" t="n">
        <x:v>46324</x:v>
      </x:c>
      <x:c r="G34" s="68" t="n">
        <x:v>46309</x:v>
      </x:c>
      <x:c r="H34" s="68" t="n">
        <x:v>46411</x:v>
      </x:c>
      <x:c r="I34" s="59" t="str">
        <x:v>vps_crawl_sampling_master.xlsx</x:v>
      </x:c>
    </x:row>
    <x:row r="35">
      <x:c r="A35" s="68" t="n">
        <x:v>46298</x:v>
      </x:c>
      <x:c r="B35" s="59" t="str">
        <x:v>Thứ Bảy</x:v>
      </x:c>
      <x:c r="C35" s="59" t="str">
        <x:v>00:30</x:v>
      </x:c>
      <x:c r="D35" s="68" t="n">
        <x:v>46317</x:v>
      </x:c>
      <x:c r="E35" s="68" t="n">
        <x:v>46320</x:v>
      </x:c>
      <x:c r="F35" s="68" t="n">
        <x:v>46324</x:v>
      </x:c>
      <x:c r="G35" s="68" t="n">
        <x:v>46309</x:v>
      </x:c>
      <x:c r="H35" s="68" t="n">
        <x:v>46411</x:v>
      </x:c>
      <x:c r="I35" s="59" t="str">
        <x:v>vps_crawl_sampling_master.xlsx</x:v>
      </x:c>
    </x:row>
    <x:row r="36">
      <x:c r="A36" s="68" t="n">
        <x:v>46299</x:v>
      </x:c>
      <x:c r="B36" s="59" t="str">
        <x:v>Chủ Nhật</x:v>
      </x:c>
      <x:c r="C36" s="59" t="str">
        <x:v>00:30</x:v>
      </x:c>
      <x:c r="D36" s="68" t="n">
        <x:v>46317</x:v>
      </x:c>
      <x:c r="E36" s="68" t="n">
        <x:v>46320</x:v>
      </x:c>
      <x:c r="F36" s="68" t="n">
        <x:v>46324</x:v>
      </x:c>
      <x:c r="G36" s="68" t="n">
        <x:v>46309</x:v>
      </x:c>
      <x:c r="H36" s="68" t="n">
        <x:v>46411</x:v>
      </x:c>
      <x:c r="I36" s="59" t="str">
        <x:v>vps_crawl_sampling_master.xlsx</x:v>
      </x:c>
    </x:row>
    <x:row r="37">
      <x:c r="A37" s="68" t="n">
        <x:v>46300</x:v>
      </x:c>
      <x:c r="B37" s="59" t="str">
        <x:v>Thứ Hai</x:v>
      </x:c>
      <x:c r="C37" s="59" t="str">
        <x:v>00:30</x:v>
      </x:c>
      <x:c r="D37" s="68" t="n">
        <x:v>46317</x:v>
      </x:c>
      <x:c r="E37" s="68" t="n">
        <x:v>46320</x:v>
      </x:c>
      <x:c r="F37" s="68" t="n">
        <x:v>46324</x:v>
      </x:c>
      <x:c r="G37" s="68" t="n">
        <x:v>46309</x:v>
      </x:c>
      <x:c r="H37" s="68" t="n">
        <x:v>46411</x:v>
      </x:c>
      <x:c r="I37" s="59" t="str">
        <x:v>vps_crawl_sampling_master.xlsx</x:v>
      </x:c>
    </x:row>
    <x:row r="38">
      <x:c r="A38" s="68" t="n">
        <x:v>46301</x:v>
      </x:c>
      <x:c r="B38" s="59" t="str">
        <x:v>Thứ Ba</x:v>
      </x:c>
      <x:c r="C38" s="59" t="str">
        <x:v>00:30</x:v>
      </x:c>
      <x:c r="D38" s="68" t="n">
        <x:v>46317</x:v>
      </x:c>
      <x:c r="E38" s="68" t="n">
        <x:v>46320</x:v>
      </x:c>
      <x:c r="F38" s="68" t="n">
        <x:v>46324</x:v>
      </x:c>
      <x:c r="G38" s="68" t="n">
        <x:v>46309</x:v>
      </x:c>
      <x:c r="H38" s="68" t="n">
        <x:v>46411</x:v>
      </x:c>
      <x:c r="I38" s="59" t="str">
        <x:v>vps_crawl_sampling_master.xlsx</x:v>
      </x:c>
    </x:row>
    <x:row r="39">
      <x:c r="A39" s="68" t="n">
        <x:v>46302</x:v>
      </x:c>
      <x:c r="B39" s="59" t="str">
        <x:v>Thứ Tư</x:v>
      </x:c>
      <x:c r="C39" s="59" t="str">
        <x:v>00:30</x:v>
      </x:c>
      <x:c r="D39" s="68" t="n">
        <x:v>46317</x:v>
      </x:c>
      <x:c r="E39" s="68" t="n">
        <x:v>46320</x:v>
      </x:c>
      <x:c r="F39" s="68" t="n">
        <x:v>46324</x:v>
      </x:c>
      <x:c r="G39" s="68" t="n">
        <x:v>46309</x:v>
      </x:c>
      <x:c r="H39" s="68" t="n">
        <x:v>46411</x:v>
      </x:c>
      <x:c r="I39" s="59" t="str">
        <x:v>vps_crawl_sampling_master.xlsx</x:v>
      </x:c>
    </x:row>
    <x:row r="40">
      <x:c r="A40" s="68" t="n">
        <x:v>46303</x:v>
      </x:c>
      <x:c r="B40" s="59" t="str">
        <x:v>Thứ Năm</x:v>
      </x:c>
      <x:c r="C40" s="59" t="str">
        <x:v>00:30</x:v>
      </x:c>
      <x:c r="D40" s="68" t="n">
        <x:v>46317</x:v>
      </x:c>
      <x:c r="E40" s="68" t="n">
        <x:v>46320</x:v>
      </x:c>
      <x:c r="F40" s="68" t="n">
        <x:v>46324</x:v>
      </x:c>
      <x:c r="G40" s="68" t="n">
        <x:v>46309</x:v>
      </x:c>
      <x:c r="H40" s="68" t="n">
        <x:v>46411</x:v>
      </x:c>
      <x:c r="I40" s="59" t="str">
        <x:v>vps_crawl_sampling_master.xlsx</x:v>
      </x:c>
    </x:row>
    <x:row r="41">
      <x:c r="A41" s="68" t="n">
        <x:v>46304</x:v>
      </x:c>
      <x:c r="B41" s="59" t="str">
        <x:v>Thứ Sáu</x:v>
      </x:c>
      <x:c r="C41" s="59" t="str">
        <x:v>00:30</x:v>
      </x:c>
      <x:c r="D41" s="68" t="n">
        <x:v>46317</x:v>
      </x:c>
      <x:c r="E41" s="68" t="n">
        <x:v>46320</x:v>
      </x:c>
      <x:c r="F41" s="68" t="n">
        <x:v>46324</x:v>
      </x:c>
      <x:c r="G41" s="68" t="n">
        <x:v>46309</x:v>
      </x:c>
      <x:c r="H41" s="68" t="n">
        <x:v>46411</x:v>
      </x:c>
      <x:c r="I41" s="59" t="str">
        <x:v>vps_crawl_sampling_master.xlsx</x:v>
      </x:c>
    </x:row>
    <x:row r="42">
      <x:c r="A42" s="68" t="n">
        <x:v>46305</x:v>
      </x:c>
      <x:c r="B42" s="59" t="str">
        <x:v>Thứ Bảy</x:v>
      </x:c>
      <x:c r="C42" s="59" t="str">
        <x:v>00:30</x:v>
      </x:c>
      <x:c r="D42" s="68" t="n">
        <x:v>46317</x:v>
      </x:c>
      <x:c r="E42" s="68" t="n">
        <x:v>46320</x:v>
      </x:c>
      <x:c r="F42" s="68" t="n">
        <x:v>46324</x:v>
      </x:c>
      <x:c r="G42" s="68" t="n">
        <x:v>46309</x:v>
      </x:c>
      <x:c r="H42" s="68" t="n">
        <x:v>46411</x:v>
      </x:c>
      <x:c r="I42" s="59" t="str">
        <x:v>vps_crawl_sampling_master.xlsx</x:v>
      </x:c>
    </x:row>
    <x:row r="43">
      <x:c r="A43" s="68" t="n">
        <x:v>46306</x:v>
      </x:c>
      <x:c r="B43" s="59" t="str">
        <x:v>Chủ Nhật</x:v>
      </x:c>
      <x:c r="C43" s="59" t="str">
        <x:v>00:30</x:v>
      </x:c>
      <x:c r="D43" s="68" t="n">
        <x:v>46317</x:v>
      </x:c>
      <x:c r="E43" s="68" t="n">
        <x:v>46320</x:v>
      </x:c>
      <x:c r="F43" s="68" t="n">
        <x:v>46324</x:v>
      </x:c>
      <x:c r="G43" s="68" t="n">
        <x:v>46309</x:v>
      </x:c>
      <x:c r="H43" s="68" t="n">
        <x:v>46411</x:v>
      </x:c>
      <x:c r="I43" s="59" t="str">
        <x:v>vps_crawl_sampling_master.xlsx</x:v>
      </x:c>
    </x:row>
    <x:row r="44">
      <x:c r="A44" s="68" t="n">
        <x:v>46307</x:v>
      </x:c>
      <x:c r="B44" s="59" t="str">
        <x:v>Thứ Hai</x:v>
      </x:c>
      <x:c r="C44" s="59" t="str">
        <x:v>00:30</x:v>
      </x:c>
      <x:c r="D44" s="68" t="n">
        <x:v>46317</x:v>
      </x:c>
      <x:c r="E44" s="68" t="n">
        <x:v>46320</x:v>
      </x:c>
      <x:c r="F44" s="68" t="n">
        <x:v>46324</x:v>
      </x:c>
      <x:c r="G44" s="68" t="n">
        <x:v>46309</x:v>
      </x:c>
      <x:c r="H44" s="68" t="n">
        <x:v>46411</x:v>
      </x:c>
      <x:c r="I44" s="59" t="str">
        <x:v>vps_crawl_sampling_master.xlsx</x:v>
      </x:c>
    </x:row>
    <x:row r="45">
      <x:c r="A45" s="68" t="n">
        <x:v>46308</x:v>
      </x:c>
      <x:c r="B45" s="59" t="str">
        <x:v>Thứ Ba</x:v>
      </x:c>
      <x:c r="C45" s="59" t="str">
        <x:v>00:30</x:v>
      </x:c>
      <x:c r="D45" s="68" t="n">
        <x:v>46317</x:v>
      </x:c>
      <x:c r="E45" s="68" t="n">
        <x:v>46320</x:v>
      </x:c>
      <x:c r="F45" s="68" t="n">
        <x:v>46324</x:v>
      </x:c>
      <x:c r="G45" s="68" t="n">
        <x:v>46309</x:v>
      </x:c>
      <x:c r="H45" s="68" t="n">
        <x:v>46411</x:v>
      </x:c>
      <x:c r="I45" s="59" t="str">
        <x:v>vps_crawl_sampling_master.xlsx</x:v>
      </x:c>
    </x:row>
    <x:row r="46">
      <x:c r="A46" s="68" t="n">
        <x:v>46309</x:v>
      </x:c>
      <x:c r="B46" s="59" t="str">
        <x:v>Thứ Tư</x:v>
      </x:c>
      <x:c r="C46" s="59" t="str">
        <x:v>00:30</x:v>
      </x:c>
      <x:c r="D46" s="68" t="n">
        <x:v>46317</x:v>
      </x:c>
      <x:c r="E46" s="68" t="n">
        <x:v>46320</x:v>
      </x:c>
      <x:c r="F46" s="68" t="n">
        <x:v>46324</x:v>
      </x:c>
      <x:c r="G46" s="68" t="n">
        <x:v>46309</x:v>
      </x:c>
      <x:c r="H46" s="68" t="n">
        <x:v>46411</x:v>
      </x:c>
      <x:c r="I46" s="59" t="str">
        <x:v>vps_crawl_sampling_master.xlsx</x:v>
      </x:c>
    </x:row>
    <x:row r="47">
      <x:c r="A47" s="68" t="n">
        <x:v>46310</x:v>
      </x:c>
      <x:c r="B47" s="59" t="str">
        <x:v>Thứ Năm</x:v>
      </x:c>
      <x:c r="C47" s="59" t="str">
        <x:v>00:30</x:v>
      </x:c>
      <x:c r="D47" s="68" t="n">
        <x:v>46317</x:v>
      </x:c>
      <x:c r="E47" s="68" t="n">
        <x:v>46320</x:v>
      </x:c>
      <x:c r="F47" s="68" t="n">
        <x:v>46324</x:v>
      </x:c>
      <x:c r="G47" s="68" t="n">
        <x:v>46337</x:v>
      </x:c>
      <x:c r="H47" s="68" t="n">
        <x:v>46411</x:v>
      </x:c>
      <x:c r="I47" s="59" t="str">
        <x:v>vps_crawl_sampling_master.xlsx</x:v>
      </x:c>
    </x:row>
    <x:row r="48">
      <x:c r="A48" s="68" t="n">
        <x:v>46311</x:v>
      </x:c>
      <x:c r="B48" s="59" t="str">
        <x:v>Thứ Sáu</x:v>
      </x:c>
      <x:c r="C48" s="59" t="str">
        <x:v>00:30</x:v>
      </x:c>
      <x:c r="D48" s="68" t="n">
        <x:v>46317</x:v>
      </x:c>
      <x:c r="E48" s="68" t="n">
        <x:v>46320</x:v>
      </x:c>
      <x:c r="F48" s="68" t="n">
        <x:v>46324</x:v>
      </x:c>
      <x:c r="G48" s="68" t="n">
        <x:v>46337</x:v>
      </x:c>
      <x:c r="H48" s="68" t="n">
        <x:v>46411</x:v>
      </x:c>
      <x:c r="I48" s="59" t="str">
        <x:v>vps_crawl_sampling_master.xlsx</x:v>
      </x:c>
    </x:row>
    <x:row r="49">
      <x:c r="A49" s="68" t="n">
        <x:v>46312</x:v>
      </x:c>
      <x:c r="B49" s="59" t="str">
        <x:v>Thứ Bảy</x:v>
      </x:c>
      <x:c r="C49" s="59" t="str">
        <x:v>00:30</x:v>
      </x:c>
      <x:c r="D49" s="68" t="n">
        <x:v>46317</x:v>
      </x:c>
      <x:c r="E49" s="68" t="n">
        <x:v>46320</x:v>
      </x:c>
      <x:c r="F49" s="68" t="n">
        <x:v>46324</x:v>
      </x:c>
      <x:c r="G49" s="68" t="n">
        <x:v>46337</x:v>
      </x:c>
      <x:c r="H49" s="68" t="n">
        <x:v>46411</x:v>
      </x:c>
      <x:c r="I49" s="59" t="str">
        <x:v>vps_crawl_sampling_master.xlsx</x:v>
      </x:c>
    </x:row>
    <x:row r="50">
      <x:c r="A50" s="68" t="n">
        <x:v>46313</x:v>
      </x:c>
      <x:c r="B50" s="59" t="str">
        <x:v>Chủ Nhật</x:v>
      </x:c>
      <x:c r="C50" s="59" t="str">
        <x:v>00:30</x:v>
      </x:c>
      <x:c r="D50" s="68" t="n">
        <x:v>46317</x:v>
      </x:c>
      <x:c r="E50" s="68" t="n">
        <x:v>46320</x:v>
      </x:c>
      <x:c r="F50" s="68" t="n">
        <x:v>46324</x:v>
      </x:c>
      <x:c r="G50" s="68" t="n">
        <x:v>46337</x:v>
      </x:c>
      <x:c r="H50" s="68" t="n">
        <x:v>46411</x:v>
      </x:c>
      <x:c r="I50" s="59" t="str">
        <x:v>vps_crawl_sampling_master.xlsx</x:v>
      </x:c>
    </x:row>
    <x:row r="51">
      <x:c r="A51" s="68" t="n">
        <x:v>46314</x:v>
      </x:c>
      <x:c r="B51" s="59" t="str">
        <x:v>Thứ Hai</x:v>
      </x:c>
      <x:c r="C51" s="59" t="str">
        <x:v>00:30</x:v>
      </x:c>
      <x:c r="D51" s="68" t="n">
        <x:v>46317</x:v>
      </x:c>
      <x:c r="E51" s="68" t="n">
        <x:v>46320</x:v>
      </x:c>
      <x:c r="F51" s="68" t="n">
        <x:v>46324</x:v>
      </x:c>
      <x:c r="G51" s="68" t="n">
        <x:v>46337</x:v>
      </x:c>
      <x:c r="H51" s="68" t="n">
        <x:v>46411</x:v>
      </x:c>
      <x:c r="I51" s="59" t="str">
        <x:v>vps_crawl_sampling_master.xlsx</x:v>
      </x:c>
    </x:row>
    <x:row r="52">
      <x:c r="A52" s="68" t="n">
        <x:v>46315</x:v>
      </x:c>
      <x:c r="B52" s="59" t="str">
        <x:v>Thứ Ba</x:v>
      </x:c>
      <x:c r="C52" s="59" t="str">
        <x:v>00:30</x:v>
      </x:c>
      <x:c r="D52" s="68" t="n">
        <x:v>46317</x:v>
      </x:c>
      <x:c r="E52" s="68" t="n">
        <x:v>46320</x:v>
      </x:c>
      <x:c r="F52" s="68" t="n">
        <x:v>46324</x:v>
      </x:c>
      <x:c r="G52" s="68" t="n">
        <x:v>46337</x:v>
      </x:c>
      <x:c r="H52" s="68" t="n">
        <x:v>46411</x:v>
      </x:c>
      <x:c r="I52" s="59" t="str">
        <x:v>vps_crawl_sampling_master.xlsx</x:v>
      </x:c>
    </x:row>
    <x:row r="53">
      <x:c r="A53" s="68" t="n">
        <x:v>46316</x:v>
      </x:c>
      <x:c r="B53" s="59" t="str">
        <x:v>Thứ Tư</x:v>
      </x:c>
      <x:c r="C53" s="59" t="str">
        <x:v>00:30</x:v>
      </x:c>
      <x:c r="D53" s="68" t="n">
        <x:v>46317</x:v>
      </x:c>
      <x:c r="E53" s="68" t="n">
        <x:v>46320</x:v>
      </x:c>
      <x:c r="F53" s="68" t="n">
        <x:v>46324</x:v>
      </x:c>
      <x:c r="G53" s="68" t="n">
        <x:v>46337</x:v>
      </x:c>
      <x:c r="H53" s="68" t="n">
        <x:v>46411</x:v>
      </x:c>
      <x:c r="I53" s="59" t="str">
        <x:v>vps_crawl_sampling_master.xlsx</x:v>
      </x:c>
    </x:row>
    <x:row r="54">
      <x:c r="A54" s="68" t="n">
        <x:v>46317</x:v>
      </x:c>
      <x:c r="B54" s="59" t="str">
        <x:v>Thứ Năm</x:v>
      </x:c>
      <x:c r="C54" s="59" t="str">
        <x:v>00:30</x:v>
      </x:c>
      <x:c r="D54" s="68" t="n">
        <x:v>46317</x:v>
      </x:c>
      <x:c r="E54" s="68" t="n">
        <x:v>46320</x:v>
      </x:c>
      <x:c r="F54" s="68" t="n">
        <x:v>46324</x:v>
      </x:c>
      <x:c r="G54" s="68" t="n">
        <x:v>46337</x:v>
      </x:c>
      <x:c r="H54" s="68" t="n">
        <x:v>46411</x:v>
      </x:c>
      <x:c r="I54" s="59" t="str">
        <x:v>vps_crawl_sampling_master.xlsx</x:v>
      </x:c>
    </x:row>
    <x:row r="55">
      <x:c r="A55" s="68" t="n">
        <x:v>46318</x:v>
      </x:c>
      <x:c r="B55" s="59" t="str">
        <x:v>Thứ Sáu</x:v>
      </x:c>
      <x:c r="C55" s="59" t="str">
        <x:v>00:30</x:v>
      </x:c>
      <x:c r="D55" s="68" t="n">
        <x:v>46345</x:v>
      </x:c>
      <x:c r="E55" s="68" t="n">
        <x:v>46320</x:v>
      </x:c>
      <x:c r="F55" s="68" t="n">
        <x:v>46324</x:v>
      </x:c>
      <x:c r="G55" s="68" t="n">
        <x:v>46337</x:v>
      </x:c>
      <x:c r="H55" s="68" t="n">
        <x:v>46411</x:v>
      </x:c>
      <x:c r="I55" s="59" t="str">
        <x:v>vps_crawl_sampling_master.xlsx</x:v>
      </x:c>
    </x:row>
    <x:row r="56">
      <x:c r="A56" s="68" t="n">
        <x:v>46319</x:v>
      </x:c>
      <x:c r="B56" s="59" t="str">
        <x:v>Thứ Bảy</x:v>
      </x:c>
      <x:c r="C56" s="59" t="str">
        <x:v>00:30</x:v>
      </x:c>
      <x:c r="D56" s="68" t="n">
        <x:v>46345</x:v>
      </x:c>
      <x:c r="E56" s="68" t="n">
        <x:v>46320</x:v>
      </x:c>
      <x:c r="F56" s="68" t="n">
        <x:v>46324</x:v>
      </x:c>
      <x:c r="G56" s="68" t="n">
        <x:v>46337</x:v>
      </x:c>
      <x:c r="H56" s="68" t="n">
        <x:v>46411</x:v>
      </x:c>
      <x:c r="I56" s="59" t="str">
        <x:v>vps_crawl_sampling_master.xlsx</x:v>
      </x:c>
    </x:row>
    <x:row r="57">
      <x:c r="A57" s="68" t="n">
        <x:v>46320</x:v>
      </x:c>
      <x:c r="B57" s="59" t="str">
        <x:v>Chủ Nhật</x:v>
      </x:c>
      <x:c r="C57" s="59" t="str">
        <x:v>00:30</x:v>
      </x:c>
      <x:c r="D57" s="68" t="n">
        <x:v>46345</x:v>
      </x:c>
      <x:c r="E57" s="68" t="n">
        <x:v>46320</x:v>
      </x:c>
      <x:c r="F57" s="68" t="n">
        <x:v>46324</x:v>
      </x:c>
      <x:c r="G57" s="68" t="n">
        <x:v>46337</x:v>
      </x:c>
      <x:c r="H57" s="68" t="n">
        <x:v>46411</x:v>
      </x:c>
      <x:c r="I57" s="59" t="str">
        <x:v>vps_crawl_sampling_master.xlsx</x:v>
      </x:c>
    </x:row>
    <x:row r="58">
      <x:c r="A58" s="68" t="n">
        <x:v>46321</x:v>
      </x:c>
      <x:c r="B58" s="59" t="str">
        <x:v>Thứ Hai</x:v>
      </x:c>
      <x:c r="C58" s="59" t="str">
        <x:v>00:30</x:v>
      </x:c>
      <x:c r="D58" s="68" t="n">
        <x:v>46345</x:v>
      </x:c>
      <x:c r="E58" s="68" t="n">
        <x:v>46348</x:v>
      </x:c>
      <x:c r="F58" s="68" t="n">
        <x:v>46324</x:v>
      </x:c>
      <x:c r="G58" s="68" t="n">
        <x:v>46337</x:v>
      </x:c>
      <x:c r="H58" s="68" t="n">
        <x:v>46411</x:v>
      </x:c>
      <x:c r="I58" s="59" t="str">
        <x:v>vps_crawl_sampling_master.xlsx</x:v>
      </x:c>
    </x:row>
    <x:row r="59">
      <x:c r="A59" s="68" t="n">
        <x:v>46322</x:v>
      </x:c>
      <x:c r="B59" s="59" t="str">
        <x:v>Thứ Ba</x:v>
      </x:c>
      <x:c r="C59" s="59" t="str">
        <x:v>00:30</x:v>
      </x:c>
      <x:c r="D59" s="68" t="n">
        <x:v>46345</x:v>
      </x:c>
      <x:c r="E59" s="68" t="n">
        <x:v>46348</x:v>
      </x:c>
      <x:c r="F59" s="68" t="n">
        <x:v>46324</x:v>
      </x:c>
      <x:c r="G59" s="68" t="n">
        <x:v>46337</x:v>
      </x:c>
      <x:c r="H59" s="68" t="n">
        <x:v>46411</x:v>
      </x:c>
      <x:c r="I59" s="59" t="str">
        <x:v>vps_crawl_sampling_master.xlsx</x:v>
      </x:c>
    </x:row>
    <x:row r="60">
      <x:c r="A60" s="68" t="n">
        <x:v>46323</x:v>
      </x:c>
      <x:c r="B60" s="59" t="str">
        <x:v>Thứ Tư</x:v>
      </x:c>
      <x:c r="C60" s="59" t="str">
        <x:v>00:30</x:v>
      </x:c>
      <x:c r="D60" s="68" t="n">
        <x:v>46345</x:v>
      </x:c>
      <x:c r="E60" s="68" t="n">
        <x:v>46348</x:v>
      </x:c>
      <x:c r="F60" s="68" t="n">
        <x:v>46324</x:v>
      </x:c>
      <x:c r="G60" s="68" t="n">
        <x:v>46337</x:v>
      </x:c>
      <x:c r="H60" s="68" t="n">
        <x:v>46411</x:v>
      </x:c>
      <x:c r="I60" s="59" t="str">
        <x:v>vps_crawl_sampling_master.xlsx</x:v>
      </x:c>
    </x:row>
    <x:row r="61">
      <x:c r="A61" s="68" t="n">
        <x:v>46324</x:v>
      </x:c>
      <x:c r="B61" s="59" t="str">
        <x:v>Thứ Năm</x:v>
      </x:c>
      <x:c r="C61" s="59" t="str">
        <x:v>00:30</x:v>
      </x:c>
      <x:c r="D61" s="68" t="n">
        <x:v>46345</x:v>
      </x:c>
      <x:c r="E61" s="68" t="n">
        <x:v>46348</x:v>
      </x:c>
      <x:c r="F61" s="68" t="n">
        <x:v>46324</x:v>
      </x:c>
      <x:c r="G61" s="68" t="n">
        <x:v>46337</x:v>
      </x:c>
      <x:c r="H61" s="68" t="n">
        <x:v>46411</x:v>
      </x:c>
      <x:c r="I61" s="59" t="str">
        <x:v>vps_crawl_sampling_master.xlsx</x:v>
      </x:c>
    </x:row>
    <x:row r="62">
      <x:c r="A62" s="68" t="n">
        <x:v>46325</x:v>
      </x:c>
      <x:c r="B62" s="59" t="str">
        <x:v>Thứ Sáu</x:v>
      </x:c>
      <x:c r="C62" s="59" t="str">
        <x:v>00:30</x:v>
      </x:c>
      <x:c r="D62" s="68" t="n">
        <x:v>46345</x:v>
      </x:c>
      <x:c r="E62" s="68" t="n">
        <x:v>46348</x:v>
      </x:c>
      <x:c r="F62" s="68" t="n">
        <x:v>46352</x:v>
      </x:c>
      <x:c r="G62" s="68" t="n">
        <x:v>46337</x:v>
      </x:c>
      <x:c r="H62" s="68" t="n">
        <x:v>46411</x:v>
      </x:c>
      <x:c r="I62" s="59" t="str">
        <x:v>vps_crawl_sampling_master.xlsx</x:v>
      </x:c>
    </x:row>
    <x:row r="63">
      <x:c r="A63" s="68" t="n">
        <x:v>46326</x:v>
      </x:c>
      <x:c r="B63" s="59" t="str">
        <x:v>Thứ Bảy</x:v>
      </x:c>
      <x:c r="C63" s="59" t="str">
        <x:v>00:30</x:v>
      </x:c>
      <x:c r="D63" s="68" t="n">
        <x:v>46345</x:v>
      </x:c>
      <x:c r="E63" s="68" t="n">
        <x:v>46348</x:v>
      </x:c>
      <x:c r="F63" s="68" t="n">
        <x:v>46352</x:v>
      </x:c>
      <x:c r="G63" s="68" t="n">
        <x:v>46337</x:v>
      </x:c>
      <x:c r="H63" s="68" t="n">
        <x:v>46411</x:v>
      </x:c>
      <x:c r="I63" s="59" t="str">
        <x:v>vps_crawl_sampling_master.xlsx</x:v>
      </x:c>
    </x:row>
    <x:row r="64">
      <x:c r="A64" s="68" t="n">
        <x:v>46327</x:v>
      </x:c>
      <x:c r="B64" s="59" t="str">
        <x:v>Chủ Nhật</x:v>
      </x:c>
      <x:c r="C64" s="59" t="str">
        <x:v>00:30</x:v>
      </x:c>
      <x:c r="D64" s="68" t="n">
        <x:v>46345</x:v>
      </x:c>
      <x:c r="E64" s="68" t="n">
        <x:v>46348</x:v>
      </x:c>
      <x:c r="F64" s="68" t="n">
        <x:v>46352</x:v>
      </x:c>
      <x:c r="G64" s="68" t="n">
        <x:v>46337</x:v>
      </x:c>
      <x:c r="H64" s="68" t="n">
        <x:v>46411</x:v>
      </x:c>
      <x:c r="I64" s="59" t="str">
        <x:v>vps_crawl_sampling_master.xlsx</x:v>
      </x:c>
    </x:row>
    <x:row r="65">
      <x:c r="A65" s="68" t="n">
        <x:v>46328</x:v>
      </x:c>
      <x:c r="B65" s="59" t="str">
        <x:v>Thứ Hai</x:v>
      </x:c>
      <x:c r="C65" s="59" t="str">
        <x:v>00:30</x:v>
      </x:c>
      <x:c r="D65" s="68" t="n">
        <x:v>46345</x:v>
      </x:c>
      <x:c r="E65" s="68" t="n">
        <x:v>46348</x:v>
      </x:c>
      <x:c r="F65" s="68" t="n">
        <x:v>46352</x:v>
      </x:c>
      <x:c r="G65" s="68" t="n">
        <x:v>46337</x:v>
      </x:c>
      <x:c r="H65" s="68" t="n">
        <x:v>46411</x:v>
      </x:c>
      <x:c r="I65" s="59" t="str">
        <x:v>vps_crawl_sampling_master.xlsx</x:v>
      </x:c>
    </x:row>
    <x:row r="66">
      <x:c r="A66" s="68" t="n">
        <x:v>46329</x:v>
      </x:c>
      <x:c r="B66" s="59" t="str">
        <x:v>Thứ Ba</x:v>
      </x:c>
      <x:c r="C66" s="59" t="str">
        <x:v>00:30</x:v>
      </x:c>
      <x:c r="D66" s="68" t="n">
        <x:v>46345</x:v>
      </x:c>
      <x:c r="E66" s="68" t="n">
        <x:v>46348</x:v>
      </x:c>
      <x:c r="F66" s="68" t="n">
        <x:v>46352</x:v>
      </x:c>
      <x:c r="G66" s="68" t="n">
        <x:v>46337</x:v>
      </x:c>
      <x:c r="H66" s="68" t="n">
        <x:v>46411</x:v>
      </x:c>
      <x:c r="I66" s="59" t="str">
        <x:v>vps_crawl_sampling_master.xlsx</x:v>
      </x:c>
    </x:row>
    <x:row r="67">
      <x:c r="A67" s="68" t="n">
        <x:v>46330</x:v>
      </x:c>
      <x:c r="B67" s="59" t="str">
        <x:v>Thứ Tư</x:v>
      </x:c>
      <x:c r="C67" s="59" t="str">
        <x:v>00:30</x:v>
      </x:c>
      <x:c r="D67" s="68" t="n">
        <x:v>46345</x:v>
      </x:c>
      <x:c r="E67" s="68" t="n">
        <x:v>46348</x:v>
      </x:c>
      <x:c r="F67" s="68" t="n">
        <x:v>46352</x:v>
      </x:c>
      <x:c r="G67" s="68" t="n">
        <x:v>46337</x:v>
      </x:c>
      <x:c r="H67" s="68" t="n">
        <x:v>46411</x:v>
      </x:c>
      <x:c r="I67" s="59" t="str">
        <x:v>vps_crawl_sampling_master.xlsx</x:v>
      </x:c>
    </x:row>
    <x:row r="68">
      <x:c r="A68" s="68" t="n">
        <x:v>46331</x:v>
      </x:c>
      <x:c r="B68" s="59" t="str">
        <x:v>Thứ Năm</x:v>
      </x:c>
      <x:c r="C68" s="59" t="str">
        <x:v>00:30</x:v>
      </x:c>
      <x:c r="D68" s="68" t="n">
        <x:v>46345</x:v>
      </x:c>
      <x:c r="E68" s="68" t="n">
        <x:v>46348</x:v>
      </x:c>
      <x:c r="F68" s="68" t="n">
        <x:v>46352</x:v>
      </x:c>
      <x:c r="G68" s="68" t="n">
        <x:v>46337</x:v>
      </x:c>
      <x:c r="H68" s="68" t="n">
        <x:v>46411</x:v>
      </x:c>
      <x:c r="I68" s="59" t="str">
        <x:v>vps_crawl_sampling_master.xlsx</x:v>
      </x:c>
    </x:row>
    <x:row r="69">
      <x:c r="A69" s="68" t="n">
        <x:v>46332</x:v>
      </x:c>
      <x:c r="B69" s="59" t="str">
        <x:v>Thứ Sáu</x:v>
      </x:c>
      <x:c r="C69" s="59" t="str">
        <x:v>00:30</x:v>
      </x:c>
      <x:c r="D69" s="68" t="n">
        <x:v>46345</x:v>
      </x:c>
      <x:c r="E69" s="68" t="n">
        <x:v>46348</x:v>
      </x:c>
      <x:c r="F69" s="68" t="n">
        <x:v>46352</x:v>
      </x:c>
      <x:c r="G69" s="68" t="n">
        <x:v>46337</x:v>
      </x:c>
      <x:c r="H69" s="68" t="n">
        <x:v>46411</x:v>
      </x:c>
      <x:c r="I69" s="59" t="str">
        <x:v>vps_crawl_sampling_master.xlsx</x:v>
      </x:c>
    </x:row>
    <x:row r="70">
      <x:c r="A70" s="68" t="n">
        <x:v>46333</x:v>
      </x:c>
      <x:c r="B70" s="59" t="str">
        <x:v>Thứ Bảy</x:v>
      </x:c>
      <x:c r="C70" s="59" t="str">
        <x:v>00:30</x:v>
      </x:c>
      <x:c r="D70" s="68" t="n">
        <x:v>46345</x:v>
      </x:c>
      <x:c r="E70" s="68" t="n">
        <x:v>46348</x:v>
      </x:c>
      <x:c r="F70" s="68" t="n">
        <x:v>46352</x:v>
      </x:c>
      <x:c r="G70" s="68" t="n">
        <x:v>46337</x:v>
      </x:c>
      <x:c r="H70" s="68" t="n">
        <x:v>46411</x:v>
      </x:c>
      <x:c r="I70" s="59" t="str">
        <x:v>vps_crawl_sampling_master.xlsx</x:v>
      </x:c>
    </x:row>
    <x:row r="71">
      <x:c r="A71" s="68" t="n">
        <x:v>46334</x:v>
      </x:c>
      <x:c r="B71" s="59" t="str">
        <x:v>Chủ Nhật</x:v>
      </x:c>
      <x:c r="C71" s="59" t="str">
        <x:v>00:30</x:v>
      </x:c>
      <x:c r="D71" s="68" t="n">
        <x:v>46345</x:v>
      </x:c>
      <x:c r="E71" s="68" t="n">
        <x:v>46348</x:v>
      </x:c>
      <x:c r="F71" s="68" t="n">
        <x:v>46352</x:v>
      </x:c>
      <x:c r="G71" s="68" t="n">
        <x:v>46337</x:v>
      </x:c>
      <x:c r="H71" s="68" t="n">
        <x:v>46411</x:v>
      </x:c>
      <x:c r="I71" s="59" t="str">
        <x:v>vps_crawl_sampling_master.xlsx</x:v>
      </x:c>
    </x:row>
    <x:row r="72">
      <x:c r="A72" s="68" t="n">
        <x:v>46335</x:v>
      </x:c>
      <x:c r="B72" s="59" t="str">
        <x:v>Thứ Hai</x:v>
      </x:c>
      <x:c r="C72" s="59" t="str">
        <x:v>00:30</x:v>
      </x:c>
      <x:c r="D72" s="68" t="n">
        <x:v>46345</x:v>
      </x:c>
      <x:c r="E72" s="68" t="n">
        <x:v>46348</x:v>
      </x:c>
      <x:c r="F72" s="68" t="n">
        <x:v>46352</x:v>
      </x:c>
      <x:c r="G72" s="68" t="n">
        <x:v>46337</x:v>
      </x:c>
      <x:c r="H72" s="68" t="n">
        <x:v>46411</x:v>
      </x:c>
      <x:c r="I72" s="59" t="str">
        <x:v>vps_crawl_sampling_master.xlsx</x:v>
      </x:c>
    </x:row>
    <x:row r="73">
      <x:c r="A73" s="68" t="n">
        <x:v>46336</x:v>
      </x:c>
      <x:c r="B73" s="59" t="str">
        <x:v>Thứ Ba</x:v>
      </x:c>
      <x:c r="C73" s="59" t="str">
        <x:v>00:30</x:v>
      </x:c>
      <x:c r="D73" s="68" t="n">
        <x:v>46345</x:v>
      </x:c>
      <x:c r="E73" s="68" t="n">
        <x:v>46348</x:v>
      </x:c>
      <x:c r="F73" s="68" t="n">
        <x:v>46352</x:v>
      </x:c>
      <x:c r="G73" s="68" t="n">
        <x:v>46337</x:v>
      </x:c>
      <x:c r="H73" s="68" t="n">
        <x:v>46411</x:v>
      </x:c>
      <x:c r="I73" s="59" t="str">
        <x:v>vps_crawl_sampling_master.xlsx</x:v>
      </x:c>
    </x:row>
    <x:row r="74">
      <x:c r="A74" s="68" t="n">
        <x:v>46337</x:v>
      </x:c>
      <x:c r="B74" s="59" t="str">
        <x:v>Thứ Tư</x:v>
      </x:c>
      <x:c r="C74" s="59" t="str">
        <x:v>00:30</x:v>
      </x:c>
      <x:c r="D74" s="68" t="n">
        <x:v>46345</x:v>
      </x:c>
      <x:c r="E74" s="68" t="n">
        <x:v>46348</x:v>
      </x:c>
      <x:c r="F74" s="68" t="n">
        <x:v>46352</x:v>
      </x:c>
      <x:c r="G74" s="68" t="n">
        <x:v>46337</x:v>
      </x:c>
      <x:c r="H74" s="68" t="n">
        <x:v>46411</x:v>
      </x:c>
      <x:c r="I74" s="59" t="str">
        <x:v>vps_crawl_sampling_master.xlsx</x:v>
      </x:c>
    </x:row>
    <x:row r="75">
      <x:c r="A75" s="68" t="n">
        <x:v>46338</x:v>
      </x:c>
      <x:c r="B75" s="59" t="str">
        <x:v>Thứ Năm</x:v>
      </x:c>
      <x:c r="C75" s="59" t="str">
        <x:v>00:30</x:v>
      </x:c>
      <x:c r="D75" s="68" t="n">
        <x:v>46345</x:v>
      </x:c>
      <x:c r="E75" s="68" t="n">
        <x:v>46348</x:v>
      </x:c>
      <x:c r="F75" s="68" t="n">
        <x:v>46352</x:v>
      </x:c>
      <x:c r="G75" s="68" t="n">
        <x:v>46365</x:v>
      </x:c>
      <x:c r="H75" s="68" t="n">
        <x:v>46411</x:v>
      </x:c>
      <x:c r="I75" s="59" t="str">
        <x:v>vps_crawl_sampling_master.xlsx</x:v>
      </x:c>
    </x:row>
    <x:row r="76">
      <x:c r="A76" s="68" t="n">
        <x:v>46339</x:v>
      </x:c>
      <x:c r="B76" s="59" t="str">
        <x:v>Thứ Sáu</x:v>
      </x:c>
      <x:c r="C76" s="59" t="str">
        <x:v>00:30</x:v>
      </x:c>
      <x:c r="D76" s="68" t="n">
        <x:v>46345</x:v>
      </x:c>
      <x:c r="E76" s="68" t="n">
        <x:v>46348</x:v>
      </x:c>
      <x:c r="F76" s="68" t="n">
        <x:v>46352</x:v>
      </x:c>
      <x:c r="G76" s="68" t="n">
        <x:v>46365</x:v>
      </x:c>
      <x:c r="H76" s="68" t="n">
        <x:v>46411</x:v>
      </x:c>
      <x:c r="I76" s="59" t="str">
        <x:v>vps_crawl_sampling_master.xlsx</x:v>
      </x:c>
    </x:row>
    <x:row r="77">
      <x:c r="A77" s="68" t="n">
        <x:v>46340</x:v>
      </x:c>
      <x:c r="B77" s="59" t="str">
        <x:v>Thứ Bảy</x:v>
      </x:c>
      <x:c r="C77" s="59" t="str">
        <x:v>00:30</x:v>
      </x:c>
      <x:c r="D77" s="68" t="n">
        <x:v>46345</x:v>
      </x:c>
      <x:c r="E77" s="68" t="n">
        <x:v>46348</x:v>
      </x:c>
      <x:c r="F77" s="68" t="n">
        <x:v>46352</x:v>
      </x:c>
      <x:c r="G77" s="68" t="n">
        <x:v>46365</x:v>
      </x:c>
      <x:c r="H77" s="68" t="n">
        <x:v>46411</x:v>
      </x:c>
      <x:c r="I77" s="59" t="str">
        <x:v>vps_crawl_sampling_master.xlsx</x:v>
      </x:c>
    </x:row>
    <x:row r="78">
      <x:c r="A78" s="68" t="n">
        <x:v>46341</x:v>
      </x:c>
      <x:c r="B78" s="59" t="str">
        <x:v>Chủ Nhật</x:v>
      </x:c>
      <x:c r="C78" s="59" t="str">
        <x:v>00:30</x:v>
      </x:c>
      <x:c r="D78" s="68" t="n">
        <x:v>46345</x:v>
      </x:c>
      <x:c r="E78" s="68" t="n">
        <x:v>46348</x:v>
      </x:c>
      <x:c r="F78" s="68" t="n">
        <x:v>46352</x:v>
      </x:c>
      <x:c r="G78" s="68" t="n">
        <x:v>46365</x:v>
      </x:c>
      <x:c r="H78" s="68" t="n">
        <x:v>46411</x:v>
      </x:c>
      <x:c r="I78" s="59" t="str">
        <x:v>vps_crawl_sampling_master.xlsx</x:v>
      </x:c>
    </x:row>
    <x:row r="79">
      <x:c r="A79" s="68" t="n">
        <x:v>46342</x:v>
      </x:c>
      <x:c r="B79" s="59" t="str">
        <x:v>Thứ Hai</x:v>
      </x:c>
      <x:c r="C79" s="59" t="str">
        <x:v>00:30</x:v>
      </x:c>
      <x:c r="D79" s="68" t="n">
        <x:v>46345</x:v>
      </x:c>
      <x:c r="E79" s="68" t="n">
        <x:v>46348</x:v>
      </x:c>
      <x:c r="F79" s="68" t="n">
        <x:v>46352</x:v>
      </x:c>
      <x:c r="G79" s="68" t="n">
        <x:v>46365</x:v>
      </x:c>
      <x:c r="H79" s="68" t="n">
        <x:v>46411</x:v>
      </x:c>
      <x:c r="I79" s="59" t="str">
        <x:v>vps_crawl_sampling_master.xlsx</x:v>
      </x:c>
    </x:row>
    <x:row r="80">
      <x:c r="A80" s="68" t="n">
        <x:v>46343</x:v>
      </x:c>
      <x:c r="B80" s="59" t="str">
        <x:v>Thứ Ba</x:v>
      </x:c>
      <x:c r="C80" s="59" t="str">
        <x:v>00:30</x:v>
      </x:c>
      <x:c r="D80" s="68" t="n">
        <x:v>46345</x:v>
      </x:c>
      <x:c r="E80" s="68" t="n">
        <x:v>46348</x:v>
      </x:c>
      <x:c r="F80" s="68" t="n">
        <x:v>46352</x:v>
      </x:c>
      <x:c r="G80" s="68" t="n">
        <x:v>46365</x:v>
      </x:c>
      <x:c r="H80" s="68" t="n">
        <x:v>46411</x:v>
      </x:c>
      <x:c r="I80" s="59" t="str">
        <x:v>vps_crawl_sampling_master.xlsx</x:v>
      </x:c>
    </x:row>
    <x:row r="81">
      <x:c r="A81" s="68" t="n">
        <x:v>46344</x:v>
      </x:c>
      <x:c r="B81" s="59" t="str">
        <x:v>Thứ Tư</x:v>
      </x:c>
      <x:c r="C81" s="59" t="str">
        <x:v>00:30</x:v>
      </x:c>
      <x:c r="D81" s="68" t="n">
        <x:v>46345</x:v>
      </x:c>
      <x:c r="E81" s="68" t="n">
        <x:v>46348</x:v>
      </x:c>
      <x:c r="F81" s="68" t="n">
        <x:v>46352</x:v>
      </x:c>
      <x:c r="G81" s="68" t="n">
        <x:v>46365</x:v>
      </x:c>
      <x:c r="H81" s="68" t="n">
        <x:v>46411</x:v>
      </x:c>
      <x:c r="I81" s="59" t="str">
        <x:v>vps_crawl_sampling_master.xlsx</x:v>
      </x:c>
    </x:row>
    <x:row r="82">
      <x:c r="A82" s="68" t="n">
        <x:v>46345</x:v>
      </x:c>
      <x:c r="B82" s="59" t="str">
        <x:v>Thứ Năm</x:v>
      </x:c>
      <x:c r="C82" s="59" t="str">
        <x:v>00:30</x:v>
      </x:c>
      <x:c r="D82" s="68" t="n">
        <x:v>46345</x:v>
      </x:c>
      <x:c r="E82" s="68" t="n">
        <x:v>46348</x:v>
      </x:c>
      <x:c r="F82" s="68" t="n">
        <x:v>46352</x:v>
      </x:c>
      <x:c r="G82" s="68" t="n">
        <x:v>46365</x:v>
      </x:c>
      <x:c r="H82" s="68" t="n">
        <x:v>46411</x:v>
      </x:c>
      <x:c r="I82" s="59" t="str">
        <x:v>vps_crawl_sampling_master.xlsx</x:v>
      </x:c>
    </x:row>
    <x:row r="83">
      <x:c r="A83" s="68" t="n">
        <x:v>46346</x:v>
      </x:c>
      <x:c r="B83" s="59" t="str">
        <x:v>Thứ Sáu</x:v>
      </x:c>
      <x:c r="C83" s="59" t="str">
        <x:v>00:30</x:v>
      </x:c>
      <x:c r="D83" s="68" t="n">
        <x:v>46373</x:v>
      </x:c>
      <x:c r="E83" s="68" t="n">
        <x:v>46348</x:v>
      </x:c>
      <x:c r="F83" s="68" t="n">
        <x:v>46352</x:v>
      </x:c>
      <x:c r="G83" s="68" t="n">
        <x:v>46365</x:v>
      </x:c>
      <x:c r="H83" s="68" t="n">
        <x:v>46411</x:v>
      </x:c>
      <x:c r="I83" s="59" t="str">
        <x:v>vps_crawl_sampling_master.xlsx</x:v>
      </x:c>
    </x:row>
    <x:row r="84">
      <x:c r="A84" s="68" t="n">
        <x:v>46347</x:v>
      </x:c>
      <x:c r="B84" s="59" t="str">
        <x:v>Thứ Bảy</x:v>
      </x:c>
      <x:c r="C84" s="59" t="str">
        <x:v>00:30</x:v>
      </x:c>
      <x:c r="D84" s="68" t="n">
        <x:v>46373</x:v>
      </x:c>
      <x:c r="E84" s="68" t="n">
        <x:v>46348</x:v>
      </x:c>
      <x:c r="F84" s="68" t="n">
        <x:v>46352</x:v>
      </x:c>
      <x:c r="G84" s="68" t="n">
        <x:v>46365</x:v>
      </x:c>
      <x:c r="H84" s="68" t="n">
        <x:v>46411</x:v>
      </x:c>
      <x:c r="I84" s="59" t="str">
        <x:v>vps_crawl_sampling_master.xlsx</x:v>
      </x:c>
    </x:row>
    <x:row r="85">
      <x:c r="A85" s="68" t="n">
        <x:v>46348</x:v>
      </x:c>
      <x:c r="B85" s="59" t="str">
        <x:v>Chủ Nhật</x:v>
      </x:c>
      <x:c r="C85" s="59" t="str">
        <x:v>00:30</x:v>
      </x:c>
      <x:c r="D85" s="68" t="n">
        <x:v>46373</x:v>
      </x:c>
      <x:c r="E85" s="68" t="n">
        <x:v>46348</x:v>
      </x:c>
      <x:c r="F85" s="68" t="n">
        <x:v>46352</x:v>
      </x:c>
      <x:c r="G85" s="68" t="n">
        <x:v>46365</x:v>
      </x:c>
      <x:c r="H85" s="68" t="n">
        <x:v>46411</x:v>
      </x:c>
      <x:c r="I85" s="59" t="str">
        <x:v>vps_crawl_sampling_master.xlsx</x:v>
      </x:c>
    </x:row>
    <x:row r="86">
      <x:c r="A86" s="68" t="n">
        <x:v>46349</x:v>
      </x:c>
      <x:c r="B86" s="59" t="str">
        <x:v>Thứ Hai</x:v>
      </x:c>
      <x:c r="C86" s="59" t="str">
        <x:v>00:30</x:v>
      </x:c>
      <x:c r="D86" s="68" t="n">
        <x:v>46373</x:v>
      </x:c>
      <x:c r="E86" s="68" t="n">
        <x:v>46376</x:v>
      </x:c>
      <x:c r="F86" s="68" t="n">
        <x:v>46352</x:v>
      </x:c>
      <x:c r="G86" s="68" t="n">
        <x:v>46365</x:v>
      </x:c>
      <x:c r="H86" s="68" t="n">
        <x:v>46411</x:v>
      </x:c>
      <x:c r="I86" s="59" t="str">
        <x:v>vps_crawl_sampling_master.xlsx</x:v>
      </x:c>
    </x:row>
    <x:row r="87">
      <x:c r="A87" s="68" t="n">
        <x:v>46350</x:v>
      </x:c>
      <x:c r="B87" s="59" t="str">
        <x:v>Thứ Ba</x:v>
      </x:c>
      <x:c r="C87" s="59" t="str">
        <x:v>00:30</x:v>
      </x:c>
      <x:c r="D87" s="68" t="n">
        <x:v>46373</x:v>
      </x:c>
      <x:c r="E87" s="68" t="n">
        <x:v>46376</x:v>
      </x:c>
      <x:c r="F87" s="68" t="n">
        <x:v>46352</x:v>
      </x:c>
      <x:c r="G87" s="68" t="n">
        <x:v>46365</x:v>
      </x:c>
      <x:c r="H87" s="68" t="n">
        <x:v>46411</x:v>
      </x:c>
      <x:c r="I87" s="59" t="str">
        <x:v>vps_crawl_sampling_master.xlsx</x:v>
      </x:c>
    </x:row>
    <x:row r="88">
      <x:c r="A88" s="68" t="n">
        <x:v>46351</x:v>
      </x:c>
      <x:c r="B88" s="59" t="str">
        <x:v>Thứ Tư</x:v>
      </x:c>
      <x:c r="C88" s="59" t="str">
        <x:v>00:30</x:v>
      </x:c>
      <x:c r="D88" s="68" t="n">
        <x:v>46373</x:v>
      </x:c>
      <x:c r="E88" s="68" t="n">
        <x:v>46376</x:v>
      </x:c>
      <x:c r="F88" s="68" t="n">
        <x:v>46352</x:v>
      </x:c>
      <x:c r="G88" s="68" t="n">
        <x:v>46365</x:v>
      </x:c>
      <x:c r="H88" s="68" t="n">
        <x:v>46411</x:v>
      </x:c>
      <x:c r="I88" s="59" t="str">
        <x:v>vps_crawl_sampling_master.xlsx</x:v>
      </x:c>
    </x:row>
    <x:row r="89">
      <x:c r="A89" s="68" t="n">
        <x:v>46352</x:v>
      </x:c>
      <x:c r="B89" s="59" t="str">
        <x:v>Thứ Năm</x:v>
      </x:c>
      <x:c r="C89" s="59" t="str">
        <x:v>00:30</x:v>
      </x:c>
      <x:c r="D89" s="68" t="n">
        <x:v>46373</x:v>
      </x:c>
      <x:c r="E89" s="68" t="n">
        <x:v>46376</x:v>
      </x:c>
      <x:c r="F89" s="68" t="n">
        <x:v>46352</x:v>
      </x:c>
      <x:c r="G89" s="68" t="n">
        <x:v>46365</x:v>
      </x:c>
      <x:c r="H89" s="68" t="n">
        <x:v>46411</x:v>
      </x:c>
      <x:c r="I89" s="59" t="str">
        <x:v>vps_crawl_sampling_master.xlsx</x:v>
      </x:c>
    </x:row>
    <x:row r="90">
      <x:c r="A90" s="68" t="n">
        <x:v>46353</x:v>
      </x:c>
      <x:c r="B90" s="59" t="str">
        <x:v>Thứ Sáu</x:v>
      </x:c>
      <x:c r="C90" s="59" t="str">
        <x:v>00:30</x:v>
      </x:c>
      <x:c r="D90" s="68" t="n">
        <x:v>46373</x:v>
      </x:c>
      <x:c r="E90" s="68" t="n">
        <x:v>46376</x:v>
      </x:c>
      <x:c r="F90" s="68" t="n">
        <x:v>46380</x:v>
      </x:c>
      <x:c r="G90" s="68" t="n">
        <x:v>46365</x:v>
      </x:c>
      <x:c r="H90" s="68" t="n">
        <x:v>46411</x:v>
      </x:c>
      <x:c r="I90" s="59" t="str">
        <x:v>vps_crawl_sampling_master.xlsx</x:v>
      </x:c>
    </x:row>
    <x:row r="91">
      <x:c r="A91" s="68" t="n">
        <x:v>46354</x:v>
      </x:c>
      <x:c r="B91" s="59" t="str">
        <x:v>Thứ Bảy</x:v>
      </x:c>
      <x:c r="C91" s="59" t="str">
        <x:v>00:30</x:v>
      </x:c>
      <x:c r="D91" s="68" t="n">
        <x:v>46373</x:v>
      </x:c>
      <x:c r="E91" s="68" t="n">
        <x:v>46376</x:v>
      </x:c>
      <x:c r="F91" s="68" t="n">
        <x:v>46380</x:v>
      </x:c>
      <x:c r="G91" s="68" t="n">
        <x:v>46365</x:v>
      </x:c>
      <x:c r="H91" s="68" t="n">
        <x:v>46411</x:v>
      </x:c>
      <x:c r="I91" s="59" t="str">
        <x:v>vps_crawl_sampling_master.xlsx</x:v>
      </x:c>
    </x:row>
    <x:row r="92">
      <x:c r="A92" s="68" t="n">
        <x:v>46355</x:v>
      </x:c>
      <x:c r="B92" s="59" t="str">
        <x:v>Chủ Nhật</x:v>
      </x:c>
      <x:c r="C92" s="59" t="str">
        <x:v>00:30</x:v>
      </x:c>
      <x:c r="D92" s="68" t="n">
        <x:v>46373</x:v>
      </x:c>
      <x:c r="E92" s="68" t="n">
        <x:v>46376</x:v>
      </x:c>
      <x:c r="F92" s="68" t="n">
        <x:v>46380</x:v>
      </x:c>
      <x:c r="G92" s="68" t="n">
        <x:v>46365</x:v>
      </x:c>
      <x:c r="H92" s="68" t="n">
        <x:v>46411</x:v>
      </x:c>
      <x:c r="I92" s="59" t="str">
        <x:v>vps_crawl_sampling_master.xlsx</x:v>
      </x:c>
    </x:row>
    <x:row r="93">
      <x:c r="A93" s="69" t="n">
        <x:v>46356</x:v>
      </x:c>
      <x:c r="B93" s="63" t="str">
        <x:v>Thứ Hai</x:v>
      </x:c>
      <x:c r="C93" s="63" t="str">
        <x:v>00:30</x:v>
      </x:c>
      <x:c r="D93" s="69" t="n">
        <x:v>46373</x:v>
      </x:c>
      <x:c r="E93" s="69" t="n">
        <x:v>46376</x:v>
      </x:c>
      <x:c r="F93" s="69" t="n">
        <x:v>46380</x:v>
      </x:c>
      <x:c r="G93" s="69" t="n">
        <x:v>46365</x:v>
      </x:c>
      <x:c r="H93" s="69" t="n">
        <x:v>46411</x:v>
      </x:c>
      <x:c r="I93" s="63" t="str">
        <x:v>vps_crawl_sampling_master.xlsx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5" hidden="0" customWidth="1"/>
    <x:col min="4" max="4" width="15" hidden="0" customWidth="1"/>
    <x:col min="5" max="5" width="13" hidden="0" customWidth="1"/>
    <x:col min="6" max="6" width="18" hidden="0" customWidth="1"/>
    <x:col min="7" max="7" width="60" hidden="0" customWidth="1"/>
    <x:col min="8" max="8" width="42" hidden="0" customWidth="1"/>
    <x:col min="9" max="9" width="56" hidden="0" customWidth="1"/>
  </x:cols>
  <x:sheetData>
    <x:row r="1" ht="30" customHeight="1">
      <x:c r="A1" s="25" t="str">
        <x:v>QUY TẮC 12 SLOT MÁY PHỤ (AN1–AN9 / AF1–AF3)</x:v>
      </x:c>
      <x:c r="B1" s="25" t="str">
        <x:v>QUY TẮC 12 SLOT MÁY PHỤ (AN1–AN9 / AF1–AF3)</x:v>
      </x:c>
      <x:c r="C1" s="25" t="str">
        <x:v>QUY TẮC 12 SLOT MÁY PHỤ (AN1–AN9 / AF1–AF3)</x:v>
      </x:c>
      <x:c r="D1" s="25" t="str">
        <x:v>QUY TẮC 12 SLOT MÁY PHỤ (AN1–AN9 / AF1–AF3)</x:v>
      </x:c>
      <x:c r="E1" s="25" t="str">
        <x:v>QUY TẮC 12 SLOT MÁY PHỤ (AN1–AN9 / AF1–AF3)</x:v>
      </x:c>
      <x:c r="F1" s="25" t="str">
        <x:v>QUY TẮC 12 SLOT MÁY PHỤ (AN1–AN9 / AF1–AF3)</x:v>
      </x:c>
      <x:c r="G1" s="25" t="str">
        <x:v>QUY TẮC 12 SLOT MÁY PHỤ (AN1–AN9 / AF1–AF3)</x:v>
      </x:c>
      <x:c r="H1" s="25" t="str">
        <x:v>QUY TẮC 12 SLOT MÁY PHỤ (AN1–AN9 / AF1–AF3)</x:v>
      </x:c>
      <x:c r="I1" s="25" t="str">
        <x:v>QUY TẮC 12 SLOT MÁY PHỤ (AN1–AN9 / AF1–AF3)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</x:row>
    <x:row r="3" ht="30" customHeight="1">
      <x:c r="A3" s="9" t="str">
        <x:v>Slot</x:v>
      </x:c>
      <x:c r="B3" s="9" t="str">
        <x:v>Vai trò</x:v>
      </x:c>
      <x:c r="C3" s="9" t="str">
        <x:v>Mục đích</x:v>
      </x:c>
      <x:c r="D3" s="9" t="str">
        <x:v>Anchor đầu</x:v>
      </x:c>
      <x:c r="E3" s="9" t="str">
        <x:v>Cycle (ngày)</x:v>
      </x:c>
      <x:c r="F3" s="9" t="str">
        <x:v>Weekday anchor</x:v>
      </x:c>
      <x:c r="G3" s="9" t="str">
        <x:v>Chuỗi anchor</x:v>
      </x:c>
      <x:c r="H3" s="9" t="str">
        <x:v>Điều kiện roll</x:v>
      </x:c>
      <x:c r="I3" s="9" t="str">
        <x:v>Kiểm tra bắt buộc</x:v>
      </x:c>
    </x:row>
    <x:row r="4">
      <x:c r="A4" s="113" t="str">
        <x:v>AN1</x:v>
      </x:c>
      <x:c r="B4" s="113" t="str">
        <x:v>Near — Friday</x:v>
      </x:c>
      <x:c r="C4" s="114" t="str">
        <x:v>Bổ sung Friday near phase 1</x:v>
      </x:c>
      <x:c r="D4" s="115" t="n">
        <x:v>46269</x:v>
      </x:c>
      <x:c r="E4" s="114" t="n">
        <x:v>28</x:v>
      </x:c>
      <x:c r="F4" s="114" t="str">
        <x:v>Thứ Sáu</x:v>
      </x:c>
      <x:c r="G4" s="114" t="str">
        <x:v>04/09/2026 → 02/10/2026 → 30/10/2026 → 27/11/2026 → 25/12/2026</x:v>
      </x:c>
      <x:c r="H4" s="114" t="str">
        <x:v>Giữ đến hết ngày check-in; roll khi check-in &lt; crawl date</x:v>
      </x:c>
      <x:c r="I4" s="114" t="str">
        <x:v>Ngày &gt;= crawl date; khác 11 slot aux; không thuộc local 12 hoặc VPS 5 cùng ngày crawl</x:v>
      </x:c>
    </x:row>
    <x:row r="5">
      <x:c r="A5" s="116" t="str">
        <x:v>AN2</x:v>
      </x:c>
      <x:c r="B5" s="116" t="str">
        <x:v>Near — Friday</x:v>
      </x:c>
      <x:c r="C5" s="117" t="str">
        <x:v>Bổ sung Friday near phase 2</x:v>
      </x:c>
      <x:c r="D5" s="118" t="n">
        <x:v>46276</x:v>
      </x:c>
      <x:c r="E5" s="117" t="n">
        <x:v>28</x:v>
      </x:c>
      <x:c r="F5" s="117" t="str">
        <x:v>Thứ Sáu</x:v>
      </x:c>
      <x:c r="G5" s="117" t="str">
        <x:v>11/09/2026 → 09/10/2026 → 06/11/2026 → 04/12/2026</x:v>
      </x:c>
      <x:c r="H5" s="117" t="str">
        <x:v>Giữ đến hết ngày check-in; roll khi check-in &lt; crawl date</x:v>
      </x:c>
      <x:c r="I5" s="117" t="str">
        <x:v>Ngày &gt;= crawl date; khác 11 slot aux; không thuộc local 12 hoặc VPS 5 cùng ngày crawl</x:v>
      </x:c>
    </x:row>
    <x:row r="6">
      <x:c r="A6" s="116" t="str">
        <x:v>AN3</x:v>
      </x:c>
      <x:c r="B6" s="116" t="str">
        <x:v>Near — Friday</x:v>
      </x:c>
      <x:c r="C6" s="117" t="str">
        <x:v>Bổ sung Friday near phase 3</x:v>
      </x:c>
      <x:c r="D6" s="118" t="n">
        <x:v>46283</x:v>
      </x:c>
      <x:c r="E6" s="117" t="n">
        <x:v>28</x:v>
      </x:c>
      <x:c r="F6" s="117" t="str">
        <x:v>Thứ Sáu</x:v>
      </x:c>
      <x:c r="G6" s="117" t="str">
        <x:v>18/09/2026 → 16/10/2026 → 13/11/2026 → 11/12/2026</x:v>
      </x:c>
      <x:c r="H6" s="117" t="str">
        <x:v>Giữ đến hết ngày check-in; roll khi check-in &lt; crawl date</x:v>
      </x:c>
      <x:c r="I6" s="117" t="str">
        <x:v>Ngày &gt;= crawl date; khác 11 slot aux; không thuộc local 12 hoặc VPS 5 cùng ngày crawl</x:v>
      </x:c>
    </x:row>
    <x:row r="7">
      <x:c r="A7" s="116" t="str">
        <x:v>AN4</x:v>
      </x:c>
      <x:c r="B7" s="116" t="str">
        <x:v>Near — Friday</x:v>
      </x:c>
      <x:c r="C7" s="117" t="str">
        <x:v>Bổ sung Friday near phase 4</x:v>
      </x:c>
      <x:c r="D7" s="118" t="n">
        <x:v>46290</x:v>
      </x:c>
      <x:c r="E7" s="117" t="n">
        <x:v>28</x:v>
      </x:c>
      <x:c r="F7" s="117" t="str">
        <x:v>Thứ Sáu</x:v>
      </x:c>
      <x:c r="G7" s="117" t="str">
        <x:v>25/09/2026 → 23/10/2026 → 20/11/2026 → 18/12/2026</x:v>
      </x:c>
      <x:c r="H7" s="117" t="str">
        <x:v>Giữ đến hết ngày check-in; roll khi check-in &lt; crawl date</x:v>
      </x:c>
      <x:c r="I7" s="117" t="str">
        <x:v>Ngày &gt;= crawl date; khác 11 slot aux; không thuộc local 12 hoặc VPS 5 cùng ngày crawl</x:v>
      </x:c>
    </x:row>
    <x:row r="8">
      <x:c r="A8" s="116" t="str">
        <x:v>AN5</x:v>
      </x:c>
      <x:c r="B8" s="116" t="str">
        <x:v>Near — Monday</x:v>
      </x:c>
      <x:c r="C8" s="117" t="str">
        <x:v>Cân bằng Monday ở dải lead 0–27</x:v>
      </x:c>
      <x:c r="D8" s="118" t="n">
        <x:v>46272</x:v>
      </x:c>
      <x:c r="E8" s="117" t="n">
        <x:v>28</x:v>
      </x:c>
      <x:c r="F8" s="117" t="str">
        <x:v>Thứ Hai</x:v>
      </x:c>
      <x:c r="G8" s="117" t="str">
        <x:v>07/09/2026 → 05/10/2026 → 02/11/2026 → 30/11/2026 → 28/12/2026</x:v>
      </x:c>
      <x:c r="H8" s="117" t="str">
        <x:v>Giữ đến hết ngày check-in; roll khi check-in &lt; crawl date</x:v>
      </x:c>
      <x:c r="I8" s="117" t="str">
        <x:v>Ngày &gt;= crawl date; khác 11 slot aux; không thuộc local 12 hoặc VPS 5 cùng ngày crawl</x:v>
      </x:c>
    </x:row>
    <x:row r="9">
      <x:c r="A9" s="116" t="str">
        <x:v>AN6</x:v>
      </x:c>
      <x:c r="B9" s="116" t="str">
        <x:v>Near — Monday</x:v>
      </x:c>
      <x:c r="C9" s="117" t="str">
        <x:v>Cân bằng Monday, lệch phase AN5</x:v>
      </x:c>
      <x:c r="D9" s="118" t="n">
        <x:v>46286</x:v>
      </x:c>
      <x:c r="E9" s="117" t="n">
        <x:v>28</x:v>
      </x:c>
      <x:c r="F9" s="117" t="str">
        <x:v>Thứ Hai</x:v>
      </x:c>
      <x:c r="G9" s="117" t="str">
        <x:v>21/09/2026 → 19/10/2026 → 16/11/2026 → 14/12/2026</x:v>
      </x:c>
      <x:c r="H9" s="117" t="str">
        <x:v>Giữ đến hết ngày check-in; roll khi check-in &lt; crawl date</x:v>
      </x:c>
      <x:c r="I9" s="117" t="str">
        <x:v>Ngày &gt;= crawl date; khác 11 slot aux; không thuộc local 12 hoặc VPS 5 cùng ngày crawl</x:v>
      </x:c>
    </x:row>
    <x:row r="10">
      <x:c r="A10" s="116" t="str">
        <x:v>AN7</x:v>
      </x:c>
      <x:c r="B10" s="116" t="str">
        <x:v>Near — Tuesday</x:v>
      </x:c>
      <x:c r="C10" s="117" t="str">
        <x:v>Cân bằng Tuesday ở dải lead 0–27</x:v>
      </x:c>
      <x:c r="D10" s="118" t="n">
        <x:v>46273</x:v>
      </x:c>
      <x:c r="E10" s="117" t="n">
        <x:v>28</x:v>
      </x:c>
      <x:c r="F10" s="117" t="str">
        <x:v>Thứ Ba</x:v>
      </x:c>
      <x:c r="G10" s="117" t="str">
        <x:v>08/09/2026 → 06/10/2026 → 03/11/2026 → 01/12/2026</x:v>
      </x:c>
      <x:c r="H10" s="117" t="str">
        <x:v>Giữ đến hết ngày check-in; roll khi check-in &lt; crawl date</x:v>
      </x:c>
      <x:c r="I10" s="117" t="str">
        <x:v>Ngày &gt;= crawl date; khác 11 slot aux; không thuộc local 12 hoặc VPS 5 cùng ngày crawl</x:v>
      </x:c>
    </x:row>
    <x:row r="11">
      <x:c r="A11" s="116" t="str">
        <x:v>AN8</x:v>
      </x:c>
      <x:c r="B11" s="116" t="str">
        <x:v>Near — Tuesday</x:v>
      </x:c>
      <x:c r="C11" s="117" t="str">
        <x:v>Cân bằng Tuesday, lệch phase AN7</x:v>
      </x:c>
      <x:c r="D11" s="118" t="n">
        <x:v>46280</x:v>
      </x:c>
      <x:c r="E11" s="117" t="n">
        <x:v>28</x:v>
      </x:c>
      <x:c r="F11" s="117" t="str">
        <x:v>Thứ Ba</x:v>
      </x:c>
      <x:c r="G11" s="117" t="str">
        <x:v>15/09/2026 → 13/10/2026 → 10/11/2026 → 08/12/2026</x:v>
      </x:c>
      <x:c r="H11" s="117" t="str">
        <x:v>Giữ đến hết ngày check-in; roll khi check-in &lt; crawl date</x:v>
      </x:c>
      <x:c r="I11" s="117" t="str">
        <x:v>Ngày &gt;= crawl date; khác 11 slot aux; không thuộc local 12 hoặc VPS 5 cùng ngày crawl</x:v>
      </x:c>
    </x:row>
    <x:row r="12">
      <x:c r="A12" s="116" t="str">
        <x:v>AN9</x:v>
      </x:c>
      <x:c r="B12" s="116" t="str">
        <x:v>Near — Sunday</x:v>
      </x:c>
      <x:c r="C12" s="117" t="str">
        <x:v>Đưa Sunday lên mức phủ cân bằng</x:v>
      </x:c>
      <x:c r="D12" s="118" t="n">
        <x:v>46285</x:v>
      </x:c>
      <x:c r="E12" s="117" t="n">
        <x:v>28</x:v>
      </x:c>
      <x:c r="F12" s="117" t="str">
        <x:v>Chủ Nhật</x:v>
      </x:c>
      <x:c r="G12" s="117" t="str">
        <x:v>20/09/2026 → 18/10/2026 → 15/11/2026 → 13/12/2026</x:v>
      </x:c>
      <x:c r="H12" s="117" t="str">
        <x:v>Giữ đến hết ngày check-in; roll khi check-in &lt; crawl date</x:v>
      </x:c>
      <x:c r="I12" s="117" t="str">
        <x:v>Ngày &gt;= crawl date; khác 11 slot aux; không thuộc local 12 hoặc VPS 5 cùng ngày crawl</x:v>
      </x:c>
    </x:row>
    <x:row r="13">
      <x:c r="A13" s="116" t="str">
        <x:v>AF1</x:v>
      </x:c>
      <x:c r="B13" s="116" t="str">
        <x:v>Far — Monday</x:v>
      </x:c>
      <x:c r="C13" s="117" t="str">
        <x:v>Phủ lead time 0–69 và Monday vùng medium/far</x:v>
      </x:c>
      <x:c r="D13" s="118" t="n">
        <x:v>46321</x:v>
      </x:c>
      <x:c r="E13" s="117" t="n">
        <x:v>70</x:v>
      </x:c>
      <x:c r="F13" s="117" t="str">
        <x:v>Thứ Hai</x:v>
      </x:c>
      <x:c r="G13" s="117" t="str">
        <x:v>26/10/2026 → 04/01/2027</x:v>
      </x:c>
      <x:c r="H13" s="117" t="str">
        <x:v>Giữ đến hết ngày check-in; roll khi check-in &lt; crawl date</x:v>
      </x:c>
      <x:c r="I13" s="117" t="str">
        <x:v>Ngày &gt;= crawl date; khác 11 slot aux; không thuộc local 12 hoặc VPS 5 cùng ngày crawl</x:v>
      </x:c>
    </x:row>
    <x:row r="14">
      <x:c r="A14" s="116" t="str">
        <x:v>AF2</x:v>
      </x:c>
      <x:c r="B14" s="116" t="str">
        <x:v>Far — Tuesday</x:v>
      </x:c>
      <x:c r="C14" s="117" t="str">
        <x:v>Phủ lead time 0–97 và Tuesday vùng far</x:v>
      </x:c>
      <x:c r="D14" s="118" t="n">
        <x:v>46350</x:v>
      </x:c>
      <x:c r="E14" s="117" t="n">
        <x:v>98</x:v>
      </x:c>
      <x:c r="F14" s="117" t="str">
        <x:v>Thứ Ba</x:v>
      </x:c>
      <x:c r="G14" s="117" t="str">
        <x:v>24/11/2026 → 02/03/2027</x:v>
      </x:c>
      <x:c r="H14" s="117" t="str">
        <x:v>Giữ đến hết ngày check-in; roll khi check-in &lt; crawl date</x:v>
      </x:c>
      <x:c r="I14" s="117" t="str">
        <x:v>Ngày &gt;= crawl date; khác 11 slot aux; không thuộc local 12 hoặc VPS 5 cùng ngày crawl</x:v>
      </x:c>
    </x:row>
    <x:row r="15">
      <x:c r="A15" s="119" t="str">
        <x:v>AF3</x:v>
      </x:c>
      <x:c r="B15" s="119" t="str">
        <x:v>Far — Thursday</x:v>
      </x:c>
      <x:c r="C15" s="120" t="str">
        <x:v>Theo dõi dài hạn, lead time 66–155 trong cửa sổ</x:v>
      </x:c>
      <x:c r="D15" s="121" t="n">
        <x:v>46422</x:v>
      </x:c>
      <x:c r="E15" s="120" t="n">
        <x:v>175</x:v>
      </x:c>
      <x:c r="F15" s="120" t="str">
        <x:v>Thứ Năm</x:v>
      </x:c>
      <x:c r="G15" s="120" t="str">
        <x:v>04/02/2027</x:v>
      </x:c>
      <x:c r="H15" s="120" t="str">
        <x:v>Giữ đến hết ngày check-in; roll khi check-in &lt; crawl date</x:v>
      </x:c>
      <x:c r="I15" s="120" t="str">
        <x:v>Ngày &gt;= crawl date; khác 11 slot aux; không thuộc local 12 hoặc VPS 5 cùng ngày crawl</x:v>
      </x:c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</x:row>
    <x:row r="17">
      <x:c r="A17" s="122" t="str">
        <x:v>Quy tắc chung</x:v>
      </x:c>
      <x:c r="B17" s="122" t="str">
        <x:v>Không random hằng ngày</x:v>
      </x:c>
      <x:c r="C17" s="122" t="str">
        <x:v>12 slot tạo chuỗi observation lặp lại theo thời gian</x:v>
      </x:c>
      <x:c r="D17" s="122"/>
      <x:c r="E17" s="122"/>
      <x:c r="F17" s="122"/>
      <x:c r="G17" s="122"/>
      <x:c r="H17" s="122"/>
      <x:c r="I17" s="122"/>
    </x:row>
    <x:row r="18">
      <x:c r="A18" s="123" t="str">
        <x:v>Lead time 0</x:v>
      </x:c>
      <x:c r="B18" s="123" t="str">
        <x:v>Hợp lệ</x:v>
      </x:c>
      <x:c r="C18" s="123" t="str">
        <x:v>Chỉ roll từ ngày sau check-in</x:v>
      </x:c>
      <x:c r="D18" s="123"/>
      <x:c r="E18" s="123"/>
      <x:c r="F18" s="123"/>
      <x:c r="G18" s="123"/>
      <x:c r="H18" s="123"/>
      <x:c r="I18" s="123"/>
    </x:row>
    <x:row r="19">
      <x:c r="A19" s="123" t="str">
        <x:v>Nguồn thứ ba</x:v>
      </x:c>
      <x:c r="B19" s="123" t="str">
        <x:v>local_aux</x:v>
      </x:c>
      <x:c r="C19" s="123" t="str">
        <x:v>Không dùng chung source_code với local_primary hoặc VPS trong warehouse</x:v>
      </x:c>
      <x:c r="D19" s="123"/>
      <x:c r="E19" s="123"/>
      <x:c r="F19" s="123"/>
      <x:c r="G19" s="123"/>
      <x:c r="H19" s="123"/>
      <x:c r="I19" s="123"/>
    </x:row>
    <x:row r="20">
      <x:c r="A20" s="124" t="str">
        <x:v>Gate vận hành</x:v>
      </x:c>
      <x:c r="B20" s="124" t="str">
        <x:v>Bắt buộc</x:v>
      </x:c>
      <x:c r="C20" s="124" t="str">
        <x:v>Benchmark 355×12 và dead-link two-confirmation trước khi chạy chính thức</x:v>
      </x:c>
      <x:c r="D20" s="124"/>
      <x:c r="E20" s="124"/>
      <x:c r="F20" s="124"/>
      <x:c r="G20" s="124"/>
      <x:c r="H20" s="124"/>
      <x:c r="I20" s="124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</x:cols>
  <x:sheetData>
    <x:row r="1" ht="30" customHeight="1">
      <x:c r="A1" s="3" t="str">
        <x:v>LABEL-YIELD PROXY — UPPER BOUND TRONG CỬA SỔ 02/09–30/11/2026</x:v>
      </x:c>
      <x:c r="B1" s="3" t="str">
        <x:v>LABEL-YIELD PROXY — UPPER BOUND TRONG CỬA SỔ 02/09–30/11/2026</x:v>
      </x:c>
      <x:c r="C1" s="3" t="str">
        <x:v>LABEL-YIELD PROXY — UPPER BOUND TRONG CỬA SỔ 02/09–30/11/2026</x:v>
      </x:c>
      <x:c r="D1" s="3" t="str">
        <x:v>LABEL-YIELD PROXY — UPPER BOUND TRONG CỬA SỔ 02/09–30/11/2026</x:v>
      </x:c>
      <x:c r="E1" s="3" t="str">
        <x:v>LABEL-YIELD PROXY — UPPER BOUND TRONG CỬA SỔ 02/09–30/11/2026</x:v>
      </x:c>
      <x:c r="F1" s="3" t="str">
        <x:v>LABEL-YIELD PROXY — UPPER BOUND TRONG CỬA SỔ 02/09–30/11/2026</x:v>
      </x:c>
      <x:c r="G1" s="3" t="str">
        <x:v>LABEL-YIELD PROXY — UPPER BOUND TRONG CỬA SỔ 02/09–30/11/2026</x:v>
      </x:c>
      <x:c r="H1" s="3" t="str">
        <x:v>LABEL-YIELD PROXY — UPPER BOUND TRONG CỬA SỔ 02/09–30/11/2026</x:v>
      </x:c>
    </x:row>
    <x:row r="2">
      <x:c r="A2" s="36" t="str">
        <x:v>Proxy giả định reference ổn định và approval sau run thứ ba. Công thức từng instance: max(0, observed_days_in_window - 3 - horizon). Không phải số label đảm bảo.</x:v>
      </x:c>
      <x:c r="B2" s="36" t="str">
        <x:v>Proxy giả định reference ổn định và approval sau run thứ ba. Công thức từng instance: max(0, observed_days_in_window - 3 - horizon). Không phải số label đảm bảo.</x:v>
      </x:c>
      <x:c r="C2" s="36" t="str">
        <x:v>Proxy giả định reference ổn định và approval sau run thứ ba. Công thức từng instance: max(0, observed_days_in_window - 3 - horizon). Không phải số label đảm bảo.</x:v>
      </x:c>
      <x:c r="D2" s="36" t="str">
        <x:v>Proxy giả định reference ổn định và approval sau run thứ ba. Công thức từng instance: max(0, observed_days_in_window - 3 - horizon). Không phải số label đảm bảo.</x:v>
      </x:c>
      <x:c r="E2" s="36" t="str">
        <x:v>Proxy giả định reference ổn định và approval sau run thứ ba. Công thức từng instance: max(0, observed_days_in_window - 3 - horizon). Không phải số label đảm bảo.</x:v>
      </x:c>
      <x:c r="F2" s="36" t="str">
        <x:v>Proxy giả định reference ổn định và approval sau run thứ ba. Công thức từng instance: max(0, observed_days_in_window - 3 - horizon). Không phải số label đảm bảo.</x:v>
      </x:c>
      <x:c r="G2" s="36" t="str">
        <x:v>Proxy giả định reference ổn định và approval sau run thứ ba. Công thức từng instance: max(0, observed_days_in_window - 3 - horizon). Không phải số label đảm bảo.</x:v>
      </x:c>
      <x:c r="H2" s="36" t="str">
        <x:v>Proxy giả định reference ổn định và approval sau run thứ ba. Công thức từng instance: max(0, observed_days_in_window - 3 - horizon). Không phải số label đảm bảo.</x:v>
      </x:c>
    </x:row>
    <x:row r="3" ht="30" customHeight="1">
      <x:c r="A3" s="9" t="str">
        <x:v>Slot</x:v>
      </x:c>
      <x:c r="B3" s="9" t="str">
        <x:v>Role</x:v>
      </x:c>
      <x:c r="C3" s="9" t="str">
        <x:v>Cycle</x:v>
      </x:c>
      <x:c r="D3" s="9" t="str">
        <x:v>Min lead</x:v>
      </x:c>
      <x:c r="E3" s="9" t="str">
        <x:v>Max lead</x:v>
      </x:c>
      <x:c r="F3" s="9" t="str">
        <x:v>h1</x:v>
      </x:c>
      <x:c r="G3" s="9" t="str">
        <x:v>h3</x:v>
      </x:c>
      <x:c r="H3" s="9" t="str">
        <x:v>h7 / h14</x:v>
      </x:c>
    </x:row>
    <x:row r="4">
      <x:c r="A4" s="77" t="str">
        <x:v>AN1</x:v>
      </x:c>
      <x:c r="B4" s="55" t="str">
        <x:v>Near — Friday</x:v>
      </x:c>
      <x:c r="C4" s="130" t="n">
        <x:v>28</x:v>
      </x:c>
      <x:c r="D4" s="130" t="n">
        <x:v>0</x:v>
      </x:c>
      <x:c r="E4" s="130" t="n">
        <x:v>27</x:v>
      </x:c>
      <x:c r="F4" s="130" t="n">
        <x:v>72</x:v>
      </x:c>
      <x:c r="G4" s="130" t="n">
        <x:v>66</x:v>
      </x:c>
      <x:c r="H4" s="55" t="str">
        <x:v>54 / 33</x:v>
      </x:c>
    </x:row>
    <x:row r="5">
      <x:c r="A5" s="83" t="str">
        <x:v>AN2</x:v>
      </x:c>
      <x:c r="B5" s="59" t="str">
        <x:v>Near — Friday</x:v>
      </x:c>
      <x:c r="C5" s="131" t="n">
        <x:v>28</x:v>
      </x:c>
      <x:c r="D5" s="131" t="n">
        <x:v>0</x:v>
      </x:c>
      <x:c r="E5" s="131" t="n">
        <x:v>27</x:v>
      </x:c>
      <x:c r="F5" s="131" t="n">
        <x:v>74</x:v>
      </x:c>
      <x:c r="G5" s="131" t="n">
        <x:v>66</x:v>
      </x:c>
      <x:c r="H5" s="59" t="str">
        <x:v>50 / 29</x:v>
      </x:c>
    </x:row>
    <x:row r="6">
      <x:c r="A6" s="83" t="str">
        <x:v>AN3</x:v>
      </x:c>
      <x:c r="B6" s="59" t="str">
        <x:v>Near — Friday</x:v>
      </x:c>
      <x:c r="C6" s="131" t="n">
        <x:v>28</x:v>
      </x:c>
      <x:c r="D6" s="131" t="n">
        <x:v>0</x:v>
      </x:c>
      <x:c r="E6" s="131" t="n">
        <x:v>27</x:v>
      </x:c>
      <x:c r="F6" s="131" t="n">
        <x:v>74</x:v>
      </x:c>
      <x:c r="G6" s="131" t="n">
        <x:v>66</x:v>
      </x:c>
      <x:c r="H6" s="59" t="str">
        <x:v>50 / 22</x:v>
      </x:c>
    </x:row>
    <x:row r="7">
      <x:c r="A7" s="83" t="str">
        <x:v>AN4</x:v>
      </x:c>
      <x:c r="B7" s="59" t="str">
        <x:v>Near — Friday</x:v>
      </x:c>
      <x:c r="C7" s="131" t="n">
        <x:v>28</x:v>
      </x:c>
      <x:c r="D7" s="131" t="n">
        <x:v>0</x:v>
      </x:c>
      <x:c r="E7" s="131" t="n">
        <x:v>27</x:v>
      </x:c>
      <x:c r="F7" s="131" t="n">
        <x:v>74</x:v>
      </x:c>
      <x:c r="G7" s="131" t="n">
        <x:v>66</x:v>
      </x:c>
      <x:c r="H7" s="59" t="str">
        <x:v>50 / 29</x:v>
      </x:c>
    </x:row>
    <x:row r="8">
      <x:c r="A8" s="83" t="str">
        <x:v>AN5</x:v>
      </x:c>
      <x:c r="B8" s="59" t="str">
        <x:v>Near — Monday</x:v>
      </x:c>
      <x:c r="C8" s="131" t="n">
        <x:v>28</x:v>
      </x:c>
      <x:c r="D8" s="131" t="n">
        <x:v>0</x:v>
      </x:c>
      <x:c r="E8" s="131" t="n">
        <x:v>27</x:v>
      </x:c>
      <x:c r="F8" s="131" t="n">
        <x:v>74</x:v>
      </x:c>
      <x:c r="G8" s="131" t="n">
        <x:v>66</x:v>
      </x:c>
      <x:c r="H8" s="59" t="str">
        <x:v>54 / 33</x:v>
      </x:c>
    </x:row>
    <x:row r="9">
      <x:c r="A9" s="83" t="str">
        <x:v>AN6</x:v>
      </x:c>
      <x:c r="B9" s="59" t="str">
        <x:v>Near — Monday</x:v>
      </x:c>
      <x:c r="C9" s="131" t="n">
        <x:v>28</x:v>
      </x:c>
      <x:c r="D9" s="131" t="n">
        <x:v>0</x:v>
      </x:c>
      <x:c r="E9" s="131" t="n">
        <x:v>27</x:v>
      </x:c>
      <x:c r="F9" s="131" t="n">
        <x:v>74</x:v>
      </x:c>
      <x:c r="G9" s="131" t="n">
        <x:v>66</x:v>
      </x:c>
      <x:c r="H9" s="59" t="str">
        <x:v>50 / 25</x:v>
      </x:c>
    </x:row>
    <x:row r="10">
      <x:c r="A10" s="83" t="str">
        <x:v>AN7</x:v>
      </x:c>
      <x:c r="B10" s="59" t="str">
        <x:v>Near — Tuesday</x:v>
      </x:c>
      <x:c r="C10" s="131" t="n">
        <x:v>28</x:v>
      </x:c>
      <x:c r="D10" s="131" t="n">
        <x:v>0</x:v>
      </x:c>
      <x:c r="E10" s="131" t="n">
        <x:v>27</x:v>
      </x:c>
      <x:c r="F10" s="131" t="n">
        <x:v>74</x:v>
      </x:c>
      <x:c r="G10" s="131" t="n">
        <x:v>66</x:v>
      </x:c>
      <x:c r="H10" s="59" t="str">
        <x:v>53 / 32</x:v>
      </x:c>
    </x:row>
    <x:row r="11">
      <x:c r="A11" s="83" t="str">
        <x:v>AN8</x:v>
      </x:c>
      <x:c r="B11" s="59" t="str">
        <x:v>Near — Tuesday</x:v>
      </x:c>
      <x:c r="C11" s="131" t="n">
        <x:v>28</x:v>
      </x:c>
      <x:c r="D11" s="131" t="n">
        <x:v>0</x:v>
      </x:c>
      <x:c r="E11" s="131" t="n">
        <x:v>27</x:v>
      </x:c>
      <x:c r="F11" s="131" t="n">
        <x:v>74</x:v>
      </x:c>
      <x:c r="G11" s="131" t="n">
        <x:v>66</x:v>
      </x:c>
      <x:c r="H11" s="59" t="str">
        <x:v>50 / 25</x:v>
      </x:c>
    </x:row>
    <x:row r="12">
      <x:c r="A12" s="83" t="str">
        <x:v>AN9</x:v>
      </x:c>
      <x:c r="B12" s="59" t="str">
        <x:v>Near — Sunday</x:v>
      </x:c>
      <x:c r="C12" s="131" t="n">
        <x:v>28</x:v>
      </x:c>
      <x:c r="D12" s="131" t="n">
        <x:v>0</x:v>
      </x:c>
      <x:c r="E12" s="131" t="n">
        <x:v>27</x:v>
      </x:c>
      <x:c r="F12" s="131" t="n">
        <x:v>74</x:v>
      </x:c>
      <x:c r="G12" s="131" t="n">
        <x:v>66</x:v>
      </x:c>
      <x:c r="H12" s="59" t="str">
        <x:v>50 / 24</x:v>
      </x:c>
    </x:row>
    <x:row r="13">
      <x:c r="A13" s="83" t="str">
        <x:v>AF1</x:v>
      </x:c>
      <x:c r="B13" s="59" t="str">
        <x:v>Far — Monday</x:v>
      </x:c>
      <x:c r="C13" s="131" t="n">
        <x:v>70</x:v>
      </x:c>
      <x:c r="D13" s="131" t="n">
        <x:v>0</x:v>
      </x:c>
      <x:c r="E13" s="131" t="n">
        <x:v>69</x:v>
      </x:c>
      <x:c r="F13" s="131" t="n">
        <x:v>82</x:v>
      </x:c>
      <x:c r="G13" s="131" t="n">
        <x:v>78</x:v>
      </x:c>
      <x:c r="H13" s="59" t="str">
        <x:v>70 / 56</x:v>
      </x:c>
    </x:row>
    <x:row r="14">
      <x:c r="A14" s="83" t="str">
        <x:v>AF2</x:v>
      </x:c>
      <x:c r="B14" s="59" t="str">
        <x:v>Far — Tuesday</x:v>
      </x:c>
      <x:c r="C14" s="131" t="n">
        <x:v>98</x:v>
      </x:c>
      <x:c r="D14" s="131" t="n">
        <x:v>0</x:v>
      </x:c>
      <x:c r="E14" s="131" t="n">
        <x:v>97</x:v>
      </x:c>
      <x:c r="F14" s="131" t="n">
        <x:v>82</x:v>
      </x:c>
      <x:c r="G14" s="131" t="n">
        <x:v>78</x:v>
      </x:c>
      <x:c r="H14" s="59" t="str">
        <x:v>74 / 67</x:v>
      </x:c>
    </x:row>
    <x:row r="15">
      <x:c r="A15" s="83" t="str">
        <x:v>AF3</x:v>
      </x:c>
      <x:c r="B15" s="59" t="str">
        <x:v>Far — Thursday</x:v>
      </x:c>
      <x:c r="C15" s="131" t="n">
        <x:v>175</x:v>
      </x:c>
      <x:c r="D15" s="131" t="n">
        <x:v>66</x:v>
      </x:c>
      <x:c r="E15" s="131" t="n">
        <x:v>155</x:v>
      </x:c>
      <x:c r="F15" s="131" t="n">
        <x:v>86</x:v>
      </x:c>
      <x:c r="G15" s="131" t="n">
        <x:v>84</x:v>
      </x:c>
      <x:c r="H15" s="59" t="str">
        <x:v>80 / 73</x:v>
      </x:c>
    </x:row>
    <x:row r="16">
      <x:c r="A16" s="129" t="str">
        <x:v>TOTAL</x:v>
      </x:c>
      <x:c r="B16" s="129"/>
      <x:c r="C16" s="132"/>
      <x:c r="D16" s="132"/>
      <x:c r="E16" s="132"/>
      <x:c r="F16" s="132" t="n">
        <x:v>914</x:v>
      </x:c>
      <x:c r="G16" s="132" t="n">
        <x:v>834</x:v>
      </x:c>
      <x:c r="H16" s="129" t="str">
        <x:v>685 / 448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52" hidden="0" customWidth="1"/>
  </x:cols>
  <x:sheetData>
    <x:row r="1" ht="30" customHeight="1">
      <x:c r="A1" s="25" t="str">
        <x:v>HƯỚNG DẪN SỬ DỤNG LỊCH CRAWL MÁY PHỤ</x:v>
      </x:c>
      <x:c r="B1" s="25" t="str">
        <x:v>HƯỚNG DẪN SỬ DỤNG LỊCH CRAWL MÁY PHỤ</x:v>
      </x:c>
      <x:c r="C1" s="25" t="str">
        <x:v>HƯỚNG DẪN SỬ DỤNG LỊCH CRAWL MÁY PHỤ</x:v>
      </x:c>
      <x:c r="D1" s="25" t="str">
        <x:v>HƯỚNG DẪN SỬ DỤNG LỊCH CRAWL MÁY PHỤ</x:v>
      </x:c>
    </x:row>
    <x:row r="2">
      <x:c r="A2" s="26"/>
      <x:c r="B2" s="26"/>
      <x:c r="C2" s="26"/>
      <x:c r="D2" s="26"/>
    </x:row>
    <x:row r="3" ht="30" customHeight="1">
      <x:c r="A3" s="9" t="str">
        <x:v>Bước</x:v>
      </x:c>
      <x:c r="B3" s="9" t="str">
        <x:v>Thao tác</x:v>
      </x:c>
      <x:c r="C3" s="9" t="str">
        <x:v>Kết quả mong đợi</x:v>
      </x:c>
      <x:c r="D3" s="9" t="str">
        <x:v>Lưu ý</x:v>
      </x:c>
    </x:row>
    <x:row r="4">
      <x:c r="A4" s="113" t="n">
        <x:v>1</x:v>
      </x:c>
      <x:c r="B4" s="114" t="str">
        <x:v>Xác nhận SUMMARY: benchmark và dead-link gate đã PASS</x:v>
      </x:c>
      <x:c r="C4" s="114" t="str">
        <x:v>Máy phụ sẵn sàng vận hành</x:v>
      </x:c>
      <x:c r="D4" s="114" t="str">
        <x:v>Không bỏ qua hai gate PENDING</x:v>
      </x:c>
    </x:row>
    <x:row r="5">
      <x:c r="A5" s="116" t="n">
        <x:v>2</x:v>
      </x:c>
      <x:c r="B5" s="117" t="str">
        <x:v>Mở AUX_CRAWL_PLAN và tìm Crawl date hôm nay</x:v>
      </x:c>
      <x:c r="C5" s="117" t="str">
        <x:v>Có đúng 12 ngày AN1–AF3</x:v>
      </x:c>
      <x:c r="D5" s="117" t="str">
        <x:v>Ba cột collision và cột hợp lệ phải PASS</x:v>
      </x:c>
    </x:row>
    <x:row r="6">
      <x:c r="A6" s="116" t="n">
        <x:v>3</x:v>
      </x:c>
      <x:c r="B6" s="117" t="str">
        <x:v>Mở web scraper trên máy local phụ</x:v>
      </x:c>
      <x:c r="C6" s="117" t="str">
        <x:v>Trang nhập file/ngày check-in sẵn sàng</x:v>
      </x:c>
      <x:c r="D6" s="117" t="str">
        <x:v>Đây không phải VPS hotel.projecthub.io.vn</x:v>
      </x:c>
    </x:row>
    <x:row r="7">
      <x:c r="A7" s="116" t="n">
        <x:v>4</x:v>
      </x:c>
      <x:c r="B7" s="117" t="str">
        <x:v>Upload link_hotel_data_expanded.xlsx</x:v>
      </x:c>
      <x:c r="C7" s="117" t="str">
        <x:v>355 khách sạn hợp lệ</x:v>
      </x:c>
      <x:c r="D7" s="117" t="str">
        <x:v>Dùng cùng cohort/protocol với hai nguồn còn lại</x:v>
      </x:c>
    </x:row>
    <x:row r="8">
      <x:c r="A8" s="116" t="n">
        <x:v>5</x:v>
      </x:c>
      <x:c r="B8" s="117" t="str">
        <x:v>Chọn đúng 12 ngày AN1–AF3 của ngày crawl</x:v>
      </x:c>
      <x:c r="C8" s="117" t="str">
        <x:v>4.260 item dự kiến</x:v>
      </x:c>
      <x:c r="D8" s="117" t="str">
        <x:v>Không tự thay ngày ngoài workbook</x:v>
      </x:c>
    </x:row>
    <x:row r="9">
      <x:c r="A9" s="116" t="n">
        <x:v>6</x:v>
      </x:c>
      <x:c r="B9" s="117" t="str">
        <x:v>Tắt lưu screenshot/HTML nếu không cần audit</x:v>
      </x:c>
      <x:c r="C9" s="117" t="str">
        <x:v>Không tích luỹ artifact không cần thiết</x:v>
      </x:c>
      <x:c r="D9" s="117" t="str">
        <x:v>Artifact không phải feature train</x:v>
      </x:c>
    </x:row>
    <x:row r="10">
      <x:c r="A10" s="116" t="n">
        <x:v>7</x:v>
      </x:c>
      <x:c r="B10" s="117" t="str">
        <x:v>Bắt đầu crawl và theo dõi run</x:v>
      </x:c>
      <x:c r="C10" s="117" t="str">
        <x:v>Worker hoàn tất trước lượt hôm sau</x:v>
      </x:c>
      <x:c r="D10" s="117" t="str">
        <x:v>Không chạy chồng backlog</x:v>
      </x:c>
    </x:row>
    <x:row r="11">
      <x:c r="A11" s="116" t="n">
        <x:v>8</x:v>
      </x:c>
      <x:c r="B11" s="117" t="str">
        <x:v>Khi kết thúc, cập nhật CRAWL_LOG</x:v>
      </x:c>
      <x:c r="C11" s="117" t="str">
        <x:v>Có run id, thời gian và aggregate</x:v>
      </x:c>
      <x:c r="D11" s="117" t="str">
        <x:v>Hoàn thành có lỗi vẫn phải ghi số liệu</x:v>
      </x:c>
    </x:row>
    <x:row r="12">
      <x:c r="A12" s="119" t="n">
        <x:v>9</x:v>
      </x:c>
      <x:c r="B12" s="120" t="str">
        <x:v>Nếu lịch local/VPS thay đổi, tái sinh workbook</x:v>
      </x:c>
      <x:c r="C12" s="120" t="str">
        <x:v>Collision checks vẫn có giá trị</x:v>
      </x:c>
      <x:c r="D12" s="120" t="str">
        <x:v>Không sửa LOCAL_REFERENCE/VPS_REFERENCE bằng tay</x:v>
      </x:c>
    </x:row>
  </x:sheetData>
  <x:mergeCells>
    <x:mergeCell ref="A1:D1"/>
  </x:mergeCells>
  <x:pageMargins left="0.7" right="0.7" top="0.75" bottom="0.75" header="0.3" footer="0.3"/>
</x:worksheet>
</file>