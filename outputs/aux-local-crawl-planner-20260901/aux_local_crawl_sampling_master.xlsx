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1819D703-3757-4BB2-9DDA-042C66891FC9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SUMMARY" sheetId="1" r:id="rId1"/>
    <sheet name="AUX_CRAWL_PLAN" sheetId="2" r:id="rId2"/>
    <sheet name="CRAWL_LOG" sheetId="3" r:id="rId3"/>
    <sheet name="LOCAL_REFERENCE" sheetId="4" r:id="rId4"/>
    <sheet name="VPS_REFERENCE" sheetId="5" r:id="rId5"/>
    <sheet name="SLOT_RULES" sheetId="6" r:id="rId6"/>
    <sheet name="LABEL_YIELD" sheetId="7" r:id="rId7"/>
    <sheet name="README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3" i="3" l="1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W93" i="2"/>
  <c r="P93" i="2"/>
  <c r="O93" i="2"/>
  <c r="N93" i="2"/>
  <c r="M93" i="2"/>
  <c r="L93" i="2"/>
  <c r="K93" i="2"/>
  <c r="J93" i="2"/>
  <c r="I93" i="2"/>
  <c r="H93" i="2"/>
  <c r="E93" i="2"/>
  <c r="V93" i="2" s="1"/>
  <c r="W92" i="2"/>
  <c r="P92" i="2"/>
  <c r="O92" i="2"/>
  <c r="N92" i="2"/>
  <c r="M92" i="2"/>
  <c r="L92" i="2"/>
  <c r="K92" i="2"/>
  <c r="J92" i="2"/>
  <c r="I92" i="2"/>
  <c r="H92" i="2"/>
  <c r="E92" i="2"/>
  <c r="V92" i="2" s="1"/>
  <c r="W91" i="2"/>
  <c r="P91" i="2"/>
  <c r="O91" i="2"/>
  <c r="N91" i="2"/>
  <c r="M91" i="2"/>
  <c r="L91" i="2"/>
  <c r="K91" i="2"/>
  <c r="J91" i="2"/>
  <c r="I91" i="2"/>
  <c r="H91" i="2"/>
  <c r="V91" i="2" s="1"/>
  <c r="E91" i="2"/>
  <c r="U91" i="2" s="1"/>
  <c r="W90" i="2"/>
  <c r="P90" i="2"/>
  <c r="O90" i="2"/>
  <c r="N90" i="2"/>
  <c r="M90" i="2"/>
  <c r="L90" i="2"/>
  <c r="K90" i="2"/>
  <c r="J90" i="2"/>
  <c r="I90" i="2"/>
  <c r="H90" i="2"/>
  <c r="E90" i="2"/>
  <c r="U90" i="2" s="1"/>
  <c r="W89" i="2"/>
  <c r="P89" i="2"/>
  <c r="O89" i="2"/>
  <c r="N89" i="2"/>
  <c r="M89" i="2"/>
  <c r="L89" i="2"/>
  <c r="K89" i="2"/>
  <c r="J89" i="2"/>
  <c r="I89" i="2"/>
  <c r="H89" i="2"/>
  <c r="U89" i="2" s="1"/>
  <c r="E89" i="2"/>
  <c r="T89" i="2" s="1"/>
  <c r="W88" i="2"/>
  <c r="V88" i="2"/>
  <c r="U88" i="2"/>
  <c r="T88" i="2"/>
  <c r="S88" i="2"/>
  <c r="P88" i="2"/>
  <c r="O88" i="2"/>
  <c r="N88" i="2"/>
  <c r="M88" i="2"/>
  <c r="L88" i="2"/>
  <c r="K88" i="2"/>
  <c r="J88" i="2"/>
  <c r="I88" i="2"/>
  <c r="H88" i="2"/>
  <c r="R88" i="2" s="1"/>
  <c r="E88" i="2"/>
  <c r="W87" i="2"/>
  <c r="V87" i="2"/>
  <c r="S87" i="2"/>
  <c r="R87" i="2"/>
  <c r="Q87" i="2"/>
  <c r="P87" i="2"/>
  <c r="T87" i="2" s="1"/>
  <c r="O87" i="2"/>
  <c r="N87" i="2"/>
  <c r="M87" i="2"/>
  <c r="L87" i="2"/>
  <c r="K87" i="2"/>
  <c r="J87" i="2"/>
  <c r="I87" i="2"/>
  <c r="H87" i="2"/>
  <c r="U87" i="2" s="1"/>
  <c r="E87" i="2"/>
  <c r="W86" i="2"/>
  <c r="P86" i="2"/>
  <c r="O86" i="2"/>
  <c r="N86" i="2"/>
  <c r="S86" i="2" s="1"/>
  <c r="M86" i="2"/>
  <c r="Q86" i="2" s="1"/>
  <c r="L86" i="2"/>
  <c r="K86" i="2"/>
  <c r="J86" i="2"/>
  <c r="I86" i="2"/>
  <c r="H86" i="2"/>
  <c r="E86" i="2"/>
  <c r="V86" i="2" s="1"/>
  <c r="W85" i="2"/>
  <c r="P85" i="2"/>
  <c r="O85" i="2"/>
  <c r="N85" i="2"/>
  <c r="M85" i="2"/>
  <c r="L85" i="2"/>
  <c r="K85" i="2"/>
  <c r="J85" i="2"/>
  <c r="V85" i="2" s="1"/>
  <c r="I85" i="2"/>
  <c r="H85" i="2"/>
  <c r="E85" i="2"/>
  <c r="U85" i="2" s="1"/>
  <c r="W84" i="2"/>
  <c r="P84" i="2"/>
  <c r="O84" i="2"/>
  <c r="N84" i="2"/>
  <c r="M84" i="2"/>
  <c r="L84" i="2"/>
  <c r="K84" i="2"/>
  <c r="J84" i="2"/>
  <c r="I84" i="2"/>
  <c r="H84" i="2"/>
  <c r="E84" i="2"/>
  <c r="V84" i="2" s="1"/>
  <c r="W83" i="2"/>
  <c r="P83" i="2"/>
  <c r="O83" i="2"/>
  <c r="N83" i="2"/>
  <c r="M83" i="2"/>
  <c r="L83" i="2"/>
  <c r="K83" i="2"/>
  <c r="J83" i="2"/>
  <c r="I83" i="2"/>
  <c r="H83" i="2"/>
  <c r="E83" i="2"/>
  <c r="T83" i="2" s="1"/>
  <c r="W82" i="2"/>
  <c r="V82" i="2"/>
  <c r="P82" i="2"/>
  <c r="O82" i="2"/>
  <c r="N82" i="2"/>
  <c r="M82" i="2"/>
  <c r="L82" i="2"/>
  <c r="K82" i="2"/>
  <c r="J82" i="2"/>
  <c r="I82" i="2"/>
  <c r="H82" i="2"/>
  <c r="E82" i="2"/>
  <c r="T82" i="2" s="1"/>
  <c r="W81" i="2"/>
  <c r="V81" i="2"/>
  <c r="U81" i="2"/>
  <c r="T81" i="2"/>
  <c r="S81" i="2"/>
  <c r="R81" i="2"/>
  <c r="P81" i="2"/>
  <c r="O81" i="2"/>
  <c r="N81" i="2"/>
  <c r="M81" i="2"/>
  <c r="L81" i="2"/>
  <c r="K81" i="2"/>
  <c r="J81" i="2"/>
  <c r="I81" i="2"/>
  <c r="H81" i="2"/>
  <c r="E81" i="2"/>
  <c r="Q81" i="2" s="1"/>
  <c r="W80" i="2"/>
  <c r="P80" i="2"/>
  <c r="U80" i="2" s="1"/>
  <c r="O80" i="2"/>
  <c r="V80" i="2" s="1"/>
  <c r="N80" i="2"/>
  <c r="M80" i="2"/>
  <c r="L80" i="2"/>
  <c r="K80" i="2"/>
  <c r="J80" i="2"/>
  <c r="I80" i="2"/>
  <c r="H80" i="2"/>
  <c r="E80" i="2"/>
  <c r="T80" i="2" s="1"/>
  <c r="W79" i="2"/>
  <c r="P79" i="2"/>
  <c r="O79" i="2"/>
  <c r="N79" i="2"/>
  <c r="M79" i="2"/>
  <c r="R79" i="2" s="1"/>
  <c r="L79" i="2"/>
  <c r="U79" i="2" s="1"/>
  <c r="K79" i="2"/>
  <c r="J79" i="2"/>
  <c r="I79" i="2"/>
  <c r="H79" i="2"/>
  <c r="E79" i="2"/>
  <c r="V79" i="2" s="1"/>
  <c r="W78" i="2"/>
  <c r="P78" i="2"/>
  <c r="O78" i="2"/>
  <c r="N78" i="2"/>
  <c r="M78" i="2"/>
  <c r="L78" i="2"/>
  <c r="K78" i="2"/>
  <c r="J78" i="2"/>
  <c r="I78" i="2"/>
  <c r="U78" i="2" s="1"/>
  <c r="H78" i="2"/>
  <c r="V78" i="2" s="1"/>
  <c r="E78" i="2"/>
  <c r="T78" i="2" s="1"/>
  <c r="W77" i="2"/>
  <c r="P77" i="2"/>
  <c r="O77" i="2"/>
  <c r="N77" i="2"/>
  <c r="M77" i="2"/>
  <c r="L77" i="2"/>
  <c r="K77" i="2"/>
  <c r="J77" i="2"/>
  <c r="I77" i="2"/>
  <c r="H77" i="2"/>
  <c r="E77" i="2"/>
  <c r="V77" i="2" s="1"/>
  <c r="W76" i="2"/>
  <c r="P76" i="2"/>
  <c r="O76" i="2"/>
  <c r="N76" i="2"/>
  <c r="M76" i="2"/>
  <c r="L76" i="2"/>
  <c r="K76" i="2"/>
  <c r="J76" i="2"/>
  <c r="I76" i="2"/>
  <c r="H76" i="2"/>
  <c r="E76" i="2"/>
  <c r="V76" i="2" s="1"/>
  <c r="W75" i="2"/>
  <c r="V75" i="2"/>
  <c r="U75" i="2"/>
  <c r="T75" i="2"/>
  <c r="P75" i="2"/>
  <c r="O75" i="2"/>
  <c r="N75" i="2"/>
  <c r="M75" i="2"/>
  <c r="L75" i="2"/>
  <c r="K75" i="2"/>
  <c r="J75" i="2"/>
  <c r="I75" i="2"/>
  <c r="H75" i="2"/>
  <c r="E75" i="2"/>
  <c r="S75" i="2" s="1"/>
  <c r="W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E74" i="2"/>
  <c r="V74" i="2" s="1"/>
  <c r="W73" i="2"/>
  <c r="P73" i="2"/>
  <c r="O73" i="2"/>
  <c r="N73" i="2"/>
  <c r="T73" i="2" s="1"/>
  <c r="M73" i="2"/>
  <c r="L73" i="2"/>
  <c r="K73" i="2"/>
  <c r="J73" i="2"/>
  <c r="I73" i="2"/>
  <c r="H73" i="2"/>
  <c r="E73" i="2"/>
  <c r="V73" i="2" s="1"/>
  <c r="W72" i="2"/>
  <c r="P72" i="2"/>
  <c r="O72" i="2"/>
  <c r="N72" i="2"/>
  <c r="M72" i="2"/>
  <c r="L72" i="2"/>
  <c r="K72" i="2"/>
  <c r="T72" i="2" s="1"/>
  <c r="J72" i="2"/>
  <c r="I72" i="2"/>
  <c r="H72" i="2"/>
  <c r="E72" i="2"/>
  <c r="V72" i="2" s="1"/>
  <c r="W71" i="2"/>
  <c r="P71" i="2"/>
  <c r="O71" i="2"/>
  <c r="N71" i="2"/>
  <c r="M71" i="2"/>
  <c r="L71" i="2"/>
  <c r="K71" i="2"/>
  <c r="J71" i="2"/>
  <c r="I71" i="2"/>
  <c r="H71" i="2"/>
  <c r="V71" i="2" s="1"/>
  <c r="E71" i="2"/>
  <c r="U71" i="2" s="1"/>
  <c r="W70" i="2"/>
  <c r="P70" i="2"/>
  <c r="O70" i="2"/>
  <c r="N70" i="2"/>
  <c r="M70" i="2"/>
  <c r="L70" i="2"/>
  <c r="K70" i="2"/>
  <c r="J70" i="2"/>
  <c r="I70" i="2"/>
  <c r="H70" i="2"/>
  <c r="E70" i="2"/>
  <c r="U70" i="2" s="1"/>
  <c r="W69" i="2"/>
  <c r="V69" i="2"/>
  <c r="P69" i="2"/>
  <c r="O69" i="2"/>
  <c r="N69" i="2"/>
  <c r="M69" i="2"/>
  <c r="L69" i="2"/>
  <c r="K69" i="2"/>
  <c r="J69" i="2"/>
  <c r="I69" i="2"/>
  <c r="H69" i="2"/>
  <c r="U69" i="2" s="1"/>
  <c r="E69" i="2"/>
  <c r="T69" i="2" s="1"/>
  <c r="W68" i="2"/>
  <c r="V68" i="2"/>
  <c r="U68" i="2"/>
  <c r="T68" i="2"/>
  <c r="S68" i="2"/>
  <c r="P68" i="2"/>
  <c r="O68" i="2"/>
  <c r="N68" i="2"/>
  <c r="M68" i="2"/>
  <c r="L68" i="2"/>
  <c r="K68" i="2"/>
  <c r="J68" i="2"/>
  <c r="I68" i="2"/>
  <c r="H68" i="2"/>
  <c r="R68" i="2" s="1"/>
  <c r="E68" i="2"/>
  <c r="Q68" i="2" s="1"/>
  <c r="W67" i="2"/>
  <c r="Q67" i="2"/>
  <c r="P67" i="2"/>
  <c r="R67" i="2" s="1"/>
  <c r="O67" i="2"/>
  <c r="N67" i="2"/>
  <c r="M67" i="2"/>
  <c r="L67" i="2"/>
  <c r="K67" i="2"/>
  <c r="J67" i="2"/>
  <c r="I67" i="2"/>
  <c r="H67" i="2"/>
  <c r="E67" i="2"/>
  <c r="U67" i="2" s="1"/>
  <c r="W66" i="2"/>
  <c r="P66" i="2"/>
  <c r="O66" i="2"/>
  <c r="N66" i="2"/>
  <c r="M66" i="2"/>
  <c r="S66" i="2" s="1"/>
  <c r="L66" i="2"/>
  <c r="K66" i="2"/>
  <c r="J66" i="2"/>
  <c r="I66" i="2"/>
  <c r="H66" i="2"/>
  <c r="E66" i="2"/>
  <c r="V66" i="2" s="1"/>
  <c r="W65" i="2"/>
  <c r="P65" i="2"/>
  <c r="O65" i="2"/>
  <c r="N65" i="2"/>
  <c r="M65" i="2"/>
  <c r="L65" i="2"/>
  <c r="K65" i="2"/>
  <c r="J65" i="2"/>
  <c r="V65" i="2" s="1"/>
  <c r="I65" i="2"/>
  <c r="H65" i="2"/>
  <c r="E65" i="2"/>
  <c r="U65" i="2" s="1"/>
  <c r="W64" i="2"/>
  <c r="P64" i="2"/>
  <c r="O64" i="2"/>
  <c r="N64" i="2"/>
  <c r="M64" i="2"/>
  <c r="L64" i="2"/>
  <c r="K64" i="2"/>
  <c r="J64" i="2"/>
  <c r="I64" i="2"/>
  <c r="H64" i="2"/>
  <c r="E64" i="2"/>
  <c r="V64" i="2" s="1"/>
  <c r="W63" i="2"/>
  <c r="P63" i="2"/>
  <c r="O63" i="2"/>
  <c r="N63" i="2"/>
  <c r="M63" i="2"/>
  <c r="L63" i="2"/>
  <c r="K63" i="2"/>
  <c r="J63" i="2"/>
  <c r="I63" i="2"/>
  <c r="H63" i="2"/>
  <c r="E63" i="2"/>
  <c r="V63" i="2" s="1"/>
  <c r="W62" i="2"/>
  <c r="V62" i="2"/>
  <c r="U62" i="2"/>
  <c r="P62" i="2"/>
  <c r="O62" i="2"/>
  <c r="N62" i="2"/>
  <c r="M62" i="2"/>
  <c r="L62" i="2"/>
  <c r="K62" i="2"/>
  <c r="J62" i="2"/>
  <c r="I62" i="2"/>
  <c r="H62" i="2"/>
  <c r="E62" i="2"/>
  <c r="T62" i="2" s="1"/>
  <c r="W61" i="2"/>
  <c r="V61" i="2"/>
  <c r="U61" i="2"/>
  <c r="T61" i="2"/>
  <c r="S61" i="2"/>
  <c r="R61" i="2"/>
  <c r="P61" i="2"/>
  <c r="O61" i="2"/>
  <c r="N61" i="2"/>
  <c r="M61" i="2"/>
  <c r="L61" i="2"/>
  <c r="K61" i="2"/>
  <c r="J61" i="2"/>
  <c r="I61" i="2"/>
  <c r="H61" i="2"/>
  <c r="E61" i="2"/>
  <c r="Q61" i="2" s="1"/>
  <c r="W60" i="2"/>
  <c r="P60" i="2"/>
  <c r="O60" i="2"/>
  <c r="U60" i="2" s="1"/>
  <c r="N60" i="2"/>
  <c r="M60" i="2"/>
  <c r="L60" i="2"/>
  <c r="K60" i="2"/>
  <c r="J60" i="2"/>
  <c r="I60" i="2"/>
  <c r="H60" i="2"/>
  <c r="E60" i="2"/>
  <c r="T60" i="2" s="1"/>
  <c r="W59" i="2"/>
  <c r="P59" i="2"/>
  <c r="O59" i="2"/>
  <c r="N59" i="2"/>
  <c r="M59" i="2"/>
  <c r="L59" i="2"/>
  <c r="R59" i="2" s="1"/>
  <c r="K59" i="2"/>
  <c r="J59" i="2"/>
  <c r="I59" i="2"/>
  <c r="H59" i="2"/>
  <c r="E59" i="2"/>
  <c r="V59" i="2" s="1"/>
  <c r="W58" i="2"/>
  <c r="P58" i="2"/>
  <c r="O58" i="2"/>
  <c r="N58" i="2"/>
  <c r="M58" i="2"/>
  <c r="L58" i="2"/>
  <c r="K58" i="2"/>
  <c r="J58" i="2"/>
  <c r="I58" i="2"/>
  <c r="U58" i="2" s="1"/>
  <c r="H58" i="2"/>
  <c r="E58" i="2"/>
  <c r="V58" i="2" s="1"/>
  <c r="W57" i="2"/>
  <c r="P57" i="2"/>
  <c r="O57" i="2"/>
  <c r="N57" i="2"/>
  <c r="M57" i="2"/>
  <c r="L57" i="2"/>
  <c r="K57" i="2"/>
  <c r="J57" i="2"/>
  <c r="I57" i="2"/>
  <c r="H57" i="2"/>
  <c r="E57" i="2"/>
  <c r="V57" i="2" s="1"/>
  <c r="W56" i="2"/>
  <c r="P56" i="2"/>
  <c r="O56" i="2"/>
  <c r="N56" i="2"/>
  <c r="M56" i="2"/>
  <c r="L56" i="2"/>
  <c r="K56" i="2"/>
  <c r="J56" i="2"/>
  <c r="I56" i="2"/>
  <c r="H56" i="2"/>
  <c r="E56" i="2"/>
  <c r="V56" i="2" s="1"/>
  <c r="W55" i="2"/>
  <c r="V55" i="2"/>
  <c r="U55" i="2"/>
  <c r="T55" i="2"/>
  <c r="P55" i="2"/>
  <c r="O55" i="2"/>
  <c r="N55" i="2"/>
  <c r="M55" i="2"/>
  <c r="L55" i="2"/>
  <c r="K55" i="2"/>
  <c r="J55" i="2"/>
  <c r="I55" i="2"/>
  <c r="H55" i="2"/>
  <c r="E55" i="2"/>
  <c r="S55" i="2" s="1"/>
  <c r="W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E54" i="2"/>
  <c r="V54" i="2" s="1"/>
  <c r="W53" i="2"/>
  <c r="P53" i="2"/>
  <c r="O53" i="2"/>
  <c r="N53" i="2"/>
  <c r="T53" i="2" s="1"/>
  <c r="M53" i="2"/>
  <c r="L53" i="2"/>
  <c r="K53" i="2"/>
  <c r="J53" i="2"/>
  <c r="I53" i="2"/>
  <c r="H53" i="2"/>
  <c r="E53" i="2"/>
  <c r="V53" i="2" s="1"/>
  <c r="W52" i="2"/>
  <c r="P52" i="2"/>
  <c r="O52" i="2"/>
  <c r="N52" i="2"/>
  <c r="M52" i="2"/>
  <c r="L52" i="2"/>
  <c r="K52" i="2"/>
  <c r="Q52" i="2" s="1"/>
  <c r="J52" i="2"/>
  <c r="I52" i="2"/>
  <c r="H52" i="2"/>
  <c r="E52" i="2"/>
  <c r="V52" i="2" s="1"/>
  <c r="W51" i="2"/>
  <c r="P51" i="2"/>
  <c r="O51" i="2"/>
  <c r="N51" i="2"/>
  <c r="M51" i="2"/>
  <c r="L51" i="2"/>
  <c r="K51" i="2"/>
  <c r="J51" i="2"/>
  <c r="I51" i="2"/>
  <c r="H51" i="2"/>
  <c r="V51" i="2" s="1"/>
  <c r="E51" i="2"/>
  <c r="U51" i="2" s="1"/>
  <c r="W50" i="2"/>
  <c r="P50" i="2"/>
  <c r="O50" i="2"/>
  <c r="N50" i="2"/>
  <c r="M50" i="2"/>
  <c r="L50" i="2"/>
  <c r="K50" i="2"/>
  <c r="J50" i="2"/>
  <c r="I50" i="2"/>
  <c r="H50" i="2"/>
  <c r="E50" i="2"/>
  <c r="U50" i="2" s="1"/>
  <c r="W49" i="2"/>
  <c r="V49" i="2"/>
  <c r="P49" i="2"/>
  <c r="O49" i="2"/>
  <c r="N49" i="2"/>
  <c r="M49" i="2"/>
  <c r="L49" i="2"/>
  <c r="K49" i="2"/>
  <c r="J49" i="2"/>
  <c r="I49" i="2"/>
  <c r="H49" i="2"/>
  <c r="R49" i="2" s="1"/>
  <c r="E49" i="2"/>
  <c r="U49" i="2" s="1"/>
  <c r="W48" i="2"/>
  <c r="V48" i="2"/>
  <c r="U48" i="2"/>
  <c r="T48" i="2"/>
  <c r="S48" i="2"/>
  <c r="P48" i="2"/>
  <c r="O48" i="2"/>
  <c r="N48" i="2"/>
  <c r="M48" i="2"/>
  <c r="L48" i="2"/>
  <c r="K48" i="2"/>
  <c r="J48" i="2"/>
  <c r="I48" i="2"/>
  <c r="H48" i="2"/>
  <c r="E48" i="2"/>
  <c r="R48" i="2" s="1"/>
  <c r="W47" i="2"/>
  <c r="P47" i="2"/>
  <c r="V47" i="2" s="1"/>
  <c r="O47" i="2"/>
  <c r="N47" i="2"/>
  <c r="M47" i="2"/>
  <c r="L47" i="2"/>
  <c r="K47" i="2"/>
  <c r="J47" i="2"/>
  <c r="I47" i="2"/>
  <c r="H47" i="2"/>
  <c r="E47" i="2"/>
  <c r="U47" i="2" s="1"/>
  <c r="W46" i="2"/>
  <c r="P46" i="2"/>
  <c r="O46" i="2"/>
  <c r="N46" i="2"/>
  <c r="M46" i="2"/>
  <c r="S46" i="2" s="1"/>
  <c r="L46" i="2"/>
  <c r="K46" i="2"/>
  <c r="J46" i="2"/>
  <c r="I46" i="2"/>
  <c r="H46" i="2"/>
  <c r="E46" i="2"/>
  <c r="V46" i="2" s="1"/>
  <c r="W45" i="2"/>
  <c r="P45" i="2"/>
  <c r="O45" i="2"/>
  <c r="N45" i="2"/>
  <c r="M45" i="2"/>
  <c r="L45" i="2"/>
  <c r="K45" i="2"/>
  <c r="J45" i="2"/>
  <c r="V45" i="2" s="1"/>
  <c r="I45" i="2"/>
  <c r="H45" i="2"/>
  <c r="E45" i="2"/>
  <c r="U45" i="2" s="1"/>
  <c r="W44" i="2"/>
  <c r="P44" i="2"/>
  <c r="O44" i="2"/>
  <c r="N44" i="2"/>
  <c r="M44" i="2"/>
  <c r="L44" i="2"/>
  <c r="K44" i="2"/>
  <c r="J44" i="2"/>
  <c r="I44" i="2"/>
  <c r="H44" i="2"/>
  <c r="E44" i="2"/>
  <c r="V44" i="2" s="1"/>
  <c r="W43" i="2"/>
  <c r="P43" i="2"/>
  <c r="O43" i="2"/>
  <c r="N43" i="2"/>
  <c r="M43" i="2"/>
  <c r="L43" i="2"/>
  <c r="K43" i="2"/>
  <c r="J43" i="2"/>
  <c r="I43" i="2"/>
  <c r="H43" i="2"/>
  <c r="E43" i="2"/>
  <c r="V43" i="2" s="1"/>
  <c r="W42" i="2"/>
  <c r="V42" i="2"/>
  <c r="U42" i="2"/>
  <c r="P42" i="2"/>
  <c r="O42" i="2"/>
  <c r="N42" i="2"/>
  <c r="M42" i="2"/>
  <c r="L42" i="2"/>
  <c r="K42" i="2"/>
  <c r="J42" i="2"/>
  <c r="I42" i="2"/>
  <c r="H42" i="2"/>
  <c r="E42" i="2"/>
  <c r="T42" i="2" s="1"/>
  <c r="W41" i="2"/>
  <c r="V41" i="2"/>
  <c r="U41" i="2"/>
  <c r="T41" i="2"/>
  <c r="S41" i="2"/>
  <c r="R41" i="2"/>
  <c r="P41" i="2"/>
  <c r="O41" i="2"/>
  <c r="N41" i="2"/>
  <c r="M41" i="2"/>
  <c r="L41" i="2"/>
  <c r="K41" i="2"/>
  <c r="J41" i="2"/>
  <c r="I41" i="2"/>
  <c r="H41" i="2"/>
  <c r="E41" i="2"/>
  <c r="Q41" i="2" s="1"/>
  <c r="W40" i="2"/>
  <c r="P40" i="2"/>
  <c r="O40" i="2"/>
  <c r="Q40" i="2" s="1"/>
  <c r="N40" i="2"/>
  <c r="M40" i="2"/>
  <c r="L40" i="2"/>
  <c r="K40" i="2"/>
  <c r="J40" i="2"/>
  <c r="I40" i="2"/>
  <c r="H40" i="2"/>
  <c r="E40" i="2"/>
  <c r="T40" i="2" s="1"/>
  <c r="W39" i="2"/>
  <c r="P39" i="2"/>
  <c r="O39" i="2"/>
  <c r="N39" i="2"/>
  <c r="M39" i="2"/>
  <c r="L39" i="2"/>
  <c r="R39" i="2" s="1"/>
  <c r="K39" i="2"/>
  <c r="J39" i="2"/>
  <c r="I39" i="2"/>
  <c r="H39" i="2"/>
  <c r="E39" i="2"/>
  <c r="V39" i="2" s="1"/>
  <c r="W38" i="2"/>
  <c r="P38" i="2"/>
  <c r="O38" i="2"/>
  <c r="N38" i="2"/>
  <c r="M38" i="2"/>
  <c r="L38" i="2"/>
  <c r="K38" i="2"/>
  <c r="J38" i="2"/>
  <c r="I38" i="2"/>
  <c r="U38" i="2" s="1"/>
  <c r="H38" i="2"/>
  <c r="E38" i="2"/>
  <c r="V38" i="2" s="1"/>
  <c r="W37" i="2"/>
  <c r="P37" i="2"/>
  <c r="O37" i="2"/>
  <c r="N37" i="2"/>
  <c r="M37" i="2"/>
  <c r="L37" i="2"/>
  <c r="K37" i="2"/>
  <c r="J37" i="2"/>
  <c r="I37" i="2"/>
  <c r="H37" i="2"/>
  <c r="E37" i="2"/>
  <c r="V37" i="2" s="1"/>
  <c r="W36" i="2"/>
  <c r="P36" i="2"/>
  <c r="O36" i="2"/>
  <c r="N36" i="2"/>
  <c r="M36" i="2"/>
  <c r="L36" i="2"/>
  <c r="K36" i="2"/>
  <c r="J36" i="2"/>
  <c r="I36" i="2"/>
  <c r="H36" i="2"/>
  <c r="E36" i="2"/>
  <c r="V36" i="2" s="1"/>
  <c r="W35" i="2"/>
  <c r="V35" i="2"/>
  <c r="U35" i="2"/>
  <c r="T35" i="2"/>
  <c r="P35" i="2"/>
  <c r="O35" i="2"/>
  <c r="N35" i="2"/>
  <c r="M35" i="2"/>
  <c r="L35" i="2"/>
  <c r="K35" i="2"/>
  <c r="J35" i="2"/>
  <c r="I35" i="2"/>
  <c r="H35" i="2"/>
  <c r="E35" i="2"/>
  <c r="S35" i="2" s="1"/>
  <c r="W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E34" i="2"/>
  <c r="V34" i="2" s="1"/>
  <c r="W33" i="2"/>
  <c r="P33" i="2"/>
  <c r="O33" i="2"/>
  <c r="N33" i="2"/>
  <c r="R33" i="2" s="1"/>
  <c r="M33" i="2"/>
  <c r="L33" i="2"/>
  <c r="K33" i="2"/>
  <c r="J33" i="2"/>
  <c r="I33" i="2"/>
  <c r="H33" i="2"/>
  <c r="E33" i="2"/>
  <c r="V33" i="2" s="1"/>
  <c r="W32" i="2"/>
  <c r="P32" i="2"/>
  <c r="O32" i="2"/>
  <c r="N32" i="2"/>
  <c r="M32" i="2"/>
  <c r="L32" i="2"/>
  <c r="K32" i="2"/>
  <c r="Q32" i="2" s="1"/>
  <c r="J32" i="2"/>
  <c r="I32" i="2"/>
  <c r="H32" i="2"/>
  <c r="E32" i="2"/>
  <c r="V32" i="2" s="1"/>
  <c r="W31" i="2"/>
  <c r="P31" i="2"/>
  <c r="O31" i="2"/>
  <c r="N31" i="2"/>
  <c r="M31" i="2"/>
  <c r="L31" i="2"/>
  <c r="K31" i="2"/>
  <c r="J31" i="2"/>
  <c r="I31" i="2"/>
  <c r="H31" i="2"/>
  <c r="V31" i="2" s="1"/>
  <c r="E31" i="2"/>
  <c r="U31" i="2" s="1"/>
  <c r="W30" i="2"/>
  <c r="P30" i="2"/>
  <c r="O30" i="2"/>
  <c r="N30" i="2"/>
  <c r="M30" i="2"/>
  <c r="L30" i="2"/>
  <c r="K30" i="2"/>
  <c r="J30" i="2"/>
  <c r="I30" i="2"/>
  <c r="H30" i="2"/>
  <c r="E30" i="2"/>
  <c r="U30" i="2" s="1"/>
  <c r="W29" i="2"/>
  <c r="V29" i="2"/>
  <c r="P29" i="2"/>
  <c r="O29" i="2"/>
  <c r="N29" i="2"/>
  <c r="M29" i="2"/>
  <c r="L29" i="2"/>
  <c r="K29" i="2"/>
  <c r="J29" i="2"/>
  <c r="I29" i="2"/>
  <c r="H29" i="2"/>
  <c r="R29" i="2" s="1"/>
  <c r="E29" i="2"/>
  <c r="U29" i="2" s="1"/>
  <c r="W28" i="2"/>
  <c r="V28" i="2"/>
  <c r="U28" i="2"/>
  <c r="T28" i="2"/>
  <c r="S28" i="2"/>
  <c r="P28" i="2"/>
  <c r="O28" i="2"/>
  <c r="N28" i="2"/>
  <c r="M28" i="2"/>
  <c r="L28" i="2"/>
  <c r="K28" i="2"/>
  <c r="J28" i="2"/>
  <c r="I28" i="2"/>
  <c r="H28" i="2"/>
  <c r="E28" i="2"/>
  <c r="R28" i="2" s="1"/>
  <c r="W27" i="2"/>
  <c r="P27" i="2"/>
  <c r="R27" i="2" s="1"/>
  <c r="O27" i="2"/>
  <c r="N27" i="2"/>
  <c r="M27" i="2"/>
  <c r="L27" i="2"/>
  <c r="K27" i="2"/>
  <c r="J27" i="2"/>
  <c r="I27" i="2"/>
  <c r="H27" i="2"/>
  <c r="E27" i="2"/>
  <c r="U27" i="2" s="1"/>
  <c r="W26" i="2"/>
  <c r="P26" i="2"/>
  <c r="O26" i="2"/>
  <c r="N26" i="2"/>
  <c r="M26" i="2"/>
  <c r="V26" i="2" s="1"/>
  <c r="L26" i="2"/>
  <c r="K26" i="2"/>
  <c r="J26" i="2"/>
  <c r="I26" i="2"/>
  <c r="H26" i="2"/>
  <c r="E26" i="2"/>
  <c r="U26" i="2" s="1"/>
  <c r="W25" i="2"/>
  <c r="P25" i="2"/>
  <c r="O25" i="2"/>
  <c r="N25" i="2"/>
  <c r="M25" i="2"/>
  <c r="L25" i="2"/>
  <c r="K25" i="2"/>
  <c r="J25" i="2"/>
  <c r="V25" i="2" s="1"/>
  <c r="I25" i="2"/>
  <c r="H25" i="2"/>
  <c r="E25" i="2"/>
  <c r="U25" i="2" s="1"/>
  <c r="W24" i="2"/>
  <c r="P24" i="2"/>
  <c r="O24" i="2"/>
  <c r="N24" i="2"/>
  <c r="M24" i="2"/>
  <c r="L24" i="2"/>
  <c r="K24" i="2"/>
  <c r="J24" i="2"/>
  <c r="I24" i="2"/>
  <c r="H24" i="2"/>
  <c r="E24" i="2"/>
  <c r="V24" i="2" s="1"/>
  <c r="W23" i="2"/>
  <c r="P23" i="2"/>
  <c r="O23" i="2"/>
  <c r="N23" i="2"/>
  <c r="M23" i="2"/>
  <c r="L23" i="2"/>
  <c r="K23" i="2"/>
  <c r="J23" i="2"/>
  <c r="I23" i="2"/>
  <c r="H23" i="2"/>
  <c r="E23" i="2"/>
  <c r="T23" i="2" s="1"/>
  <c r="W22" i="2"/>
  <c r="V22" i="2"/>
  <c r="U22" i="2"/>
  <c r="P22" i="2"/>
  <c r="O22" i="2"/>
  <c r="N22" i="2"/>
  <c r="M22" i="2"/>
  <c r="L22" i="2"/>
  <c r="K22" i="2"/>
  <c r="J22" i="2"/>
  <c r="I22" i="2"/>
  <c r="H22" i="2"/>
  <c r="E22" i="2"/>
  <c r="T22" i="2" s="1"/>
  <c r="W21" i="2"/>
  <c r="V21" i="2"/>
  <c r="U21" i="2"/>
  <c r="T21" i="2"/>
  <c r="S21" i="2"/>
  <c r="R21" i="2"/>
  <c r="P21" i="2"/>
  <c r="O21" i="2"/>
  <c r="N21" i="2"/>
  <c r="M21" i="2"/>
  <c r="L21" i="2"/>
  <c r="K21" i="2"/>
  <c r="J21" i="2"/>
  <c r="I21" i="2"/>
  <c r="H21" i="2"/>
  <c r="E21" i="2"/>
  <c r="Q21" i="2" s="1"/>
  <c r="W20" i="2"/>
  <c r="P20" i="2"/>
  <c r="O20" i="2"/>
  <c r="U20" i="2" s="1"/>
  <c r="N20" i="2"/>
  <c r="M20" i="2"/>
  <c r="L20" i="2"/>
  <c r="K20" i="2"/>
  <c r="J20" i="2"/>
  <c r="I20" i="2"/>
  <c r="H20" i="2"/>
  <c r="E20" i="2"/>
  <c r="T20" i="2" s="1"/>
  <c r="W19" i="2"/>
  <c r="P19" i="2"/>
  <c r="O19" i="2"/>
  <c r="N19" i="2"/>
  <c r="M19" i="2"/>
  <c r="L19" i="2"/>
  <c r="U19" i="2" s="1"/>
  <c r="K19" i="2"/>
  <c r="J19" i="2"/>
  <c r="I19" i="2"/>
  <c r="H19" i="2"/>
  <c r="E19" i="2"/>
  <c r="V19" i="2" s="1"/>
  <c r="W18" i="2"/>
  <c r="P18" i="2"/>
  <c r="O18" i="2"/>
  <c r="N18" i="2"/>
  <c r="M18" i="2"/>
  <c r="L18" i="2"/>
  <c r="K18" i="2"/>
  <c r="J18" i="2"/>
  <c r="I18" i="2"/>
  <c r="U18" i="2" s="1"/>
  <c r="H18" i="2"/>
  <c r="E18" i="2"/>
  <c r="V18" i="2" s="1"/>
  <c r="W17" i="2"/>
  <c r="P17" i="2"/>
  <c r="O17" i="2"/>
  <c r="N17" i="2"/>
  <c r="M17" i="2"/>
  <c r="L17" i="2"/>
  <c r="K17" i="2"/>
  <c r="J17" i="2"/>
  <c r="I17" i="2"/>
  <c r="H17" i="2"/>
  <c r="E17" i="2"/>
  <c r="V17" i="2" s="1"/>
  <c r="W16" i="2"/>
  <c r="P16" i="2"/>
  <c r="O16" i="2"/>
  <c r="N16" i="2"/>
  <c r="M16" i="2"/>
  <c r="L16" i="2"/>
  <c r="K16" i="2"/>
  <c r="J16" i="2"/>
  <c r="I16" i="2"/>
  <c r="H16" i="2"/>
  <c r="E16" i="2"/>
  <c r="V16" i="2" s="1"/>
  <c r="W15" i="2"/>
  <c r="V15" i="2"/>
  <c r="U15" i="2"/>
  <c r="T15" i="2"/>
  <c r="P15" i="2"/>
  <c r="O15" i="2"/>
  <c r="N15" i="2"/>
  <c r="M15" i="2"/>
  <c r="L15" i="2"/>
  <c r="K15" i="2"/>
  <c r="J15" i="2"/>
  <c r="I15" i="2"/>
  <c r="H15" i="2"/>
  <c r="E15" i="2"/>
  <c r="S15" i="2" s="1"/>
  <c r="W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E14" i="2"/>
  <c r="V14" i="2" s="1"/>
  <c r="W13" i="2"/>
  <c r="P13" i="2"/>
  <c r="O13" i="2"/>
  <c r="N13" i="2"/>
  <c r="T13" i="2" s="1"/>
  <c r="M13" i="2"/>
  <c r="L13" i="2"/>
  <c r="K13" i="2"/>
  <c r="J13" i="2"/>
  <c r="I13" i="2"/>
  <c r="H13" i="2"/>
  <c r="E13" i="2"/>
  <c r="V13" i="2" s="1"/>
  <c r="W12" i="2"/>
  <c r="P12" i="2"/>
  <c r="O12" i="2"/>
  <c r="N12" i="2"/>
  <c r="M12" i="2"/>
  <c r="L12" i="2"/>
  <c r="K12" i="2"/>
  <c r="T12" i="2" s="1"/>
  <c r="J12" i="2"/>
  <c r="I12" i="2"/>
  <c r="H12" i="2"/>
  <c r="E12" i="2"/>
  <c r="V12" i="2" s="1"/>
  <c r="W11" i="2"/>
  <c r="P11" i="2"/>
  <c r="O11" i="2"/>
  <c r="N11" i="2"/>
  <c r="M11" i="2"/>
  <c r="L11" i="2"/>
  <c r="K11" i="2"/>
  <c r="J11" i="2"/>
  <c r="I11" i="2"/>
  <c r="H11" i="2"/>
  <c r="V11" i="2" s="1"/>
  <c r="E11" i="2"/>
  <c r="U11" i="2" s="1"/>
  <c r="W10" i="2"/>
  <c r="P10" i="2"/>
  <c r="O10" i="2"/>
  <c r="N10" i="2"/>
  <c r="M10" i="2"/>
  <c r="L10" i="2"/>
  <c r="K10" i="2"/>
  <c r="J10" i="2"/>
  <c r="I10" i="2"/>
  <c r="H10" i="2"/>
  <c r="E10" i="2"/>
  <c r="U10" i="2" s="1"/>
  <c r="W9" i="2"/>
  <c r="V9" i="2"/>
  <c r="P9" i="2"/>
  <c r="O9" i="2"/>
  <c r="N9" i="2"/>
  <c r="M9" i="2"/>
  <c r="L9" i="2"/>
  <c r="K9" i="2"/>
  <c r="J9" i="2"/>
  <c r="I9" i="2"/>
  <c r="H9" i="2"/>
  <c r="R9" i="2" s="1"/>
  <c r="E9" i="2"/>
  <c r="U9" i="2" s="1"/>
  <c r="W8" i="2"/>
  <c r="V8" i="2"/>
  <c r="U8" i="2"/>
  <c r="T8" i="2"/>
  <c r="S8" i="2"/>
  <c r="P8" i="2"/>
  <c r="O8" i="2"/>
  <c r="N8" i="2"/>
  <c r="M8" i="2"/>
  <c r="L8" i="2"/>
  <c r="K8" i="2"/>
  <c r="J8" i="2"/>
  <c r="I8" i="2"/>
  <c r="H8" i="2"/>
  <c r="E8" i="2"/>
  <c r="R8" i="2" s="1"/>
  <c r="W7" i="2"/>
  <c r="P7" i="2"/>
  <c r="V7" i="2" s="1"/>
  <c r="O7" i="2"/>
  <c r="N7" i="2"/>
  <c r="M7" i="2"/>
  <c r="L7" i="2"/>
  <c r="K7" i="2"/>
  <c r="J7" i="2"/>
  <c r="I7" i="2"/>
  <c r="H7" i="2"/>
  <c r="E7" i="2"/>
  <c r="U7" i="2" s="1"/>
  <c r="W6" i="2"/>
  <c r="P6" i="2"/>
  <c r="O6" i="2"/>
  <c r="N6" i="2"/>
  <c r="M6" i="2"/>
  <c r="S6" i="2" s="1"/>
  <c r="L6" i="2"/>
  <c r="K6" i="2"/>
  <c r="J6" i="2"/>
  <c r="I6" i="2"/>
  <c r="H6" i="2"/>
  <c r="E6" i="2"/>
  <c r="U6" i="2" s="1"/>
  <c r="W5" i="2"/>
  <c r="P5" i="2"/>
  <c r="O5" i="2"/>
  <c r="N5" i="2"/>
  <c r="M5" i="2"/>
  <c r="L5" i="2"/>
  <c r="K5" i="2"/>
  <c r="J5" i="2"/>
  <c r="Q5" i="2" s="1"/>
  <c r="I5" i="2"/>
  <c r="H5" i="2"/>
  <c r="E5" i="2"/>
  <c r="U5" i="2" s="1"/>
  <c r="W4" i="2"/>
  <c r="P4" i="2"/>
  <c r="O4" i="2"/>
  <c r="N4" i="2"/>
  <c r="M4" i="2"/>
  <c r="L4" i="2"/>
  <c r="K4" i="2"/>
  <c r="J4" i="2"/>
  <c r="I4" i="2"/>
  <c r="H4" i="2"/>
  <c r="G4" i="2"/>
  <c r="U4" i="2" s="1"/>
  <c r="F4" i="2"/>
  <c r="E4" i="2"/>
  <c r="V4" i="2" s="1"/>
  <c r="B14" i="1"/>
  <c r="B13" i="1"/>
  <c r="B12" i="1"/>
  <c r="E11" i="1"/>
  <c r="B11" i="1"/>
  <c r="E10" i="1"/>
  <c r="B8" i="1"/>
  <c r="E5" i="1"/>
  <c r="E4" i="1"/>
  <c r="U82" i="2" l="1"/>
  <c r="V89" i="2"/>
  <c r="Q47" i="2"/>
  <c r="R47" i="2"/>
  <c r="S7" i="2"/>
  <c r="R40" i="2"/>
  <c r="Q93" i="2"/>
  <c r="R20" i="2"/>
  <c r="Q33" i="2"/>
  <c r="Q53" i="2"/>
  <c r="S60" i="2"/>
  <c r="Q66" i="2"/>
  <c r="T67" i="2"/>
  <c r="R73" i="2"/>
  <c r="R93" i="2"/>
  <c r="S80" i="2"/>
  <c r="R6" i="2"/>
  <c r="S13" i="2"/>
  <c r="Q19" i="2"/>
  <c r="R26" i="2"/>
  <c r="S33" i="2"/>
  <c r="Q39" i="2"/>
  <c r="R46" i="2"/>
  <c r="S53" i="2"/>
  <c r="Q59" i="2"/>
  <c r="R66" i="2"/>
  <c r="S73" i="2"/>
  <c r="Q79" i="2"/>
  <c r="R86" i="2"/>
  <c r="S93" i="2"/>
  <c r="R7" i="2"/>
  <c r="Q6" i="2"/>
  <c r="T7" i="2"/>
  <c r="R13" i="2"/>
  <c r="S20" i="2"/>
  <c r="T27" i="2"/>
  <c r="S40" i="2"/>
  <c r="S26" i="2"/>
  <c r="Q92" i="2"/>
  <c r="T93" i="2"/>
  <c r="R92" i="2"/>
  <c r="U93" i="2"/>
  <c r="Q7" i="2"/>
  <c r="Q27" i="2"/>
  <c r="S27" i="2"/>
  <c r="T33" i="2"/>
  <c r="U40" i="2"/>
  <c r="V67" i="2"/>
  <c r="Q72" i="2"/>
  <c r="R12" i="2"/>
  <c r="U13" i="2"/>
  <c r="S19" i="2"/>
  <c r="V20" i="2"/>
  <c r="Q25" i="2"/>
  <c r="T26" i="2"/>
  <c r="R32" i="2"/>
  <c r="U33" i="2"/>
  <c r="S39" i="2"/>
  <c r="V40" i="2"/>
  <c r="Q45" i="2"/>
  <c r="T46" i="2"/>
  <c r="R52" i="2"/>
  <c r="U53" i="2"/>
  <c r="S59" i="2"/>
  <c r="V60" i="2"/>
  <c r="Q65" i="2"/>
  <c r="T66" i="2"/>
  <c r="R72" i="2"/>
  <c r="U73" i="2"/>
  <c r="S79" i="2"/>
  <c r="Q85" i="2"/>
  <c r="T86" i="2"/>
  <c r="R5" i="2"/>
  <c r="S12" i="2"/>
  <c r="Q18" i="2"/>
  <c r="T19" i="2"/>
  <c r="R25" i="2"/>
  <c r="S32" i="2"/>
  <c r="Q38" i="2"/>
  <c r="T39" i="2"/>
  <c r="R45" i="2"/>
  <c r="U46" i="2"/>
  <c r="S52" i="2"/>
  <c r="Q58" i="2"/>
  <c r="T59" i="2"/>
  <c r="R65" i="2"/>
  <c r="U66" i="2"/>
  <c r="S72" i="2"/>
  <c r="Q78" i="2"/>
  <c r="T79" i="2"/>
  <c r="R85" i="2"/>
  <c r="U86" i="2"/>
  <c r="S92" i="2"/>
  <c r="Q60" i="2"/>
  <c r="Q13" i="2"/>
  <c r="S67" i="2"/>
  <c r="Q26" i="2"/>
  <c r="R19" i="2"/>
  <c r="V27" i="2"/>
  <c r="Q91" i="2"/>
  <c r="T92" i="2"/>
  <c r="Q4" i="2"/>
  <c r="T5" i="2"/>
  <c r="R11" i="2"/>
  <c r="U12" i="2"/>
  <c r="E8" i="1" s="1"/>
  <c r="S18" i="2"/>
  <c r="Q24" i="2"/>
  <c r="T25" i="2"/>
  <c r="R31" i="2"/>
  <c r="U32" i="2"/>
  <c r="S38" i="2"/>
  <c r="Q44" i="2"/>
  <c r="T45" i="2"/>
  <c r="R51" i="2"/>
  <c r="U52" i="2"/>
  <c r="S58" i="2"/>
  <c r="Q64" i="2"/>
  <c r="T65" i="2"/>
  <c r="R71" i="2"/>
  <c r="U72" i="2"/>
  <c r="S78" i="2"/>
  <c r="Q84" i="2"/>
  <c r="T85" i="2"/>
  <c r="R91" i="2"/>
  <c r="U92" i="2"/>
  <c r="T6" i="2"/>
  <c r="S5" i="2"/>
  <c r="Q11" i="2"/>
  <c r="R18" i="2"/>
  <c r="S25" i="2"/>
  <c r="Q31" i="2"/>
  <c r="T32" i="2"/>
  <c r="R38" i="2"/>
  <c r="U39" i="2"/>
  <c r="S45" i="2"/>
  <c r="Q51" i="2"/>
  <c r="T52" i="2"/>
  <c r="R58" i="2"/>
  <c r="U59" i="2"/>
  <c r="S65" i="2"/>
  <c r="Q71" i="2"/>
  <c r="R78" i="2"/>
  <c r="S85" i="2"/>
  <c r="R4" i="2"/>
  <c r="S11" i="2"/>
  <c r="Q17" i="2"/>
  <c r="T18" i="2"/>
  <c r="R24" i="2"/>
  <c r="S31" i="2"/>
  <c r="Q37" i="2"/>
  <c r="T38" i="2"/>
  <c r="R44" i="2"/>
  <c r="S51" i="2"/>
  <c r="Q57" i="2"/>
  <c r="T58" i="2"/>
  <c r="R64" i="2"/>
  <c r="S71" i="2"/>
  <c r="Q77" i="2"/>
  <c r="R84" i="2"/>
  <c r="S91" i="2"/>
  <c r="Q90" i="2"/>
  <c r="T91" i="2"/>
  <c r="S47" i="2"/>
  <c r="V5" i="2"/>
  <c r="E9" i="1" s="1"/>
  <c r="Q10" i="2"/>
  <c r="S24" i="2"/>
  <c r="Q30" i="2"/>
  <c r="T31" i="2"/>
  <c r="R37" i="2"/>
  <c r="S44" i="2"/>
  <c r="Q50" i="2"/>
  <c r="T51" i="2"/>
  <c r="R57" i="2"/>
  <c r="S64" i="2"/>
  <c r="Q70" i="2"/>
  <c r="T71" i="2"/>
  <c r="R77" i="2"/>
  <c r="S84" i="2"/>
  <c r="T4" i="2"/>
  <c r="R10" i="2"/>
  <c r="S17" i="2"/>
  <c r="Q23" i="2"/>
  <c r="T24" i="2"/>
  <c r="R30" i="2"/>
  <c r="S37" i="2"/>
  <c r="Q43" i="2"/>
  <c r="T44" i="2"/>
  <c r="R50" i="2"/>
  <c r="S57" i="2"/>
  <c r="Q63" i="2"/>
  <c r="T64" i="2"/>
  <c r="R70" i="2"/>
  <c r="S77" i="2"/>
  <c r="Q83" i="2"/>
  <c r="T84" i="2"/>
  <c r="R90" i="2"/>
  <c r="Q80" i="2"/>
  <c r="R60" i="2"/>
  <c r="Q73" i="2"/>
  <c r="R80" i="2"/>
  <c r="T47" i="2"/>
  <c r="V6" i="2"/>
  <c r="T11" i="2"/>
  <c r="U24" i="2"/>
  <c r="Q36" i="2"/>
  <c r="R43" i="2"/>
  <c r="U44" i="2"/>
  <c r="S50" i="2"/>
  <c r="Q56" i="2"/>
  <c r="T57" i="2"/>
  <c r="R63" i="2"/>
  <c r="U64" i="2"/>
  <c r="S70" i="2"/>
  <c r="Q76" i="2"/>
  <c r="T77" i="2"/>
  <c r="R83" i="2"/>
  <c r="U84" i="2"/>
  <c r="S90" i="2"/>
  <c r="Q9" i="2"/>
  <c r="T10" i="2"/>
  <c r="R16" i="2"/>
  <c r="U17" i="2"/>
  <c r="S23" i="2"/>
  <c r="Q29" i="2"/>
  <c r="T30" i="2"/>
  <c r="R36" i="2"/>
  <c r="U37" i="2"/>
  <c r="S43" i="2"/>
  <c r="Q49" i="2"/>
  <c r="T50" i="2"/>
  <c r="R56" i="2"/>
  <c r="U57" i="2"/>
  <c r="S63" i="2"/>
  <c r="Q69" i="2"/>
  <c r="T70" i="2"/>
  <c r="R76" i="2"/>
  <c r="U77" i="2"/>
  <c r="S83" i="2"/>
  <c r="Q89" i="2"/>
  <c r="T90" i="2"/>
  <c r="S9" i="2"/>
  <c r="V10" i="2"/>
  <c r="Q15" i="2"/>
  <c r="T16" i="2"/>
  <c r="R22" i="2"/>
  <c r="U23" i="2"/>
  <c r="S29" i="2"/>
  <c r="V30" i="2"/>
  <c r="Q35" i="2"/>
  <c r="T36" i="2"/>
  <c r="R42" i="2"/>
  <c r="U43" i="2"/>
  <c r="S49" i="2"/>
  <c r="V50" i="2"/>
  <c r="Q55" i="2"/>
  <c r="T56" i="2"/>
  <c r="R62" i="2"/>
  <c r="U63" i="2"/>
  <c r="S69" i="2"/>
  <c r="V70" i="2"/>
  <c r="Q75" i="2"/>
  <c r="T76" i="2"/>
  <c r="R82" i="2"/>
  <c r="U83" i="2"/>
  <c r="S89" i="2"/>
  <c r="V90" i="2"/>
  <c r="Q20" i="2"/>
  <c r="Q46" i="2"/>
  <c r="R53" i="2"/>
  <c r="Q12" i="2"/>
  <c r="S4" i="2"/>
  <c r="R17" i="2"/>
  <c r="S10" i="2"/>
  <c r="Q16" i="2"/>
  <c r="T17" i="2"/>
  <c r="R23" i="2"/>
  <c r="S30" i="2"/>
  <c r="T37" i="2"/>
  <c r="S16" i="2"/>
  <c r="Q22" i="2"/>
  <c r="T43" i="2"/>
  <c r="T63" i="2"/>
  <c r="Q8" i="2"/>
  <c r="T9" i="2"/>
  <c r="R15" i="2"/>
  <c r="U16" i="2"/>
  <c r="S22" i="2"/>
  <c r="V23" i="2"/>
  <c r="Q28" i="2"/>
  <c r="T29" i="2"/>
  <c r="R35" i="2"/>
  <c r="U36" i="2"/>
  <c r="S42" i="2"/>
  <c r="Q48" i="2"/>
  <c r="T49" i="2"/>
  <c r="R55" i="2"/>
  <c r="U56" i="2"/>
  <c r="S62" i="2"/>
  <c r="R75" i="2"/>
  <c r="U76" i="2"/>
  <c r="S82" i="2"/>
  <c r="V83" i="2"/>
  <c r="Q88" i="2"/>
  <c r="S36" i="2"/>
  <c r="Q42" i="2"/>
  <c r="S56" i="2"/>
  <c r="Q62" i="2"/>
  <c r="R69" i="2"/>
  <c r="S76" i="2"/>
  <c r="Q82" i="2"/>
  <c r="R89" i="2"/>
  <c r="E6" i="1" l="1"/>
  <c r="E7" i="1"/>
  <c r="E12" i="1" l="1"/>
</calcChain>
</file>

<file path=xl/sharedStrings.xml><?xml version="1.0" encoding="utf-8"?>
<sst xmlns="http://schemas.openxmlformats.org/spreadsheetml/2006/main" count="1429" uniqueCount="281">
  <si>
    <t>LỊCH CRAWL MÁY PHỤ — 02/09: 12 CHECK-IN; TỪ 03/09: 10 CHECK-IN</t>
  </si>
  <si>
    <t>Thông số</t>
  </si>
  <si>
    <t>Giá trị</t>
  </si>
  <si>
    <t>Kiểm tra</t>
  </si>
  <si>
    <t>Kết quả</t>
  </si>
  <si>
    <t>Ngày bắt đầu</t>
  </si>
  <si>
    <t>Số ngày mong đợi</t>
  </si>
  <si>
    <t>Ngày kết thúc</t>
  </si>
  <si>
    <t>Số dòng lịch thực tế</t>
  </si>
  <si>
    <t>Giờ bắt đầu mỗi ngày</t>
  </si>
  <si>
    <t>00:30</t>
  </si>
  <si>
    <t>02/09 đủ 12; từ 03/09 đủ 10</t>
  </si>
  <si>
    <t>Múi giờ</t>
  </si>
  <si>
    <t>Asia/Ho_Chi_Minh</t>
  </si>
  <si>
    <t>Không trùng local chính</t>
  </si>
  <si>
    <t>Tổng số ngày theo lịch</t>
  </si>
  <si>
    <t>Không trùng VPS</t>
  </si>
  <si>
    <t>Số khách sạn (cohort v2)</t>
  </si>
  <si>
    <t>Không trùng nội bộ máy phụ</t>
  </si>
  <si>
    <t>Check-in mỗi ngày từ 03/09</t>
  </si>
  <si>
    <t>Benchmark capacity máy phụ</t>
  </si>
  <si>
    <t>Item dự kiến mỗi ngày từ 03/09</t>
  </si>
  <si>
    <t>Dead-link two-confirmation đã deploy</t>
  </si>
  <si>
    <t>Tổng item lý thuyết</t>
  </si>
  <si>
    <t>Trạng thái kỹ thuật workbook</t>
  </si>
  <si>
    <t>Đã hoàn thành</t>
  </si>
  <si>
    <t>Chưa chạy</t>
  </si>
  <si>
    <t>Máy phụ là nguồn thứ ba độc lập (local_aux). Lượt 02/09 giữ 12 check-in; từ 03/09 dùng 7 near + 3 far để giảm tải. Cohort v2 có 354 khách sạn. Không thay đổi lịch local chính hoặc VPS.</t>
  </si>
  <si>
    <t>AUX-LOCAL CRAWL PLAN — 02/09: 12 SLOT; TỪ 03/09: 10 SLOT (7 NEAR + 3 FAR)</t>
  </si>
  <si>
    <t>Từ 03/09, AN2 và AN3 ngừng sử dụng; giữ AN1, AN4–AN9 và AF1–AF3. Mọi ngày vẫn đối chiếu local chính/VPS; roll khi check-in &lt; crawl date; lead time 0 hợp lệ.</t>
  </si>
  <si>
    <t>Crawl date</t>
  </si>
  <si>
    <t>Thứ</t>
  </si>
  <si>
    <t>Phase</t>
  </si>
  <si>
    <t>Start time (ICT)</t>
  </si>
  <si>
    <t>AN1</t>
  </si>
  <si>
    <t>AN2 (chỉ 02/09)</t>
  </si>
  <si>
    <t>AN3 (chỉ 02/09)</t>
  </si>
  <si>
    <t>AN4</t>
  </si>
  <si>
    <t>AN5</t>
  </si>
  <si>
    <t>AN6</t>
  </si>
  <si>
    <t>AN7</t>
  </si>
  <si>
    <t>AN8</t>
  </si>
  <si>
    <t>AN9</t>
  </si>
  <si>
    <t>AF1</t>
  </si>
  <si>
    <t>AF2</t>
  </si>
  <si>
    <t>AF3</t>
  </si>
  <si>
    <t>Min lead</t>
  </si>
  <si>
    <t>Max lead</t>
  </si>
  <si>
    <t>Số ngày hợp lệ</t>
  </si>
  <si>
    <t>Không trùng local</t>
  </si>
  <si>
    <t>Không trùng nội bộ</t>
  </si>
  <si>
    <t>Crawl status</t>
  </si>
  <si>
    <t>Sampling note</t>
  </si>
  <si>
    <t>Thứ Tư</t>
  </si>
  <si>
    <t>Official</t>
  </si>
  <si>
    <t>Lượt đầu 02/09 giữ 12 slot; chuyển sang 10 slot từ ngày kế tiếp</t>
  </si>
  <si>
    <t>Thứ Năm</t>
  </si>
  <si>
    <t>10-slot panel: 7 near + 3 far; AN2/AN3 inactive from 03/09</t>
  </si>
  <si>
    <t>Thứ Sáu</t>
  </si>
  <si>
    <t>Thứ Bảy</t>
  </si>
  <si>
    <t>Chủ Nhật</t>
  </si>
  <si>
    <t>Thứ Hai</t>
  </si>
  <si>
    <t>Thứ Ba</t>
  </si>
  <si>
    <t>AUX-LOCAL CRAWL LOG — MỖI NGÀY MỘT DÒNG</t>
  </si>
  <si>
    <t>Ghi một dòng cho mỗi crawl date. Cohort v2 có 354 khách sạn: 02/09 dùng 12 check-in = 4.248 item; từ 03/09 dùng 10 check-in = 3.540 item. Không lưu HTML/ảnh nếu không cần audit.</t>
  </si>
  <si>
    <t>Status</t>
  </si>
  <si>
    <t>Run IDs</t>
  </si>
  <si>
    <t>Started at</t>
  </si>
  <si>
    <t>Finished at</t>
  </si>
  <si>
    <t>Duration (hours)</t>
  </si>
  <si>
    <t>Total items</t>
  </si>
  <si>
    <t>Processed</t>
  </si>
  <si>
    <t>Success</t>
  </si>
  <si>
    <t>Partial</t>
  </si>
  <si>
    <t>Sold out</t>
  </si>
  <si>
    <t>Not bookable</t>
  </si>
  <si>
    <t>Error</t>
  </si>
  <si>
    <t>Valid records</t>
  </si>
  <si>
    <t>Check-in count</t>
  </si>
  <si>
    <t>Environment</t>
  </si>
  <si>
    <t>Notes</t>
  </si>
  <si>
    <t>Hoàn thành có lỗi</t>
  </si>
  <si>
    <t>2</t>
  </si>
  <si>
    <t>local_aux</t>
  </si>
  <si>
    <t>Scheduled run 2 completed; aggregate recovered from local_aux DB</t>
  </si>
  <si>
    <t>Thất bại</t>
  </si>
  <si>
    <t>ValueError: Chỉ tạo run khi Status='Chưa chạy', hiện là 'Thất bại'</t>
  </si>
  <si>
    <t>4</t>
  </si>
  <si>
    <t>Scheduled run 4 terminal</t>
  </si>
  <si>
    <t>5</t>
  </si>
  <si>
    <t>Scheduled run 5 terminal</t>
  </si>
  <si>
    <t>6</t>
  </si>
  <si>
    <t>Scheduled run 6 terminal</t>
  </si>
  <si>
    <t>7</t>
  </si>
  <si>
    <t>Scheduled run 7 terminal</t>
  </si>
  <si>
    <t>8</t>
  </si>
  <si>
    <t>Scheduled run 8 terminal</t>
  </si>
  <si>
    <t>9</t>
  </si>
  <si>
    <t>Scheduled run 9 terminal</t>
  </si>
  <si>
    <t>10</t>
  </si>
  <si>
    <t>Scheduled run 10 terminal</t>
  </si>
  <si>
    <t>11</t>
  </si>
  <si>
    <t>Scheduled run 11 terminal</t>
  </si>
  <si>
    <t>12</t>
  </si>
  <si>
    <t>Scheduled run 12 terminal</t>
  </si>
  <si>
    <t>13</t>
  </si>
  <si>
    <t>Bỏ qua theo yêu cầu người dùng; dừng run 13 sau 2/3540 item. Ngày kế tiếp chạy độc lập.</t>
  </si>
  <si>
    <t>14</t>
  </si>
  <si>
    <t>Scheduled run 14 terminal</t>
  </si>
  <si>
    <t>15</t>
  </si>
  <si>
    <t>Scheduled run 15 terminal</t>
  </si>
  <si>
    <t>16</t>
  </si>
  <si>
    <t>Scheduled run 16 terminal</t>
  </si>
  <si>
    <t>17</t>
  </si>
  <si>
    <t>Scheduled run 17 terminal</t>
  </si>
  <si>
    <t>18</t>
  </si>
  <si>
    <t>Scheduled run 18 terminal</t>
  </si>
  <si>
    <t>19</t>
  </si>
  <si>
    <t>Scheduled run 19 terminal</t>
  </si>
  <si>
    <t>20</t>
  </si>
  <si>
    <t>Scheduled run 20 terminal</t>
  </si>
  <si>
    <t>21</t>
  </si>
  <si>
    <t>Scheduled run 21 terminal</t>
  </si>
  <si>
    <t>22</t>
  </si>
  <si>
    <t>Scheduled run 22 terminal</t>
  </si>
  <si>
    <t>23</t>
  </si>
  <si>
    <t>Scheduled run 23 terminal</t>
  </si>
  <si>
    <t>24</t>
  </si>
  <si>
    <t>Scheduled run 24 terminal</t>
  </si>
  <si>
    <t>25</t>
  </si>
  <si>
    <t>Scheduled run 25 terminal</t>
  </si>
  <si>
    <t>26</t>
  </si>
  <si>
    <t>Scheduled run 26 terminal</t>
  </si>
  <si>
    <t>27</t>
  </si>
  <si>
    <t>Scheduled run 27 terminal</t>
  </si>
  <si>
    <t>local_aux_backup</t>
  </si>
  <si>
    <t>Imported as run 28; SHA-256 + staging counts verified.</t>
  </si>
  <si>
    <t>29</t>
  </si>
  <si>
    <t>Scheduled run 29 terminal</t>
  </si>
  <si>
    <t>Imported as run 30; SHA-256 + staging counts verified.</t>
  </si>
  <si>
    <t>31</t>
  </si>
  <si>
    <t>Scheduled run 31 terminal</t>
  </si>
  <si>
    <t>32</t>
  </si>
  <si>
    <t>Scheduled run 32 terminal</t>
  </si>
  <si>
    <t>33</t>
  </si>
  <si>
    <t>Scheduled run 33 terminal</t>
  </si>
  <si>
    <t>LOCAL PRIMARY REFERENCE — 12 CHECK-IN DÙNG ĐỂ LOẠI TRÙNG</t>
  </si>
  <si>
    <t>Nguồn: D:/MSE/CAPSTONE/outputs/crawl-data-planner-20260816/crawl_sampling_master.xlsx. Snapshot 02/09–30/11/2026; không sửa bằng tay.</t>
  </si>
  <si>
    <t>Start time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</si>
  <si>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</si>
  <si>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</si>
  <si>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</si>
  <si>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</si>
  <si>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</si>
  <si>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</si>
  <si>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</si>
  <si>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</si>
  <si>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</si>
  <si>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F1</t>
  </si>
  <si>
    <t>F2</t>
  </si>
  <si>
    <t>F3</t>
  </si>
  <si>
    <t>Source file</t>
  </si>
  <si>
    <t>crawl_sampling_master.xlsx</t>
  </si>
  <si>
    <t>VPS REFERENCE — 5 CHECK-IN DÙNG ĐỂ LOẠI TRÙNG</t>
  </si>
  <si>
    <t>Nguồn: D:/MSE/CAPSTONE/outputs/vps-crawl-planner-20260823/vps_crawl_sampling_master.xlsx. Snapshot 02/09–30/11/2026; không sửa bằng tay.</t>
  </si>
  <si>
    <t>V1</t>
  </si>
  <si>
    <t>V2</t>
  </si>
  <si>
    <t>V3</t>
  </si>
  <si>
    <t>V4</t>
  </si>
  <si>
    <t>V5</t>
  </si>
  <si>
    <t>vps_crawl_sampling_master.xlsx</t>
  </si>
  <si>
    <t>QUY TẮC MÁY PHỤ — 12 SLOT NGÀY 02/09; 10 SLOT TỪ 03/09</t>
  </si>
  <si>
    <t>Slot</t>
  </si>
  <si>
    <t>Vai trò</t>
  </si>
  <si>
    <t>Mục đích</t>
  </si>
  <si>
    <t>Anchor đầu</t>
  </si>
  <si>
    <t>Cycle (ngày)</t>
  </si>
  <si>
    <t>Weekday anchor</t>
  </si>
  <si>
    <t>Chuỗi anchor</t>
  </si>
  <si>
    <t>Điều kiện roll</t>
  </si>
  <si>
    <t>Kiểm tra bắt buộc</t>
  </si>
  <si>
    <t>Near — Friday</t>
  </si>
  <si>
    <t>Bổ sung Friday near phase 1</t>
  </si>
  <si>
    <t>04/09/2026 → 02/10/2026 → 30/10/2026 → 27/11/2026 → 25/12/2026</t>
  </si>
  <si>
    <t>Giữ đến hết ngày check-in; roll khi check-in &lt; crawl date</t>
  </si>
  <si>
    <t>Ngày &gt;= crawl date; khác 11 slot aux; không thuộc local 12 hoặc VPS 5 cùng ngày crawl</t>
  </si>
  <si>
    <t>AN2</t>
  </si>
  <si>
    <t>Ngừng từ 03/09</t>
  </si>
  <si>
    <t>Friday phase 2 chỉ giữ làm lịch sử cho lượt 02/09</t>
  </si>
  <si>
    <t>11/09/2026 → 09/10/2026 → 06/11/2026 → 04/12/2026</t>
  </si>
  <si>
    <t>Không roll sau 02/09</t>
  </si>
  <si>
    <t>Không chọn từ 03/09</t>
  </si>
  <si>
    <t>AN3</t>
  </si>
  <si>
    <t>Friday phase 3 chỉ giữ làm lịch sử cho lượt 02/09</t>
  </si>
  <si>
    <t>18/09/2026 → 16/10/2026 → 13/11/2026 → 11/12/2026</t>
  </si>
  <si>
    <t>Bổ sung Friday near phase 4</t>
  </si>
  <si>
    <t>25/09/2026 → 23/10/2026 → 20/11/2026 → 18/12/2026</t>
  </si>
  <si>
    <t>Near — Monday</t>
  </si>
  <si>
    <t>Cân bằng Monday ở dải lead 0–27</t>
  </si>
  <si>
    <t>07/09/2026 → 05/10/2026 → 02/11/2026 → 30/11/2026 → 28/12/2026</t>
  </si>
  <si>
    <t>Cân bằng Monday, lệch phase AN5</t>
  </si>
  <si>
    <t>21/09/2026 → 19/10/2026 → 16/11/2026 → 14/12/2026</t>
  </si>
  <si>
    <t>Near — Tuesday</t>
  </si>
  <si>
    <t>Cân bằng Tuesday ở dải lead 0–27</t>
  </si>
  <si>
    <t>08/09/2026 → 06/10/2026 → 03/11/2026 → 01/12/2026</t>
  </si>
  <si>
    <t>Cân bằng Tuesday, lệch phase AN7</t>
  </si>
  <si>
    <t>15/09/2026 → 13/10/2026 → 10/11/2026 → 08/12/2026</t>
  </si>
  <si>
    <t>Near — Sunday</t>
  </si>
  <si>
    <t>Đưa Sunday lên mức phủ cân bằng</t>
  </si>
  <si>
    <t>20/09/2026 → 18/10/2026 → 15/11/2026 → 13/12/2026</t>
  </si>
  <si>
    <t>Far — Monday</t>
  </si>
  <si>
    <t>Phủ lead time 0–69 và Monday vùng medium/far</t>
  </si>
  <si>
    <t>26/10/2026 → 04/01/2027</t>
  </si>
  <si>
    <t>Far — Tuesday</t>
  </si>
  <si>
    <t>Phủ lead time 0–97 và Tuesday vùng far</t>
  </si>
  <si>
    <t>24/11/2026 → 02/03/2027</t>
  </si>
  <si>
    <t>Far — Thursday</t>
  </si>
  <si>
    <t>Theo dõi dài hạn, lead time 66–155 trong cửa sổ</t>
  </si>
  <si>
    <t>04/02/2027</t>
  </si>
  <si>
    <t>Quy tắc chung</t>
  </si>
  <si>
    <t>Không random hằng ngày</t>
  </si>
  <si>
    <t>02/09 có 12 slot; từ 03/09 có 10 slot active (7 near + 3 far)</t>
  </si>
  <si>
    <t>Lead time 0</t>
  </si>
  <si>
    <t>Hợp lệ</t>
  </si>
  <si>
    <t>Chỉ roll từ ngày sau check-in</t>
  </si>
  <si>
    <t>Nguồn thứ ba</t>
  </si>
  <si>
    <t>Không dùng chung source_code với local_primary hoặc VPS trong warehouse</t>
  </si>
  <si>
    <t>Gate vận hành</t>
  </si>
  <si>
    <t>Bắt buộc</t>
  </si>
  <si>
    <t>Theo dõi capacity thực tế; dead-link two-confirmation vẫn là remediation riêng</t>
  </si>
  <si>
    <t>LABEL-YIELD PROXY — 02/09 CÓ 12 SLOT; TỪ 03/09 CÓ 10 SLOT</t>
  </si>
  <si>
    <t>AN2/AN3 chỉ chạy ngày 02/09 nên chưa đủ 3 run để tạo label proxy; từ 03/09 còn 7 near + 3 far. Đây là upper bound, không phải số label đảm bảo.</t>
  </si>
  <si>
    <t>Role</t>
  </si>
  <si>
    <t>Cycle</t>
  </si>
  <si>
    <t>h1</t>
  </si>
  <si>
    <t>h3</t>
  </si>
  <si>
    <t>h7 / h14</t>
  </si>
  <si>
    <t>54 / 33</t>
  </si>
  <si>
    <t>Inactive after 02/09</t>
  </si>
  <si>
    <t>0 / 0</t>
  </si>
  <si>
    <t>50 / 29</t>
  </si>
  <si>
    <t>50 / 25</t>
  </si>
  <si>
    <t>53 / 32</t>
  </si>
  <si>
    <t>50 / 24</t>
  </si>
  <si>
    <t>70 / 56</t>
  </si>
  <si>
    <t>74 / 67</t>
  </si>
  <si>
    <t>80 / 73</t>
  </si>
  <si>
    <t>TOTAL</t>
  </si>
  <si>
    <t>585 / 397</t>
  </si>
  <si>
    <t>HƯỚNG DẪN SỬ DỤNG LỊCH CRAWL MÁY PHỤ</t>
  </si>
  <si>
    <t>Bước</t>
  </si>
  <si>
    <t>Thao tác</t>
  </si>
  <si>
    <t>Kết quả mong đợi</t>
  </si>
  <si>
    <t>Lưu ý</t>
  </si>
  <si>
    <t>Xác nhận SUMMARY: benchmark và dead-link gate đã PASS</t>
  </si>
  <si>
    <t>Máy phụ sẵn sàng vận hành</t>
  </si>
  <si>
    <t>Không bỏ qua hai gate PENDING</t>
  </si>
  <si>
    <t>Mở AUX_CRAWL_PLAN và tìm Crawl date hôm nay</t>
  </si>
  <si>
    <t>02/09 có 12 ngày; từ 03/09 có đúng 10 ngày active</t>
  </si>
  <si>
    <t>AN2/AN3 để trống từ 03/09; các cột kiểm tra phải PASS</t>
  </si>
  <si>
    <t>Mở web scraper trên máy local phụ</t>
  </si>
  <si>
    <t>Trang nhập file/ngày check-in sẵn sàng</t>
  </si>
  <si>
    <t>Đây không phải VPS hotel.projecthub.io.vn</t>
  </si>
  <si>
    <t>Upload link_hotel_data_expanded.xlsx</t>
  </si>
  <si>
    <t>354 khách sạn hợp lệ (cohort v2)</t>
  </si>
  <si>
    <t>Dùng đúng cohort hiện hành; dữ liệu cohort v1 vẫn giữ lịch sử</t>
  </si>
  <si>
    <t>Chọn đúng các ngày không trống trong dòng hôm nay</t>
  </si>
  <si>
    <t>02/09: 4.248 item; từ 03/09: 3.540 item</t>
  </si>
  <si>
    <t>Từ 03/09 chọn AN1, AN4–AN9 và AF1–AF3; không tự thay ngày</t>
  </si>
  <si>
    <t>Tắt lưu screenshot/HTML nếu không cần audit</t>
  </si>
  <si>
    <t>Không tích luỹ artifact không cần thiết</t>
  </si>
  <si>
    <t>Artifact không phải feature train</t>
  </si>
  <si>
    <t>Bắt đầu crawl và theo dõi run</t>
  </si>
  <si>
    <t>Worker hoàn tất trước lượt hôm sau</t>
  </si>
  <si>
    <t>Không chạy chồng backlog</t>
  </si>
  <si>
    <t>Khi kết thúc, cập nhật CRAWL_LOG</t>
  </si>
  <si>
    <t>Có run id, thời gian và aggregate</t>
  </si>
  <si>
    <t>Hoàn thành có lỗi vẫn phải ghi số liệu</t>
  </si>
  <si>
    <t>Nếu lịch local/VPS thay đổi, tái sinh workbook</t>
  </si>
  <si>
    <t>Collision checks vẫn có giá trị</t>
  </si>
  <si>
    <t>Không sửa LOCAL_REFERENCE/VPS_REFERENCE bằng tay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</si>
</sst>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dd/mm/yyyy\ hh:mm"/>
  </numFmts>
  <fonts count="11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18323F"/>
      <name val="Carlito"/>
    </font>
    <font>
      <sz val="11"/>
      <color rgb="FF2E7D32"/>
      <name val="Carlito"/>
    </font>
    <font>
      <b/>
      <sz val="11"/>
      <color rgb="FF8A5A00"/>
      <name val="Carlito"/>
    </font>
    <font>
      <b/>
      <sz val="11"/>
      <color rgb="FF2E7D32"/>
      <name val="Carlito"/>
    </font>
    <font>
      <i/>
      <sz val="11"/>
      <color rgb="FF18323F"/>
      <name val="Carlito"/>
    </font>
    <font>
      <sz val="10"/>
      <color rgb="FF18323F"/>
      <name val="Carlito"/>
    </font>
    <font>
      <b/>
      <sz val="10"/>
      <color rgb="FFFFFFFF"/>
      <name val="Carlito"/>
    </font>
    <font>
      <i/>
      <sz val="10"/>
      <color rgb="FF6B7280"/>
      <name val="Carlito"/>
    </font>
  </fonts>
  <fills count="12">
    <fill>
      <patternFill patternType="none"/>
    </fill>
    <fill>
      <patternFill patternType="gray125"/>
    </fill>
    <fill>
      <patternFill patternType="solid">
        <fgColor rgb="FF173D56"/>
      </patternFill>
    </fill>
    <fill>
      <patternFill patternType="solid">
        <fgColor rgb="FF258F8B"/>
      </patternFill>
    </fill>
    <fill>
      <patternFill patternType="solid">
        <fgColor rgb="FFD8F0F0"/>
      </patternFill>
    </fill>
    <fill>
      <patternFill patternType="solid">
        <fgColor rgb="FFE7EEF3"/>
      </patternFill>
    </fill>
    <fill>
      <patternFill patternType="solid">
        <fgColor rgb="FFDDF2DF"/>
      </patternFill>
    </fill>
    <fill>
      <patternFill patternType="solid">
        <fgColor rgb="FFFFF5CE"/>
      </patternFill>
    </fill>
    <fill>
      <patternFill patternType="solid">
        <fgColor rgb="FFCDEDF8"/>
      </patternFill>
    </fill>
    <fill>
      <patternFill patternType="solid">
        <fgColor rgb="FFE8F5FA"/>
      </patternFill>
    </fill>
    <fill>
      <patternFill patternType="solid">
        <fgColor rgb="FF17706D"/>
      </patternFill>
    </fill>
    <fill>
      <patternFill patternType="solid">
        <fgColor rgb="FFE5E7EB"/>
      </patternFill>
    </fill>
  </fills>
  <borders count="5">
    <border>
      <left/>
      <right/>
      <top/>
      <bottom/>
      <diagonal/>
    </border>
    <border>
      <left style="thin">
        <color rgb="FF6EC8E6"/>
      </left>
      <right style="thin">
        <color rgb="FF6EC8E6"/>
      </right>
      <top style="thin">
        <color rgb="FF6EC8E6"/>
      </top>
      <bottom style="thin">
        <color rgb="FF6EC8E6"/>
      </bottom>
      <diagonal/>
    </border>
    <border>
      <left/>
      <right/>
      <top/>
      <bottom style="thin">
        <color rgb="FF6EC8E6"/>
      </bottom>
      <diagonal/>
    </border>
    <border>
      <left/>
      <right/>
      <top style="thin">
        <color rgb="FF6EC8E6"/>
      </top>
      <bottom style="thin">
        <color rgb="FF6EC8E6"/>
      </bottom>
      <diagonal/>
    </border>
    <border>
      <left/>
      <right/>
      <top style="thin">
        <color rgb="FF6EC8E6"/>
      </top>
      <bottom/>
      <diagonal/>
    </border>
  </borders>
  <cellStyleXfs count="1">
    <xf numFmtId="0" fontId="0" fillId="0" borderId="0"/>
  </cellStyleXfs>
  <cellXfs count="77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5" borderId="0" xfId="0" applyFont="1" applyFill="1" applyAlignment="1">
      <alignment wrapText="1"/>
    </xf>
    <xf numFmtId="164" fontId="0" fillId="0" borderId="0" xfId="0" applyNumberFormat="1" applyAlignment="1">
      <alignment horizontal="right" wrapText="1"/>
    </xf>
    <xf numFmtId="3" fontId="0" fillId="0" borderId="0" xfId="0" applyNumberFormat="1" applyAlignment="1">
      <alignment wrapText="1"/>
    </xf>
    <xf numFmtId="0" fontId="0" fillId="0" borderId="0" xfId="0" applyAlignment="1">
      <alignment horizontal="right" wrapText="1"/>
    </xf>
    <xf numFmtId="0" fontId="4" fillId="6" borderId="0" xfId="0" applyFont="1" applyFill="1" applyAlignment="1">
      <alignment wrapText="1"/>
    </xf>
    <xf numFmtId="3" fontId="0" fillId="0" borderId="0" xfId="0" applyNumberFormat="1" applyAlignment="1">
      <alignment horizontal="right" wrapText="1"/>
    </xf>
    <xf numFmtId="0" fontId="5" fillId="7" borderId="0" xfId="0" applyFont="1" applyFill="1" applyAlignment="1">
      <alignment wrapText="1"/>
    </xf>
    <xf numFmtId="0" fontId="6" fillId="6" borderId="0" xfId="0" applyFont="1" applyFill="1" applyAlignment="1">
      <alignment wrapText="1"/>
    </xf>
    <xf numFmtId="0" fontId="8" fillId="8" borderId="2" xfId="0" applyFont="1" applyFill="1" applyBorder="1" applyAlignment="1">
      <alignment vertical="center"/>
    </xf>
    <xf numFmtId="0" fontId="8" fillId="8" borderId="3" xfId="0" applyFont="1" applyFill="1" applyBorder="1" applyAlignment="1">
      <alignment vertical="center"/>
    </xf>
    <xf numFmtId="0" fontId="8" fillId="8" borderId="4" xfId="0" applyFont="1" applyFill="1" applyBorder="1" applyAlignment="1">
      <alignment vertical="center"/>
    </xf>
    <xf numFmtId="164" fontId="8" fillId="8" borderId="2" xfId="0" applyNumberFormat="1" applyFont="1" applyFill="1" applyBorder="1" applyAlignment="1">
      <alignment vertical="center"/>
    </xf>
    <xf numFmtId="164" fontId="8" fillId="8" borderId="3" xfId="0" applyNumberFormat="1" applyFont="1" applyFill="1" applyBorder="1" applyAlignment="1">
      <alignment vertical="center"/>
    </xf>
    <xf numFmtId="164" fontId="8" fillId="8" borderId="4" xfId="0" applyNumberFormat="1" applyFont="1" applyFill="1" applyBorder="1" applyAlignment="1">
      <alignment vertical="center"/>
    </xf>
    <xf numFmtId="164" fontId="8" fillId="8" borderId="2" xfId="0" applyNumberFormat="1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center" vertical="center"/>
    </xf>
    <xf numFmtId="1" fontId="8" fillId="6" borderId="2" xfId="0" applyNumberFormat="1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8" fillId="9" borderId="2" xfId="0" applyFont="1" applyFill="1" applyBorder="1" applyAlignment="1">
      <alignment horizontal="center" vertical="center"/>
    </xf>
    <xf numFmtId="164" fontId="8" fillId="8" borderId="3" xfId="0" applyNumberFormat="1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164" fontId="8" fillId="7" borderId="3" xfId="0" applyNumberFormat="1" applyFont="1" applyFill="1" applyBorder="1" applyAlignment="1">
      <alignment horizontal="center" vertical="center"/>
    </xf>
    <xf numFmtId="1" fontId="8" fillId="6" borderId="3" xfId="0" applyNumberFormat="1" applyFont="1" applyFill="1" applyBorder="1" applyAlignment="1">
      <alignment horizontal="center" vertical="center"/>
    </xf>
    <xf numFmtId="0" fontId="8" fillId="6" borderId="3" xfId="0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164" fontId="8" fillId="8" borderId="4" xfId="0" applyNumberFormat="1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center" vertical="center"/>
    </xf>
    <xf numFmtId="164" fontId="8" fillId="7" borderId="4" xfId="0" applyNumberFormat="1" applyFont="1" applyFill="1" applyBorder="1" applyAlignment="1">
      <alignment horizontal="center" vertical="center"/>
    </xf>
    <xf numFmtId="1" fontId="8" fillId="6" borderId="4" xfId="0" applyNumberFormat="1" applyFont="1" applyFill="1" applyBorder="1" applyAlignment="1">
      <alignment horizontal="center" vertical="center"/>
    </xf>
    <xf numFmtId="0" fontId="8" fillId="6" borderId="4" xfId="0" applyFont="1" applyFill="1" applyBorder="1" applyAlignment="1">
      <alignment horizontal="center" vertical="center"/>
    </xf>
    <xf numFmtId="0" fontId="8" fillId="9" borderId="4" xfId="0" applyFont="1" applyFill="1" applyBorder="1" applyAlignment="1">
      <alignment horizontal="center" vertical="center"/>
    </xf>
    <xf numFmtId="0" fontId="8" fillId="9" borderId="2" xfId="0" applyFont="1" applyFill="1" applyBorder="1" applyAlignment="1">
      <alignment horizontal="left" vertical="center"/>
    </xf>
    <xf numFmtId="0" fontId="8" fillId="9" borderId="3" xfId="0" applyFont="1" applyFill="1" applyBorder="1" applyAlignment="1">
      <alignment horizontal="left" vertical="center"/>
    </xf>
    <xf numFmtId="0" fontId="8" fillId="9" borderId="4" xfId="0" applyFont="1" applyFill="1" applyBorder="1" applyAlignment="1">
      <alignment horizontal="left" vertical="center"/>
    </xf>
    <xf numFmtId="165" fontId="8" fillId="8" borderId="2" xfId="0" applyNumberFormat="1" applyFont="1" applyFill="1" applyBorder="1" applyAlignment="1">
      <alignment vertical="center"/>
    </xf>
    <xf numFmtId="165" fontId="8" fillId="8" borderId="3" xfId="0" applyNumberFormat="1" applyFont="1" applyFill="1" applyBorder="1" applyAlignment="1">
      <alignment vertical="center"/>
    </xf>
    <xf numFmtId="165" fontId="8" fillId="8" borderId="4" xfId="0" applyNumberFormat="1" applyFont="1" applyFill="1" applyBorder="1" applyAlignment="1">
      <alignment vertical="center"/>
    </xf>
    <xf numFmtId="2" fontId="8" fillId="8" borderId="2" xfId="0" applyNumberFormat="1" applyFont="1" applyFill="1" applyBorder="1" applyAlignment="1">
      <alignment vertical="center"/>
    </xf>
    <xf numFmtId="2" fontId="8" fillId="8" borderId="3" xfId="0" applyNumberFormat="1" applyFont="1" applyFill="1" applyBorder="1" applyAlignment="1">
      <alignment vertical="center"/>
    </xf>
    <xf numFmtId="2" fontId="8" fillId="8" borderId="4" xfId="0" applyNumberFormat="1" applyFont="1" applyFill="1" applyBorder="1" applyAlignment="1">
      <alignment vertical="center"/>
    </xf>
    <xf numFmtId="3" fontId="8" fillId="8" borderId="2" xfId="0" applyNumberFormat="1" applyFont="1" applyFill="1" applyBorder="1" applyAlignment="1">
      <alignment vertical="center"/>
    </xf>
    <xf numFmtId="3" fontId="8" fillId="8" borderId="3" xfId="0" applyNumberFormat="1" applyFont="1" applyFill="1" applyBorder="1" applyAlignment="1">
      <alignment vertical="center"/>
    </xf>
    <xf numFmtId="3" fontId="8" fillId="8" borderId="4" xfId="0" applyNumberFormat="1" applyFont="1" applyFill="1" applyBorder="1" applyAlignment="1">
      <alignment vertical="center"/>
    </xf>
    <xf numFmtId="0" fontId="8" fillId="8" borderId="2" xfId="0" applyFont="1" applyFill="1" applyBorder="1" applyAlignment="1">
      <alignment horizontal="center" vertical="center" wrapText="1"/>
    </xf>
    <xf numFmtId="0" fontId="8" fillId="8" borderId="2" xfId="0" applyFont="1" applyFill="1" applyBorder="1" applyAlignment="1">
      <alignment vertical="center" wrapText="1"/>
    </xf>
    <xf numFmtId="164" fontId="8" fillId="8" borderId="2" xfId="0" applyNumberFormat="1" applyFont="1" applyFill="1" applyBorder="1" applyAlignment="1">
      <alignment vertical="center" wrapText="1"/>
    </xf>
    <xf numFmtId="0" fontId="8" fillId="8" borderId="3" xfId="0" applyFont="1" applyFill="1" applyBorder="1" applyAlignment="1">
      <alignment horizontal="center" vertical="center" wrapText="1"/>
    </xf>
    <xf numFmtId="0" fontId="8" fillId="8" borderId="3" xfId="0" applyFont="1" applyFill="1" applyBorder="1" applyAlignment="1">
      <alignment vertical="center" wrapText="1"/>
    </xf>
    <xf numFmtId="164" fontId="8" fillId="8" borderId="3" xfId="0" applyNumberFormat="1" applyFont="1" applyFill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 wrapText="1"/>
    </xf>
    <xf numFmtId="0" fontId="8" fillId="8" borderId="4" xfId="0" applyFont="1" applyFill="1" applyBorder="1" applyAlignment="1">
      <alignment vertical="center" wrapText="1"/>
    </xf>
    <xf numFmtId="164" fontId="8" fillId="8" borderId="4" xfId="0" applyNumberFormat="1" applyFont="1" applyFill="1" applyBorder="1" applyAlignment="1">
      <alignment vertical="center" wrapText="1"/>
    </xf>
    <xf numFmtId="0" fontId="8" fillId="4" borderId="2" xfId="0" applyFont="1" applyFill="1" applyBorder="1" applyAlignment="1">
      <alignment vertical="center" wrapText="1"/>
    </xf>
    <xf numFmtId="0" fontId="8" fillId="4" borderId="3" xfId="0" applyFont="1" applyFill="1" applyBorder="1" applyAlignment="1">
      <alignment vertical="center" wrapText="1"/>
    </xf>
    <xf numFmtId="0" fontId="8" fillId="4" borderId="4" xfId="0" applyFont="1" applyFill="1" applyBorder="1" applyAlignment="1">
      <alignment vertical="center" wrapText="1"/>
    </xf>
    <xf numFmtId="0" fontId="9" fillId="10" borderId="4" xfId="0" applyFont="1" applyFill="1" applyBorder="1" applyAlignment="1">
      <alignment vertical="center"/>
    </xf>
    <xf numFmtId="0" fontId="8" fillId="8" borderId="2" xfId="0" applyFont="1" applyFill="1" applyBorder="1" applyAlignment="1">
      <alignment horizontal="right" vertical="center"/>
    </xf>
    <xf numFmtId="0" fontId="8" fillId="8" borderId="3" xfId="0" applyFont="1" applyFill="1" applyBorder="1" applyAlignment="1">
      <alignment horizontal="right" vertical="center"/>
    </xf>
    <xf numFmtId="0" fontId="9" fillId="10" borderId="4" xfId="0" applyFont="1" applyFill="1" applyBorder="1" applyAlignment="1">
      <alignment horizontal="right" vertical="center"/>
    </xf>
    <xf numFmtId="164" fontId="10" fillId="11" borderId="3" xfId="0" applyNumberFormat="1" applyFont="1" applyFill="1" applyBorder="1" applyAlignment="1">
      <alignment horizontal="center" vertical="center"/>
    </xf>
    <xf numFmtId="164" fontId="10" fillId="11" borderId="4" xfId="0" applyNumberFormat="1" applyFont="1" applyFill="1" applyBorder="1" applyAlignment="1">
      <alignment horizontal="center" vertical="center"/>
    </xf>
    <xf numFmtId="0" fontId="10" fillId="11" borderId="3" xfId="0" applyFont="1" applyFill="1" applyBorder="1" applyAlignment="1">
      <alignment horizontal="center" vertical="center" wrapText="1"/>
    </xf>
    <xf numFmtId="0" fontId="10" fillId="11" borderId="3" xfId="0" applyFont="1" applyFill="1" applyBorder="1" applyAlignment="1">
      <alignment vertical="center" wrapText="1"/>
    </xf>
    <xf numFmtId="164" fontId="10" fillId="11" borderId="3" xfId="0" applyNumberFormat="1" applyFont="1" applyFill="1" applyBorder="1" applyAlignment="1">
      <alignment vertical="center" wrapText="1"/>
    </xf>
    <xf numFmtId="0" fontId="10" fillId="11" borderId="3" xfId="0" applyFont="1" applyFill="1" applyBorder="1" applyAlignment="1">
      <alignment horizontal="center" vertical="center"/>
    </xf>
    <xf numFmtId="0" fontId="10" fillId="11" borderId="3" xfId="0" applyFont="1" applyFill="1" applyBorder="1" applyAlignment="1">
      <alignment vertical="center"/>
    </xf>
    <xf numFmtId="0" fontId="10" fillId="11" borderId="3" xfId="0" applyFont="1" applyFill="1" applyBorder="1" applyAlignment="1">
      <alignment horizontal="right" vertical="center"/>
    </xf>
    <xf numFmtId="0" fontId="1" fillId="2" borderId="0" xfId="0" applyFont="1" applyFill="1" applyAlignment="1">
      <alignment vertical="center" wrapText="1"/>
    </xf>
    <xf numFmtId="0" fontId="0" fillId="0" borderId="0" xfId="0"/>
    <xf numFmtId="0" fontId="3" fillId="4" borderId="0" xfId="0" applyFont="1" applyFill="1" applyAlignment="1">
      <alignment vertical="center" wrapText="1"/>
    </xf>
    <xf numFmtId="0" fontId="7" fillId="4" borderId="0" xfId="0" applyFont="1" applyFill="1" applyAlignment="1">
      <alignment wrapText="1"/>
    </xf>
    <xf numFmtId="0" fontId="1" fillId="2" borderId="0" xfId="0" applyFont="1" applyFill="1" applyAlignment="1">
      <alignment vertical="center"/>
    </xf>
    <xf numFmtId="0" fontId="7" fillId="4" borderId="0" xfId="0" applyFont="1" applyFill="1"/>
  </cellXfs>
  <cellStyles count="1">
    <cellStyle name="Normal" xfId="0" builtinId="0"/>
  </cellStyles>
  <dxfs count="2">
    <dxf>
      <font>
        <color rgb="FFB3261E"/>
      </font>
      <fill>
        <patternFill>
          <bgColor rgb="FFFCE0E0"/>
        </patternFill>
      </fill>
    </dxf>
    <dxf>
      <font>
        <color rgb="FF2E7D32"/>
      </font>
      <fill>
        <patternFill>
          <bgColor rgb="FFDDF2D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"/>
  <sheetViews>
    <sheetView showGridLines="0" workbookViewId="0">
      <selection sqref="A1:E1"/>
    </sheetView>
  </sheetViews>
  <sheetFormatPr defaultRowHeight="14"/>
  <cols>
    <col min="1" max="1" width="30" customWidth="1"/>
    <col min="2" max="2" width="22" customWidth="1"/>
    <col min="3" max="3" width="4" customWidth="1"/>
    <col min="4" max="4" width="35" customWidth="1"/>
    <col min="5" max="5" width="26" customWidth="1"/>
  </cols>
  <sheetData>
    <row r="1" spans="1:5" ht="30" customHeight="1">
      <c r="A1" s="71" t="s">
        <v>0</v>
      </c>
      <c r="B1" s="72"/>
      <c r="C1" s="72"/>
      <c r="D1" s="72"/>
      <c r="E1" s="72"/>
    </row>
    <row r="2" spans="1:5">
      <c r="A2" s="2"/>
      <c r="B2" s="2"/>
      <c r="C2" s="2"/>
      <c r="D2" s="2"/>
      <c r="E2" s="2"/>
    </row>
    <row r="3" spans="1:5" ht="30" customHeight="1">
      <c r="A3" s="1" t="s">
        <v>1</v>
      </c>
      <c r="B3" s="1" t="s">
        <v>2</v>
      </c>
      <c r="C3" s="2"/>
      <c r="D3" s="1" t="s">
        <v>3</v>
      </c>
      <c r="E3" s="1" t="s">
        <v>4</v>
      </c>
    </row>
    <row r="4" spans="1:5">
      <c r="A4" s="3" t="s">
        <v>5</v>
      </c>
      <c r="B4" s="4">
        <v>46267</v>
      </c>
      <c r="C4" s="2"/>
      <c r="D4" s="3" t="s">
        <v>6</v>
      </c>
      <c r="E4" s="5">
        <f>B5-B4+1</f>
        <v>90</v>
      </c>
    </row>
    <row r="5" spans="1:5">
      <c r="A5" s="3" t="s">
        <v>7</v>
      </c>
      <c r="B5" s="4">
        <v>46356</v>
      </c>
      <c r="C5" s="2"/>
      <c r="D5" s="3" t="s">
        <v>8</v>
      </c>
      <c r="E5" s="5">
        <f>ROWS(AUX_CRAWL_PLAN!A4:A93)</f>
        <v>90</v>
      </c>
    </row>
    <row r="6" spans="1:5">
      <c r="A6" s="3" t="s">
        <v>9</v>
      </c>
      <c r="B6" s="6" t="s">
        <v>10</v>
      </c>
      <c r="C6" s="2"/>
      <c r="D6" s="3" t="s">
        <v>11</v>
      </c>
      <c r="E6" s="7" t="str">
        <f>IF(COUNTIF(AUX_CRAWL_PLAN!S4:S93,"FAIL")=0,"PASS","FAIL")</f>
        <v>PASS</v>
      </c>
    </row>
    <row r="7" spans="1:5">
      <c r="A7" s="3" t="s">
        <v>12</v>
      </c>
      <c r="B7" s="6" t="s">
        <v>13</v>
      </c>
      <c r="C7" s="2"/>
      <c r="D7" s="3" t="s">
        <v>14</v>
      </c>
      <c r="E7" s="7" t="str">
        <f>IF(COUNTIF(AUX_CRAWL_PLAN!T4:T93,"FAIL")=0,"PASS","FAIL")</f>
        <v>PASS</v>
      </c>
    </row>
    <row r="8" spans="1:5">
      <c r="A8" s="3" t="s">
        <v>15</v>
      </c>
      <c r="B8" s="8">
        <f>AUX_CRAWL_PLAN!A93-AUX_CRAWL_PLAN!A4+1</f>
        <v>90</v>
      </c>
      <c r="C8" s="2"/>
      <c r="D8" s="3" t="s">
        <v>16</v>
      </c>
      <c r="E8" s="7" t="str">
        <f>IF(COUNTIF(AUX_CRAWL_PLAN!U4:U93,"FAIL")=0,"PASS","FAIL")</f>
        <v>PASS</v>
      </c>
    </row>
    <row r="9" spans="1:5">
      <c r="A9" s="3" t="s">
        <v>17</v>
      </c>
      <c r="B9" s="8">
        <v>354</v>
      </c>
      <c r="C9" s="2"/>
      <c r="D9" s="3" t="s">
        <v>18</v>
      </c>
      <c r="E9" s="7" t="str">
        <f>IF(COUNTIF(AUX_CRAWL_PLAN!V4:V93,"FAIL")=0,"PASS","FAIL")</f>
        <v>PASS</v>
      </c>
    </row>
    <row r="10" spans="1:5">
      <c r="A10" s="3" t="s">
        <v>19</v>
      </c>
      <c r="B10" s="8">
        <v>10</v>
      </c>
      <c r="C10" s="2"/>
      <c r="D10" s="3" t="s">
        <v>20</v>
      </c>
      <c r="E10" s="9" t="str">
        <f>"PENDING"</f>
        <v>PENDING</v>
      </c>
    </row>
    <row r="11" spans="1:5">
      <c r="A11" s="3" t="s">
        <v>21</v>
      </c>
      <c r="B11" s="8">
        <f>B9*B10</f>
        <v>3540</v>
      </c>
      <c r="C11" s="2"/>
      <c r="D11" s="3" t="s">
        <v>22</v>
      </c>
      <c r="E11" s="9" t="str">
        <f>"PENDING"</f>
        <v>PENDING</v>
      </c>
    </row>
    <row r="12" spans="1:5">
      <c r="A12" s="3" t="s">
        <v>23</v>
      </c>
      <c r="B12" s="8">
        <f>B9*12+B9*B10*(B8-1)</f>
        <v>319308</v>
      </c>
      <c r="C12" s="2"/>
      <c r="D12" s="3" t="s">
        <v>24</v>
      </c>
      <c r="E12" s="10" t="str">
        <f>IF(AND(E4=E5,E6="PASS",E7="PASS",E8="PASS",E9="PASS"),"PASS — chờ 2 gate vận hành","FAIL")</f>
        <v>PASS — chờ 2 gate vận hành</v>
      </c>
    </row>
    <row r="13" spans="1:5">
      <c r="A13" s="3" t="s">
        <v>25</v>
      </c>
      <c r="B13" s="8">
        <f>COUNTIFS(CRAWL_LOG!B4:B93,"Hoàn thành")+COUNTIFS(CRAWL_LOG!B4:B93,"Hoàn thành có lỗi")</f>
        <v>31</v>
      </c>
      <c r="C13" s="2"/>
      <c r="D13" s="2"/>
      <c r="E13" s="2"/>
    </row>
    <row r="14" spans="1:5">
      <c r="A14" s="3" t="s">
        <v>26</v>
      </c>
      <c r="B14" s="8">
        <f>COUNTIF(CRAWL_LOG!B4:B93,"Chưa chạy")</f>
        <v>58</v>
      </c>
      <c r="C14" s="2"/>
      <c r="D14" s="2"/>
      <c r="E14" s="2"/>
    </row>
    <row r="15" spans="1:5">
      <c r="A15" s="2"/>
      <c r="B15" s="2"/>
      <c r="C15" s="2"/>
      <c r="D15" s="2"/>
      <c r="E15" s="2"/>
    </row>
    <row r="16" spans="1:5">
      <c r="A16" s="73" t="s">
        <v>27</v>
      </c>
      <c r="B16" s="72"/>
      <c r="C16" s="72"/>
      <c r="D16" s="72"/>
      <c r="E16" s="72"/>
    </row>
    <row r="17" spans="1:5">
      <c r="A17" s="72"/>
      <c r="B17" s="72"/>
      <c r="C17" s="72"/>
      <c r="D17" s="72"/>
      <c r="E17" s="72"/>
    </row>
  </sheetData>
  <mergeCells count="2">
    <mergeCell ref="A1:E1"/>
    <mergeCell ref="A16:E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93"/>
  <sheetViews>
    <sheetView showGridLines="0" workbookViewId="0"/>
  </sheetViews>
  <sheetFormatPr defaultRowHeight="14"/>
  <cols>
    <col min="1" max="1" width="14" customWidth="1"/>
    <col min="2" max="2" width="12" customWidth="1"/>
    <col min="3" max="3" width="11" customWidth="1"/>
    <col min="4" max="4" width="15" customWidth="1"/>
    <col min="5" max="16" width="13" customWidth="1"/>
    <col min="17" max="18" width="10" customWidth="1"/>
    <col min="19" max="23" width="18" customWidth="1"/>
    <col min="24" max="24" width="42" customWidth="1"/>
  </cols>
  <sheetData>
    <row r="1" spans="1:24" ht="30" customHeight="1">
      <c r="A1" s="75" t="s">
        <v>28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</row>
    <row r="2" spans="1:24" ht="14.5">
      <c r="A2" s="74" t="s">
        <v>29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</row>
    <row r="3" spans="1:24" ht="30" customHeight="1">
      <c r="A3" s="1" t="s">
        <v>30</v>
      </c>
      <c r="B3" s="1" t="s">
        <v>31</v>
      </c>
      <c r="C3" s="1" t="s">
        <v>32</v>
      </c>
      <c r="D3" s="1" t="s">
        <v>33</v>
      </c>
      <c r="E3" s="1" t="s">
        <v>34</v>
      </c>
      <c r="F3" s="1" t="s">
        <v>35</v>
      </c>
      <c r="G3" s="1" t="s">
        <v>36</v>
      </c>
      <c r="H3" s="1" t="s">
        <v>37</v>
      </c>
      <c r="I3" s="1" t="s">
        <v>38</v>
      </c>
      <c r="J3" s="1" t="s">
        <v>39</v>
      </c>
      <c r="K3" s="1" t="s">
        <v>40</v>
      </c>
      <c r="L3" s="1" t="s">
        <v>41</v>
      </c>
      <c r="M3" s="1" t="s">
        <v>42</v>
      </c>
      <c r="N3" s="1" t="s">
        <v>43</v>
      </c>
      <c r="O3" s="1" t="s">
        <v>44</v>
      </c>
      <c r="P3" s="1" t="s">
        <v>45</v>
      </c>
      <c r="Q3" s="1" t="s">
        <v>46</v>
      </c>
      <c r="R3" s="1" t="s">
        <v>47</v>
      </c>
      <c r="S3" s="1" t="s">
        <v>48</v>
      </c>
      <c r="T3" s="1" t="s">
        <v>49</v>
      </c>
      <c r="U3" s="1" t="s">
        <v>16</v>
      </c>
      <c r="V3" s="1" t="s">
        <v>50</v>
      </c>
      <c r="W3" s="1" t="s">
        <v>51</v>
      </c>
      <c r="X3" s="1" t="s">
        <v>52</v>
      </c>
    </row>
    <row r="4" spans="1:24">
      <c r="A4" s="17">
        <v>46267</v>
      </c>
      <c r="B4" s="18" t="s">
        <v>53</v>
      </c>
      <c r="C4" s="18" t="s">
        <v>54</v>
      </c>
      <c r="D4" s="18" t="s">
        <v>10</v>
      </c>
      <c r="E4" s="19">
        <f>SLOT_RULES!$D$4+IF($A4&lt;=SLOT_RULES!$D$4,0,INT(($A4-SLOT_RULES!$D$4-1)/SLOT_RULES!$E$4)+1)*SLOT_RULES!$E$4</f>
        <v>46269</v>
      </c>
      <c r="F4" s="19">
        <f>SLOT_RULES!$D$5+IF($A4&lt;=SLOT_RULES!$D$5,0,INT(($A4-SLOT_RULES!$D$5-1)/SLOT_RULES!$E$5)+1)*SLOT_RULES!$E$5</f>
        <v>46276</v>
      </c>
      <c r="G4" s="19">
        <f>SLOT_RULES!$D$6+IF($A4&lt;=SLOT_RULES!$D$6,0,INT(($A4-SLOT_RULES!$D$6-1)/SLOT_RULES!$E$6)+1)*SLOT_RULES!$E$6</f>
        <v>46283</v>
      </c>
      <c r="H4" s="19">
        <f>SLOT_RULES!$D$7+IF($A4&lt;=SLOT_RULES!$D$7,0,INT(($A4-SLOT_RULES!$D$7-1)/SLOT_RULES!$E$7)+1)*SLOT_RULES!$E$7</f>
        <v>46290</v>
      </c>
      <c r="I4" s="19">
        <f>SLOT_RULES!$D$8+IF($A4&lt;=SLOT_RULES!$D$8,0,INT(($A4-SLOT_RULES!$D$8-1)/SLOT_RULES!$E$8)+1)*SLOT_RULES!$E$8</f>
        <v>46272</v>
      </c>
      <c r="J4" s="19">
        <f>SLOT_RULES!$D$9+IF($A4&lt;=SLOT_RULES!$D$9,0,INT(($A4-SLOT_RULES!$D$9-1)/SLOT_RULES!$E$9)+1)*SLOT_RULES!$E$9</f>
        <v>46286</v>
      </c>
      <c r="K4" s="19">
        <f>SLOT_RULES!$D$10+IF($A4&lt;=SLOT_RULES!$D$10,0,INT(($A4-SLOT_RULES!$D$10-1)/SLOT_RULES!$E$10)+1)*SLOT_RULES!$E$10</f>
        <v>46273</v>
      </c>
      <c r="L4" s="19">
        <f>SLOT_RULES!$D$11+IF($A4&lt;=SLOT_RULES!$D$11,0,INT(($A4-SLOT_RULES!$D$11-1)/SLOT_RULES!$E$11)+1)*SLOT_RULES!$E$11</f>
        <v>46280</v>
      </c>
      <c r="M4" s="19">
        <f>SLOT_RULES!$D$12+IF($A4&lt;=SLOT_RULES!$D$12,0,INT(($A4-SLOT_RULES!$D$12-1)/SLOT_RULES!$E$12)+1)*SLOT_RULES!$E$12</f>
        <v>46285</v>
      </c>
      <c r="N4" s="19">
        <f>SLOT_RULES!$D$13+IF($A4&lt;=SLOT_RULES!$D$13,0,INT(($A4-SLOT_RULES!$D$13-1)/SLOT_RULES!$E$13)+1)*SLOT_RULES!$E$13</f>
        <v>46321</v>
      </c>
      <c r="O4" s="19">
        <f>SLOT_RULES!$D$14+IF($A4&lt;=SLOT_RULES!$D$14,0,INT(($A4-SLOT_RULES!$D$14-1)/SLOT_RULES!$E$14)+1)*SLOT_RULES!$E$14</f>
        <v>46350</v>
      </c>
      <c r="P4" s="19">
        <f>SLOT_RULES!$D$15+IF($A4&lt;=SLOT_RULES!$D$15,0,INT(($A4-SLOT_RULES!$D$15-1)/SLOT_RULES!$E$15)+1)*SLOT_RULES!$E$15</f>
        <v>46422</v>
      </c>
      <c r="Q4" s="20">
        <f t="shared" ref="Q4:Q35" si="0">MIN(E4:P4)-A4</f>
        <v>2</v>
      </c>
      <c r="R4" s="20">
        <f t="shared" ref="R4:R35" si="1">MAX(E4:P4)-A4</f>
        <v>155</v>
      </c>
      <c r="S4" s="21" t="str">
        <f>IF(AND(COUNT(E4:P4)=12,MIN(E4:P4)&gt;=A4),"PASS","FAIL")</f>
        <v>PASS</v>
      </c>
      <c r="T4" s="21" t="str">
        <f>IF((COUNTIF(LOCAL_REFERENCE!$D4:$O4,E4)+COUNTIF(LOCAL_REFERENCE!$D4:$O4,F4)+COUNTIF(LOCAL_REFERENCE!$D4:$O4,G4)+COUNTIF(LOCAL_REFERENCE!$D4:$O4,H4)+COUNTIF(LOCAL_REFERENCE!$D4:$O4,I4)+COUNTIF(LOCAL_REFERENCE!$D4:$O4,J4)+COUNTIF(LOCAL_REFERENCE!$D4:$O4,K4)+COUNTIF(LOCAL_REFERENCE!$D4:$O4,L4)+COUNTIF(LOCAL_REFERENCE!$D4:$O4,M4)+COUNTIF(LOCAL_REFERENCE!$D4:$O4,N4)+COUNTIF(LOCAL_REFERENCE!$D4:$O4,O4)+COUNTIF(LOCAL_REFERENCE!$D4:$O4,P4))=0,"PASS","FAIL")</f>
        <v>PASS</v>
      </c>
      <c r="U4" s="21" t="str">
        <f>IF((COUNTIF(VPS_REFERENCE!$D4:$H4,E4)+COUNTIF(VPS_REFERENCE!$D4:$H4,F4)+COUNTIF(VPS_REFERENCE!$D4:$H4,G4)+COUNTIF(VPS_REFERENCE!$D4:$H4,H4)+COUNTIF(VPS_REFERENCE!$D4:$H4,I4)+COUNTIF(VPS_REFERENCE!$D4:$H4,J4)+COUNTIF(VPS_REFERENCE!$D4:$H4,K4)+COUNTIF(VPS_REFERENCE!$D4:$H4,L4)+COUNTIF(VPS_REFERENCE!$D4:$H4,M4)+COUNTIF(VPS_REFERENCE!$D4:$H4,N4)+COUNTIF(VPS_REFERENCE!$D4:$H4,O4)+COUNTIF(VPS_REFERENCE!$D4:$H4,P4))=0,"PASS","FAIL")</f>
        <v>PASS</v>
      </c>
      <c r="V4" s="21" t="str">
        <f>IF(OR(E4=F4,E4=G4,E4=H4,E4=I4,E4=J4,E4=K4,E4=L4,E4=M4,E4=N4,E4=O4,E4=P4,F4=G4,F4=H4,F4=I4,F4=J4,F4=K4,F4=L4,F4=M4,F4=N4,F4=O4,F4=P4,G4=H4,G4=I4,G4=J4,G4=K4,G4=L4,G4=M4,G4=N4,G4=O4,G4=P4,H4=I4,H4=J4,H4=K4,H4=L4,H4=M4,H4=N4,H4=O4,H4=P4,I4=J4,I4=K4,I4=L4,I4=M4,I4=N4,I4=O4,I4=P4,J4=K4,J4=L4,J4=M4,J4=N4,J4=O4,J4=P4,K4=L4,K4=M4,K4=N4,K4=O4,K4=P4,L4=M4,L4=N4,L4=O4,L4=P4,M4=N4,M4=O4,M4=P4,N4=O4,N4=P4,O4=P4),"FAIL","PASS")</f>
        <v>PASS</v>
      </c>
      <c r="W4" s="22" t="str">
        <f>CRAWL_LOG!B4</f>
        <v>Hoàn thành có lỗi</v>
      </c>
      <c r="X4" s="35" t="s">
        <v>55</v>
      </c>
    </row>
    <row r="5" spans="1:24">
      <c r="A5" s="23">
        <v>46268</v>
      </c>
      <c r="B5" s="24" t="s">
        <v>56</v>
      </c>
      <c r="C5" s="24" t="s">
        <v>54</v>
      </c>
      <c r="D5" s="24" t="s">
        <v>10</v>
      </c>
      <c r="E5" s="25">
        <f>SLOT_RULES!$D$4+IF($A5&lt;=SLOT_RULES!$D$4,0,INT(($A5-SLOT_RULES!$D$4-1)/SLOT_RULES!$E$4)+1)*SLOT_RULES!$E$4</f>
        <v>46269</v>
      </c>
      <c r="F5" s="63"/>
      <c r="G5" s="63"/>
      <c r="H5" s="25">
        <f>SLOT_RULES!$D$7+IF($A5&lt;=SLOT_RULES!$D$7,0,INT(($A5-SLOT_RULES!$D$7-1)/SLOT_RULES!$E$7)+1)*SLOT_RULES!$E$7</f>
        <v>46290</v>
      </c>
      <c r="I5" s="25">
        <f>SLOT_RULES!$D$8+IF($A5&lt;=SLOT_RULES!$D$8,0,INT(($A5-SLOT_RULES!$D$8-1)/SLOT_RULES!$E$8)+1)*SLOT_RULES!$E$8</f>
        <v>46272</v>
      </c>
      <c r="J5" s="25">
        <f>SLOT_RULES!$D$9+IF($A5&lt;=SLOT_RULES!$D$9,0,INT(($A5-SLOT_RULES!$D$9-1)/SLOT_RULES!$E$9)+1)*SLOT_RULES!$E$9</f>
        <v>46286</v>
      </c>
      <c r="K5" s="25">
        <f>SLOT_RULES!$D$10+IF($A5&lt;=SLOT_RULES!$D$10,0,INT(($A5-SLOT_RULES!$D$10-1)/SLOT_RULES!$E$10)+1)*SLOT_RULES!$E$10</f>
        <v>46273</v>
      </c>
      <c r="L5" s="25">
        <f>SLOT_RULES!$D$11+IF($A5&lt;=SLOT_RULES!$D$11,0,INT(($A5-SLOT_RULES!$D$11-1)/SLOT_RULES!$E$11)+1)*SLOT_RULES!$E$11</f>
        <v>46280</v>
      </c>
      <c r="M5" s="25">
        <f>SLOT_RULES!$D$12+IF($A5&lt;=SLOT_RULES!$D$12,0,INT(($A5-SLOT_RULES!$D$12-1)/SLOT_RULES!$E$12)+1)*SLOT_RULES!$E$12</f>
        <v>46285</v>
      </c>
      <c r="N5" s="25">
        <f>SLOT_RULES!$D$13+IF($A5&lt;=SLOT_RULES!$D$13,0,INT(($A5-SLOT_RULES!$D$13-1)/SLOT_RULES!$E$13)+1)*SLOT_RULES!$E$13</f>
        <v>46321</v>
      </c>
      <c r="O5" s="25">
        <f>SLOT_RULES!$D$14+IF($A5&lt;=SLOT_RULES!$D$14,0,INT(($A5-SLOT_RULES!$D$14-1)/SLOT_RULES!$E$14)+1)*SLOT_RULES!$E$14</f>
        <v>46350</v>
      </c>
      <c r="P5" s="25">
        <f>SLOT_RULES!$D$15+IF($A5&lt;=SLOT_RULES!$D$15,0,INT(($A5-SLOT_RULES!$D$15-1)/SLOT_RULES!$E$15)+1)*SLOT_RULES!$E$15</f>
        <v>46422</v>
      </c>
      <c r="Q5" s="26">
        <f t="shared" si="0"/>
        <v>1</v>
      </c>
      <c r="R5" s="26">
        <f t="shared" si="1"/>
        <v>154</v>
      </c>
      <c r="S5" s="27" t="str">
        <f t="shared" ref="S5:S36" si="2">IF(AND(COUNT(E5:P5)=10,MIN(E5:P5)&gt;=A5),"PASS","FAIL")</f>
        <v>PASS</v>
      </c>
      <c r="T5" s="27" t="str">
        <f>IF((COUNTIF(LOCAL_REFERENCE!$D5:$O5,E5)+COUNTIF(LOCAL_REFERENCE!$D5:$O5,H5)+COUNTIF(LOCAL_REFERENCE!$D5:$O5,I5)+COUNTIF(LOCAL_REFERENCE!$D5:$O5,J5)+COUNTIF(LOCAL_REFERENCE!$D5:$O5,K5)+COUNTIF(LOCAL_REFERENCE!$D5:$O5,L5)+COUNTIF(LOCAL_REFERENCE!$D5:$O5,M5)+COUNTIF(LOCAL_REFERENCE!$D5:$O5,N5)+COUNTIF(LOCAL_REFERENCE!$D5:$O5,O5)+COUNTIF(LOCAL_REFERENCE!$D5:$O5,P5))=0,"PASS","FAIL")</f>
        <v>PASS</v>
      </c>
      <c r="U5" s="27" t="str">
        <f>IF((COUNTIF(VPS_REFERENCE!$D5:$H5,E5)+COUNTIF(VPS_REFERENCE!$D5:$H5,H5)+COUNTIF(VPS_REFERENCE!$D5:$H5,I5)+COUNTIF(VPS_REFERENCE!$D5:$H5,J5)+COUNTIF(VPS_REFERENCE!$D5:$H5,K5)+COUNTIF(VPS_REFERENCE!$D5:$H5,L5)+COUNTIF(VPS_REFERENCE!$D5:$H5,M5)+COUNTIF(VPS_REFERENCE!$D5:$H5,N5)+COUNTIF(VPS_REFERENCE!$D5:$H5,O5)+COUNTIF(VPS_REFERENCE!$D5:$H5,P5))=0,"PASS","FAIL")</f>
        <v>PASS</v>
      </c>
      <c r="V5" s="27" t="str">
        <f t="shared" ref="V5:V36" si="3">IF(OR(E5=H5,E5=I5,E5=J5,E5=K5,E5=L5,E5=M5,E5=N5,E5=O5,E5=P5,H5=I5,H5=J5,H5=K5,H5=L5,H5=M5,H5=N5,H5=O5,H5=P5,I5=J5,I5=K5,I5=L5,I5=M5,I5=N5,I5=O5,I5=P5,J5=K5,J5=L5,J5=M5,J5=N5,J5=O5,J5=P5,K5=L5,K5=M5,K5=N5,K5=O5,K5=P5,L5=M5,L5=N5,L5=O5,L5=P5,M5=N5,M5=O5,M5=P5,N5=O5,N5=P5,O5=P5),"FAIL","PASS")</f>
        <v>PASS</v>
      </c>
      <c r="W5" s="28" t="str">
        <f>CRAWL_LOG!B5</f>
        <v>Thất bại</v>
      </c>
      <c r="X5" s="36" t="s">
        <v>57</v>
      </c>
    </row>
    <row r="6" spans="1:24">
      <c r="A6" s="23">
        <v>46269</v>
      </c>
      <c r="B6" s="24" t="s">
        <v>58</v>
      </c>
      <c r="C6" s="24" t="s">
        <v>54</v>
      </c>
      <c r="D6" s="24" t="s">
        <v>10</v>
      </c>
      <c r="E6" s="25">
        <f>SLOT_RULES!$D$4+IF($A6&lt;=SLOT_RULES!$D$4,0,INT(($A6-SLOT_RULES!$D$4-1)/SLOT_RULES!$E$4)+1)*SLOT_RULES!$E$4</f>
        <v>46269</v>
      </c>
      <c r="F6" s="63"/>
      <c r="G6" s="63"/>
      <c r="H6" s="25">
        <f>SLOT_RULES!$D$7+IF($A6&lt;=SLOT_RULES!$D$7,0,INT(($A6-SLOT_RULES!$D$7-1)/SLOT_RULES!$E$7)+1)*SLOT_RULES!$E$7</f>
        <v>46290</v>
      </c>
      <c r="I6" s="25">
        <f>SLOT_RULES!$D$8+IF($A6&lt;=SLOT_RULES!$D$8,0,INT(($A6-SLOT_RULES!$D$8-1)/SLOT_RULES!$E$8)+1)*SLOT_RULES!$E$8</f>
        <v>46272</v>
      </c>
      <c r="J6" s="25">
        <f>SLOT_RULES!$D$9+IF($A6&lt;=SLOT_RULES!$D$9,0,INT(($A6-SLOT_RULES!$D$9-1)/SLOT_RULES!$E$9)+1)*SLOT_RULES!$E$9</f>
        <v>46286</v>
      </c>
      <c r="K6" s="25">
        <f>SLOT_RULES!$D$10+IF($A6&lt;=SLOT_RULES!$D$10,0,INT(($A6-SLOT_RULES!$D$10-1)/SLOT_RULES!$E$10)+1)*SLOT_RULES!$E$10</f>
        <v>46273</v>
      </c>
      <c r="L6" s="25">
        <f>SLOT_RULES!$D$11+IF($A6&lt;=SLOT_RULES!$D$11,0,INT(($A6-SLOT_RULES!$D$11-1)/SLOT_RULES!$E$11)+1)*SLOT_RULES!$E$11</f>
        <v>46280</v>
      </c>
      <c r="M6" s="25">
        <f>SLOT_RULES!$D$12+IF($A6&lt;=SLOT_RULES!$D$12,0,INT(($A6-SLOT_RULES!$D$12-1)/SLOT_RULES!$E$12)+1)*SLOT_RULES!$E$12</f>
        <v>46285</v>
      </c>
      <c r="N6" s="25">
        <f>SLOT_RULES!$D$13+IF($A6&lt;=SLOT_RULES!$D$13,0,INT(($A6-SLOT_RULES!$D$13-1)/SLOT_RULES!$E$13)+1)*SLOT_RULES!$E$13</f>
        <v>46321</v>
      </c>
      <c r="O6" s="25">
        <f>SLOT_RULES!$D$14+IF($A6&lt;=SLOT_RULES!$D$14,0,INT(($A6-SLOT_RULES!$D$14-1)/SLOT_RULES!$E$14)+1)*SLOT_RULES!$E$14</f>
        <v>46350</v>
      </c>
      <c r="P6" s="25">
        <f>SLOT_RULES!$D$15+IF($A6&lt;=SLOT_RULES!$D$15,0,INT(($A6-SLOT_RULES!$D$15-1)/SLOT_RULES!$E$15)+1)*SLOT_RULES!$E$15</f>
        <v>46422</v>
      </c>
      <c r="Q6" s="26">
        <f t="shared" si="0"/>
        <v>0</v>
      </c>
      <c r="R6" s="26">
        <f t="shared" si="1"/>
        <v>153</v>
      </c>
      <c r="S6" s="27" t="str">
        <f t="shared" si="2"/>
        <v>PASS</v>
      </c>
      <c r="T6" s="27" t="str">
        <f>IF((COUNTIF(LOCAL_REFERENCE!$D6:$O6,E6)+COUNTIF(LOCAL_REFERENCE!$D6:$O6,H6)+COUNTIF(LOCAL_REFERENCE!$D6:$O6,I6)+COUNTIF(LOCAL_REFERENCE!$D6:$O6,J6)+COUNTIF(LOCAL_REFERENCE!$D6:$O6,K6)+COUNTIF(LOCAL_REFERENCE!$D6:$O6,L6)+COUNTIF(LOCAL_REFERENCE!$D6:$O6,M6)+COUNTIF(LOCAL_REFERENCE!$D6:$O6,N6)+COUNTIF(LOCAL_REFERENCE!$D6:$O6,O6)+COUNTIF(LOCAL_REFERENCE!$D6:$O6,P6))=0,"PASS","FAIL")</f>
        <v>PASS</v>
      </c>
      <c r="U6" s="27" t="str">
        <f>IF((COUNTIF(VPS_REFERENCE!$D6:$H6,E6)+COUNTIF(VPS_REFERENCE!$D6:$H6,H6)+COUNTIF(VPS_REFERENCE!$D6:$H6,I6)+COUNTIF(VPS_REFERENCE!$D6:$H6,J6)+COUNTIF(VPS_REFERENCE!$D6:$H6,K6)+COUNTIF(VPS_REFERENCE!$D6:$H6,L6)+COUNTIF(VPS_REFERENCE!$D6:$H6,M6)+COUNTIF(VPS_REFERENCE!$D6:$H6,N6)+COUNTIF(VPS_REFERENCE!$D6:$H6,O6)+COUNTIF(VPS_REFERENCE!$D6:$H6,P6))=0,"PASS","FAIL")</f>
        <v>PASS</v>
      </c>
      <c r="V6" s="27" t="str">
        <f t="shared" si="3"/>
        <v>PASS</v>
      </c>
      <c r="W6" s="28" t="str">
        <f>CRAWL_LOG!B6</f>
        <v>Chưa chạy</v>
      </c>
      <c r="X6" s="36" t="s">
        <v>57</v>
      </c>
    </row>
    <row r="7" spans="1:24">
      <c r="A7" s="23">
        <v>46270</v>
      </c>
      <c r="B7" s="24" t="s">
        <v>59</v>
      </c>
      <c r="C7" s="24" t="s">
        <v>54</v>
      </c>
      <c r="D7" s="24" t="s">
        <v>10</v>
      </c>
      <c r="E7" s="25">
        <f>SLOT_RULES!$D$4+IF($A7&lt;=SLOT_RULES!$D$4,0,INT(($A7-SLOT_RULES!$D$4-1)/SLOT_RULES!$E$4)+1)*SLOT_RULES!$E$4</f>
        <v>46297</v>
      </c>
      <c r="F7" s="63"/>
      <c r="G7" s="63"/>
      <c r="H7" s="25">
        <f>SLOT_RULES!$D$7+IF($A7&lt;=SLOT_RULES!$D$7,0,INT(($A7-SLOT_RULES!$D$7-1)/SLOT_RULES!$E$7)+1)*SLOT_RULES!$E$7</f>
        <v>46290</v>
      </c>
      <c r="I7" s="25">
        <f>SLOT_RULES!$D$8+IF($A7&lt;=SLOT_RULES!$D$8,0,INT(($A7-SLOT_RULES!$D$8-1)/SLOT_RULES!$E$8)+1)*SLOT_RULES!$E$8</f>
        <v>46272</v>
      </c>
      <c r="J7" s="25">
        <f>SLOT_RULES!$D$9+IF($A7&lt;=SLOT_RULES!$D$9,0,INT(($A7-SLOT_RULES!$D$9-1)/SLOT_RULES!$E$9)+1)*SLOT_RULES!$E$9</f>
        <v>46286</v>
      </c>
      <c r="K7" s="25">
        <f>SLOT_RULES!$D$10+IF($A7&lt;=SLOT_RULES!$D$10,0,INT(($A7-SLOT_RULES!$D$10-1)/SLOT_RULES!$E$10)+1)*SLOT_RULES!$E$10</f>
        <v>46273</v>
      </c>
      <c r="L7" s="25">
        <f>SLOT_RULES!$D$11+IF($A7&lt;=SLOT_RULES!$D$11,0,INT(($A7-SLOT_RULES!$D$11-1)/SLOT_RULES!$E$11)+1)*SLOT_RULES!$E$11</f>
        <v>46280</v>
      </c>
      <c r="M7" s="25">
        <f>SLOT_RULES!$D$12+IF($A7&lt;=SLOT_RULES!$D$12,0,INT(($A7-SLOT_RULES!$D$12-1)/SLOT_RULES!$E$12)+1)*SLOT_RULES!$E$12</f>
        <v>46285</v>
      </c>
      <c r="N7" s="25">
        <f>SLOT_RULES!$D$13+IF($A7&lt;=SLOT_RULES!$D$13,0,INT(($A7-SLOT_RULES!$D$13-1)/SLOT_RULES!$E$13)+1)*SLOT_RULES!$E$13</f>
        <v>46321</v>
      </c>
      <c r="O7" s="25">
        <f>SLOT_RULES!$D$14+IF($A7&lt;=SLOT_RULES!$D$14,0,INT(($A7-SLOT_RULES!$D$14-1)/SLOT_RULES!$E$14)+1)*SLOT_RULES!$E$14</f>
        <v>46350</v>
      </c>
      <c r="P7" s="25">
        <f>SLOT_RULES!$D$15+IF($A7&lt;=SLOT_RULES!$D$15,0,INT(($A7-SLOT_RULES!$D$15-1)/SLOT_RULES!$E$15)+1)*SLOT_RULES!$E$15</f>
        <v>46422</v>
      </c>
      <c r="Q7" s="26">
        <f t="shared" si="0"/>
        <v>2</v>
      </c>
      <c r="R7" s="26">
        <f t="shared" si="1"/>
        <v>152</v>
      </c>
      <c r="S7" s="27" t="str">
        <f t="shared" si="2"/>
        <v>PASS</v>
      </c>
      <c r="T7" s="27" t="str">
        <f>IF((COUNTIF(LOCAL_REFERENCE!$D7:$O7,E7)+COUNTIF(LOCAL_REFERENCE!$D7:$O7,H7)+COUNTIF(LOCAL_REFERENCE!$D7:$O7,I7)+COUNTIF(LOCAL_REFERENCE!$D7:$O7,J7)+COUNTIF(LOCAL_REFERENCE!$D7:$O7,K7)+COUNTIF(LOCAL_REFERENCE!$D7:$O7,L7)+COUNTIF(LOCAL_REFERENCE!$D7:$O7,M7)+COUNTIF(LOCAL_REFERENCE!$D7:$O7,N7)+COUNTIF(LOCAL_REFERENCE!$D7:$O7,O7)+COUNTIF(LOCAL_REFERENCE!$D7:$O7,P7))=0,"PASS","FAIL")</f>
        <v>PASS</v>
      </c>
      <c r="U7" s="27" t="str">
        <f>IF((COUNTIF(VPS_REFERENCE!$D7:$H7,E7)+COUNTIF(VPS_REFERENCE!$D7:$H7,H7)+COUNTIF(VPS_REFERENCE!$D7:$H7,I7)+COUNTIF(VPS_REFERENCE!$D7:$H7,J7)+COUNTIF(VPS_REFERENCE!$D7:$H7,K7)+COUNTIF(VPS_REFERENCE!$D7:$H7,L7)+COUNTIF(VPS_REFERENCE!$D7:$H7,M7)+COUNTIF(VPS_REFERENCE!$D7:$H7,N7)+COUNTIF(VPS_REFERENCE!$D7:$H7,O7)+COUNTIF(VPS_REFERENCE!$D7:$H7,P7))=0,"PASS","FAIL")</f>
        <v>PASS</v>
      </c>
      <c r="V7" s="27" t="str">
        <f t="shared" si="3"/>
        <v>PASS</v>
      </c>
      <c r="W7" s="28" t="str">
        <f>CRAWL_LOG!B7</f>
        <v>Hoàn thành có lỗi</v>
      </c>
      <c r="X7" s="36" t="s">
        <v>57</v>
      </c>
    </row>
    <row r="8" spans="1:24">
      <c r="A8" s="23">
        <v>46271</v>
      </c>
      <c r="B8" s="24" t="s">
        <v>60</v>
      </c>
      <c r="C8" s="24" t="s">
        <v>54</v>
      </c>
      <c r="D8" s="24" t="s">
        <v>10</v>
      </c>
      <c r="E8" s="25">
        <f>SLOT_RULES!$D$4+IF($A8&lt;=SLOT_RULES!$D$4,0,INT(($A8-SLOT_RULES!$D$4-1)/SLOT_RULES!$E$4)+1)*SLOT_RULES!$E$4</f>
        <v>46297</v>
      </c>
      <c r="F8" s="63"/>
      <c r="G8" s="63"/>
      <c r="H8" s="25">
        <f>SLOT_RULES!$D$7+IF($A8&lt;=SLOT_RULES!$D$7,0,INT(($A8-SLOT_RULES!$D$7-1)/SLOT_RULES!$E$7)+1)*SLOT_RULES!$E$7</f>
        <v>46290</v>
      </c>
      <c r="I8" s="25">
        <f>SLOT_RULES!$D$8+IF($A8&lt;=SLOT_RULES!$D$8,0,INT(($A8-SLOT_RULES!$D$8-1)/SLOT_RULES!$E$8)+1)*SLOT_RULES!$E$8</f>
        <v>46272</v>
      </c>
      <c r="J8" s="25">
        <f>SLOT_RULES!$D$9+IF($A8&lt;=SLOT_RULES!$D$9,0,INT(($A8-SLOT_RULES!$D$9-1)/SLOT_RULES!$E$9)+1)*SLOT_RULES!$E$9</f>
        <v>46286</v>
      </c>
      <c r="K8" s="25">
        <f>SLOT_RULES!$D$10+IF($A8&lt;=SLOT_RULES!$D$10,0,INT(($A8-SLOT_RULES!$D$10-1)/SLOT_RULES!$E$10)+1)*SLOT_RULES!$E$10</f>
        <v>46273</v>
      </c>
      <c r="L8" s="25">
        <f>SLOT_RULES!$D$11+IF($A8&lt;=SLOT_RULES!$D$11,0,INT(($A8-SLOT_RULES!$D$11-1)/SLOT_RULES!$E$11)+1)*SLOT_RULES!$E$11</f>
        <v>46280</v>
      </c>
      <c r="M8" s="25">
        <f>SLOT_RULES!$D$12+IF($A8&lt;=SLOT_RULES!$D$12,0,INT(($A8-SLOT_RULES!$D$12-1)/SLOT_RULES!$E$12)+1)*SLOT_RULES!$E$12</f>
        <v>46285</v>
      </c>
      <c r="N8" s="25">
        <f>SLOT_RULES!$D$13+IF($A8&lt;=SLOT_RULES!$D$13,0,INT(($A8-SLOT_RULES!$D$13-1)/SLOT_RULES!$E$13)+1)*SLOT_RULES!$E$13</f>
        <v>46321</v>
      </c>
      <c r="O8" s="25">
        <f>SLOT_RULES!$D$14+IF($A8&lt;=SLOT_RULES!$D$14,0,INT(($A8-SLOT_RULES!$D$14-1)/SLOT_RULES!$E$14)+1)*SLOT_RULES!$E$14</f>
        <v>46350</v>
      </c>
      <c r="P8" s="25">
        <f>SLOT_RULES!$D$15+IF($A8&lt;=SLOT_RULES!$D$15,0,INT(($A8-SLOT_RULES!$D$15-1)/SLOT_RULES!$E$15)+1)*SLOT_RULES!$E$15</f>
        <v>46422</v>
      </c>
      <c r="Q8" s="26">
        <f t="shared" si="0"/>
        <v>1</v>
      </c>
      <c r="R8" s="26">
        <f t="shared" si="1"/>
        <v>151</v>
      </c>
      <c r="S8" s="27" t="str">
        <f t="shared" si="2"/>
        <v>PASS</v>
      </c>
      <c r="T8" s="27" t="str">
        <f>IF((COUNTIF(LOCAL_REFERENCE!$D8:$O8,E8)+COUNTIF(LOCAL_REFERENCE!$D8:$O8,H8)+COUNTIF(LOCAL_REFERENCE!$D8:$O8,I8)+COUNTIF(LOCAL_REFERENCE!$D8:$O8,J8)+COUNTIF(LOCAL_REFERENCE!$D8:$O8,K8)+COUNTIF(LOCAL_REFERENCE!$D8:$O8,L8)+COUNTIF(LOCAL_REFERENCE!$D8:$O8,M8)+COUNTIF(LOCAL_REFERENCE!$D8:$O8,N8)+COUNTIF(LOCAL_REFERENCE!$D8:$O8,O8)+COUNTIF(LOCAL_REFERENCE!$D8:$O8,P8))=0,"PASS","FAIL")</f>
        <v>PASS</v>
      </c>
      <c r="U8" s="27" t="str">
        <f>IF((COUNTIF(VPS_REFERENCE!$D8:$H8,E8)+COUNTIF(VPS_REFERENCE!$D8:$H8,H8)+COUNTIF(VPS_REFERENCE!$D8:$H8,I8)+COUNTIF(VPS_REFERENCE!$D8:$H8,J8)+COUNTIF(VPS_REFERENCE!$D8:$H8,K8)+COUNTIF(VPS_REFERENCE!$D8:$H8,L8)+COUNTIF(VPS_REFERENCE!$D8:$H8,M8)+COUNTIF(VPS_REFERENCE!$D8:$H8,N8)+COUNTIF(VPS_REFERENCE!$D8:$H8,O8)+COUNTIF(VPS_REFERENCE!$D8:$H8,P8))=0,"PASS","FAIL")</f>
        <v>PASS</v>
      </c>
      <c r="V8" s="27" t="str">
        <f t="shared" si="3"/>
        <v>PASS</v>
      </c>
      <c r="W8" s="28" t="str">
        <f>CRAWL_LOG!B8</f>
        <v>Hoàn thành có lỗi</v>
      </c>
      <c r="X8" s="36" t="s">
        <v>57</v>
      </c>
    </row>
    <row r="9" spans="1:24">
      <c r="A9" s="23">
        <v>46272</v>
      </c>
      <c r="B9" s="24" t="s">
        <v>61</v>
      </c>
      <c r="C9" s="24" t="s">
        <v>54</v>
      </c>
      <c r="D9" s="24" t="s">
        <v>10</v>
      </c>
      <c r="E9" s="25">
        <f>SLOT_RULES!$D$4+IF($A9&lt;=SLOT_RULES!$D$4,0,INT(($A9-SLOT_RULES!$D$4-1)/SLOT_RULES!$E$4)+1)*SLOT_RULES!$E$4</f>
        <v>46297</v>
      </c>
      <c r="F9" s="63"/>
      <c r="G9" s="63"/>
      <c r="H9" s="25">
        <f>SLOT_RULES!$D$7+IF($A9&lt;=SLOT_RULES!$D$7,0,INT(($A9-SLOT_RULES!$D$7-1)/SLOT_RULES!$E$7)+1)*SLOT_RULES!$E$7</f>
        <v>46290</v>
      </c>
      <c r="I9" s="25">
        <f>SLOT_RULES!$D$8+IF($A9&lt;=SLOT_RULES!$D$8,0,INT(($A9-SLOT_RULES!$D$8-1)/SLOT_RULES!$E$8)+1)*SLOT_RULES!$E$8</f>
        <v>46272</v>
      </c>
      <c r="J9" s="25">
        <f>SLOT_RULES!$D$9+IF($A9&lt;=SLOT_RULES!$D$9,0,INT(($A9-SLOT_RULES!$D$9-1)/SLOT_RULES!$E$9)+1)*SLOT_RULES!$E$9</f>
        <v>46286</v>
      </c>
      <c r="K9" s="25">
        <f>SLOT_RULES!$D$10+IF($A9&lt;=SLOT_RULES!$D$10,0,INT(($A9-SLOT_RULES!$D$10-1)/SLOT_RULES!$E$10)+1)*SLOT_RULES!$E$10</f>
        <v>46273</v>
      </c>
      <c r="L9" s="25">
        <f>SLOT_RULES!$D$11+IF($A9&lt;=SLOT_RULES!$D$11,0,INT(($A9-SLOT_RULES!$D$11-1)/SLOT_RULES!$E$11)+1)*SLOT_RULES!$E$11</f>
        <v>46280</v>
      </c>
      <c r="M9" s="25">
        <f>SLOT_RULES!$D$12+IF($A9&lt;=SLOT_RULES!$D$12,0,INT(($A9-SLOT_RULES!$D$12-1)/SLOT_RULES!$E$12)+1)*SLOT_RULES!$E$12</f>
        <v>46285</v>
      </c>
      <c r="N9" s="25">
        <f>SLOT_RULES!$D$13+IF($A9&lt;=SLOT_RULES!$D$13,0,INT(($A9-SLOT_RULES!$D$13-1)/SLOT_RULES!$E$13)+1)*SLOT_RULES!$E$13</f>
        <v>46321</v>
      </c>
      <c r="O9" s="25">
        <f>SLOT_RULES!$D$14+IF($A9&lt;=SLOT_RULES!$D$14,0,INT(($A9-SLOT_RULES!$D$14-1)/SLOT_RULES!$E$14)+1)*SLOT_RULES!$E$14</f>
        <v>46350</v>
      </c>
      <c r="P9" s="25">
        <f>SLOT_RULES!$D$15+IF($A9&lt;=SLOT_RULES!$D$15,0,INT(($A9-SLOT_RULES!$D$15-1)/SLOT_RULES!$E$15)+1)*SLOT_RULES!$E$15</f>
        <v>46422</v>
      </c>
      <c r="Q9" s="26">
        <f t="shared" si="0"/>
        <v>0</v>
      </c>
      <c r="R9" s="26">
        <f t="shared" si="1"/>
        <v>150</v>
      </c>
      <c r="S9" s="27" t="str">
        <f t="shared" si="2"/>
        <v>PASS</v>
      </c>
      <c r="T9" s="27" t="str">
        <f>IF((COUNTIF(LOCAL_REFERENCE!$D9:$O9,E9)+COUNTIF(LOCAL_REFERENCE!$D9:$O9,H9)+COUNTIF(LOCAL_REFERENCE!$D9:$O9,I9)+COUNTIF(LOCAL_REFERENCE!$D9:$O9,J9)+COUNTIF(LOCAL_REFERENCE!$D9:$O9,K9)+COUNTIF(LOCAL_REFERENCE!$D9:$O9,L9)+COUNTIF(LOCAL_REFERENCE!$D9:$O9,M9)+COUNTIF(LOCAL_REFERENCE!$D9:$O9,N9)+COUNTIF(LOCAL_REFERENCE!$D9:$O9,O9)+COUNTIF(LOCAL_REFERENCE!$D9:$O9,P9))=0,"PASS","FAIL")</f>
        <v>PASS</v>
      </c>
      <c r="U9" s="27" t="str">
        <f>IF((COUNTIF(VPS_REFERENCE!$D9:$H9,E9)+COUNTIF(VPS_REFERENCE!$D9:$H9,H9)+COUNTIF(VPS_REFERENCE!$D9:$H9,I9)+COUNTIF(VPS_REFERENCE!$D9:$H9,J9)+COUNTIF(VPS_REFERENCE!$D9:$H9,K9)+COUNTIF(VPS_REFERENCE!$D9:$H9,L9)+COUNTIF(VPS_REFERENCE!$D9:$H9,M9)+COUNTIF(VPS_REFERENCE!$D9:$H9,N9)+COUNTIF(VPS_REFERENCE!$D9:$H9,O9)+COUNTIF(VPS_REFERENCE!$D9:$H9,P9))=0,"PASS","FAIL")</f>
        <v>PASS</v>
      </c>
      <c r="V9" s="27" t="str">
        <f t="shared" si="3"/>
        <v>PASS</v>
      </c>
      <c r="W9" s="28" t="str">
        <f>CRAWL_LOG!B9</f>
        <v>Hoàn thành có lỗi</v>
      </c>
      <c r="X9" s="36" t="s">
        <v>57</v>
      </c>
    </row>
    <row r="10" spans="1:24">
      <c r="A10" s="23">
        <v>46273</v>
      </c>
      <c r="B10" s="24" t="s">
        <v>62</v>
      </c>
      <c r="C10" s="24" t="s">
        <v>54</v>
      </c>
      <c r="D10" s="24" t="s">
        <v>10</v>
      </c>
      <c r="E10" s="25">
        <f>SLOT_RULES!$D$4+IF($A10&lt;=SLOT_RULES!$D$4,0,INT(($A10-SLOT_RULES!$D$4-1)/SLOT_RULES!$E$4)+1)*SLOT_RULES!$E$4</f>
        <v>46297</v>
      </c>
      <c r="F10" s="63"/>
      <c r="G10" s="63"/>
      <c r="H10" s="25">
        <f>SLOT_RULES!$D$7+IF($A10&lt;=SLOT_RULES!$D$7,0,INT(($A10-SLOT_RULES!$D$7-1)/SLOT_RULES!$E$7)+1)*SLOT_RULES!$E$7</f>
        <v>46290</v>
      </c>
      <c r="I10" s="25">
        <f>SLOT_RULES!$D$8+IF($A10&lt;=SLOT_RULES!$D$8,0,INT(($A10-SLOT_RULES!$D$8-1)/SLOT_RULES!$E$8)+1)*SLOT_RULES!$E$8</f>
        <v>46300</v>
      </c>
      <c r="J10" s="25">
        <f>SLOT_RULES!$D$9+IF($A10&lt;=SLOT_RULES!$D$9,0,INT(($A10-SLOT_RULES!$D$9-1)/SLOT_RULES!$E$9)+1)*SLOT_RULES!$E$9</f>
        <v>46286</v>
      </c>
      <c r="K10" s="25">
        <f>SLOT_RULES!$D$10+IF($A10&lt;=SLOT_RULES!$D$10,0,INT(($A10-SLOT_RULES!$D$10-1)/SLOT_RULES!$E$10)+1)*SLOT_RULES!$E$10</f>
        <v>46273</v>
      </c>
      <c r="L10" s="25">
        <f>SLOT_RULES!$D$11+IF($A10&lt;=SLOT_RULES!$D$11,0,INT(($A10-SLOT_RULES!$D$11-1)/SLOT_RULES!$E$11)+1)*SLOT_RULES!$E$11</f>
        <v>46280</v>
      </c>
      <c r="M10" s="25">
        <f>SLOT_RULES!$D$12+IF($A10&lt;=SLOT_RULES!$D$12,0,INT(($A10-SLOT_RULES!$D$12-1)/SLOT_RULES!$E$12)+1)*SLOT_RULES!$E$12</f>
        <v>46285</v>
      </c>
      <c r="N10" s="25">
        <f>SLOT_RULES!$D$13+IF($A10&lt;=SLOT_RULES!$D$13,0,INT(($A10-SLOT_RULES!$D$13-1)/SLOT_RULES!$E$13)+1)*SLOT_RULES!$E$13</f>
        <v>46321</v>
      </c>
      <c r="O10" s="25">
        <f>SLOT_RULES!$D$14+IF($A10&lt;=SLOT_RULES!$D$14,0,INT(($A10-SLOT_RULES!$D$14-1)/SLOT_RULES!$E$14)+1)*SLOT_RULES!$E$14</f>
        <v>46350</v>
      </c>
      <c r="P10" s="25">
        <f>SLOT_RULES!$D$15+IF($A10&lt;=SLOT_RULES!$D$15,0,INT(($A10-SLOT_RULES!$D$15-1)/SLOT_RULES!$E$15)+1)*SLOT_RULES!$E$15</f>
        <v>46422</v>
      </c>
      <c r="Q10" s="26">
        <f t="shared" si="0"/>
        <v>0</v>
      </c>
      <c r="R10" s="26">
        <f t="shared" si="1"/>
        <v>149</v>
      </c>
      <c r="S10" s="27" t="str">
        <f t="shared" si="2"/>
        <v>PASS</v>
      </c>
      <c r="T10" s="27" t="str">
        <f>IF((COUNTIF(LOCAL_REFERENCE!$D10:$O10,E10)+COUNTIF(LOCAL_REFERENCE!$D10:$O10,H10)+COUNTIF(LOCAL_REFERENCE!$D10:$O10,I10)+COUNTIF(LOCAL_REFERENCE!$D10:$O10,J10)+COUNTIF(LOCAL_REFERENCE!$D10:$O10,K10)+COUNTIF(LOCAL_REFERENCE!$D10:$O10,L10)+COUNTIF(LOCAL_REFERENCE!$D10:$O10,M10)+COUNTIF(LOCAL_REFERENCE!$D10:$O10,N10)+COUNTIF(LOCAL_REFERENCE!$D10:$O10,O10)+COUNTIF(LOCAL_REFERENCE!$D10:$O10,P10))=0,"PASS","FAIL")</f>
        <v>PASS</v>
      </c>
      <c r="U10" s="27" t="str">
        <f>IF((COUNTIF(VPS_REFERENCE!$D10:$H10,E10)+COUNTIF(VPS_REFERENCE!$D10:$H10,H10)+COUNTIF(VPS_REFERENCE!$D10:$H10,I10)+COUNTIF(VPS_REFERENCE!$D10:$H10,J10)+COUNTIF(VPS_REFERENCE!$D10:$H10,K10)+COUNTIF(VPS_REFERENCE!$D10:$H10,L10)+COUNTIF(VPS_REFERENCE!$D10:$H10,M10)+COUNTIF(VPS_REFERENCE!$D10:$H10,N10)+COUNTIF(VPS_REFERENCE!$D10:$H10,O10)+COUNTIF(VPS_REFERENCE!$D10:$H10,P10))=0,"PASS","FAIL")</f>
        <v>PASS</v>
      </c>
      <c r="V10" s="27" t="str">
        <f t="shared" si="3"/>
        <v>PASS</v>
      </c>
      <c r="W10" s="28" t="str">
        <f>CRAWL_LOG!B10</f>
        <v>Hoàn thành có lỗi</v>
      </c>
      <c r="X10" s="36" t="s">
        <v>57</v>
      </c>
    </row>
    <row r="11" spans="1:24">
      <c r="A11" s="23">
        <v>46274</v>
      </c>
      <c r="B11" s="24" t="s">
        <v>53</v>
      </c>
      <c r="C11" s="24" t="s">
        <v>54</v>
      </c>
      <c r="D11" s="24" t="s">
        <v>10</v>
      </c>
      <c r="E11" s="25">
        <f>SLOT_RULES!$D$4+IF($A11&lt;=SLOT_RULES!$D$4,0,INT(($A11-SLOT_RULES!$D$4-1)/SLOT_RULES!$E$4)+1)*SLOT_RULES!$E$4</f>
        <v>46297</v>
      </c>
      <c r="F11" s="63"/>
      <c r="G11" s="63"/>
      <c r="H11" s="25">
        <f>SLOT_RULES!$D$7+IF($A11&lt;=SLOT_RULES!$D$7,0,INT(($A11-SLOT_RULES!$D$7-1)/SLOT_RULES!$E$7)+1)*SLOT_RULES!$E$7</f>
        <v>46290</v>
      </c>
      <c r="I11" s="25">
        <f>SLOT_RULES!$D$8+IF($A11&lt;=SLOT_RULES!$D$8,0,INT(($A11-SLOT_RULES!$D$8-1)/SLOT_RULES!$E$8)+1)*SLOT_RULES!$E$8</f>
        <v>46300</v>
      </c>
      <c r="J11" s="25">
        <f>SLOT_RULES!$D$9+IF($A11&lt;=SLOT_RULES!$D$9,0,INT(($A11-SLOT_RULES!$D$9-1)/SLOT_RULES!$E$9)+1)*SLOT_RULES!$E$9</f>
        <v>46286</v>
      </c>
      <c r="K11" s="25">
        <f>SLOT_RULES!$D$10+IF($A11&lt;=SLOT_RULES!$D$10,0,INT(($A11-SLOT_RULES!$D$10-1)/SLOT_RULES!$E$10)+1)*SLOT_RULES!$E$10</f>
        <v>46301</v>
      </c>
      <c r="L11" s="25">
        <f>SLOT_RULES!$D$11+IF($A11&lt;=SLOT_RULES!$D$11,0,INT(($A11-SLOT_RULES!$D$11-1)/SLOT_RULES!$E$11)+1)*SLOT_RULES!$E$11</f>
        <v>46280</v>
      </c>
      <c r="M11" s="25">
        <f>SLOT_RULES!$D$12+IF($A11&lt;=SLOT_RULES!$D$12,0,INT(($A11-SLOT_RULES!$D$12-1)/SLOT_RULES!$E$12)+1)*SLOT_RULES!$E$12</f>
        <v>46285</v>
      </c>
      <c r="N11" s="25">
        <f>SLOT_RULES!$D$13+IF($A11&lt;=SLOT_RULES!$D$13,0,INT(($A11-SLOT_RULES!$D$13-1)/SLOT_RULES!$E$13)+1)*SLOT_RULES!$E$13</f>
        <v>46321</v>
      </c>
      <c r="O11" s="25">
        <f>SLOT_RULES!$D$14+IF($A11&lt;=SLOT_RULES!$D$14,0,INT(($A11-SLOT_RULES!$D$14-1)/SLOT_RULES!$E$14)+1)*SLOT_RULES!$E$14</f>
        <v>46350</v>
      </c>
      <c r="P11" s="25">
        <f>SLOT_RULES!$D$15+IF($A11&lt;=SLOT_RULES!$D$15,0,INT(($A11-SLOT_RULES!$D$15-1)/SLOT_RULES!$E$15)+1)*SLOT_RULES!$E$15</f>
        <v>46422</v>
      </c>
      <c r="Q11" s="26">
        <f t="shared" si="0"/>
        <v>6</v>
      </c>
      <c r="R11" s="26">
        <f t="shared" si="1"/>
        <v>148</v>
      </c>
      <c r="S11" s="27" t="str">
        <f t="shared" si="2"/>
        <v>PASS</v>
      </c>
      <c r="T11" s="27" t="str">
        <f>IF((COUNTIF(LOCAL_REFERENCE!$D11:$O11,E11)+COUNTIF(LOCAL_REFERENCE!$D11:$O11,H11)+COUNTIF(LOCAL_REFERENCE!$D11:$O11,I11)+COUNTIF(LOCAL_REFERENCE!$D11:$O11,J11)+COUNTIF(LOCAL_REFERENCE!$D11:$O11,K11)+COUNTIF(LOCAL_REFERENCE!$D11:$O11,L11)+COUNTIF(LOCAL_REFERENCE!$D11:$O11,M11)+COUNTIF(LOCAL_REFERENCE!$D11:$O11,N11)+COUNTIF(LOCAL_REFERENCE!$D11:$O11,O11)+COUNTIF(LOCAL_REFERENCE!$D11:$O11,P11))=0,"PASS","FAIL")</f>
        <v>PASS</v>
      </c>
      <c r="U11" s="27" t="str">
        <f>IF((COUNTIF(VPS_REFERENCE!$D11:$H11,E11)+COUNTIF(VPS_REFERENCE!$D11:$H11,H11)+COUNTIF(VPS_REFERENCE!$D11:$H11,I11)+COUNTIF(VPS_REFERENCE!$D11:$H11,J11)+COUNTIF(VPS_REFERENCE!$D11:$H11,K11)+COUNTIF(VPS_REFERENCE!$D11:$H11,L11)+COUNTIF(VPS_REFERENCE!$D11:$H11,M11)+COUNTIF(VPS_REFERENCE!$D11:$H11,N11)+COUNTIF(VPS_REFERENCE!$D11:$H11,O11)+COUNTIF(VPS_REFERENCE!$D11:$H11,P11))=0,"PASS","FAIL")</f>
        <v>PASS</v>
      </c>
      <c r="V11" s="27" t="str">
        <f t="shared" si="3"/>
        <v>PASS</v>
      </c>
      <c r="W11" s="28" t="str">
        <f>CRAWL_LOG!B11</f>
        <v>Hoàn thành có lỗi</v>
      </c>
      <c r="X11" s="36" t="s">
        <v>57</v>
      </c>
    </row>
    <row r="12" spans="1:24">
      <c r="A12" s="23">
        <v>46275</v>
      </c>
      <c r="B12" s="24" t="s">
        <v>56</v>
      </c>
      <c r="C12" s="24" t="s">
        <v>54</v>
      </c>
      <c r="D12" s="24" t="s">
        <v>10</v>
      </c>
      <c r="E12" s="25">
        <f>SLOT_RULES!$D$4+IF($A12&lt;=SLOT_RULES!$D$4,0,INT(($A12-SLOT_RULES!$D$4-1)/SLOT_RULES!$E$4)+1)*SLOT_RULES!$E$4</f>
        <v>46297</v>
      </c>
      <c r="F12" s="63"/>
      <c r="G12" s="63"/>
      <c r="H12" s="25">
        <f>SLOT_RULES!$D$7+IF($A12&lt;=SLOT_RULES!$D$7,0,INT(($A12-SLOT_RULES!$D$7-1)/SLOT_RULES!$E$7)+1)*SLOT_RULES!$E$7</f>
        <v>46290</v>
      </c>
      <c r="I12" s="25">
        <f>SLOT_RULES!$D$8+IF($A12&lt;=SLOT_RULES!$D$8,0,INT(($A12-SLOT_RULES!$D$8-1)/SLOT_RULES!$E$8)+1)*SLOT_RULES!$E$8</f>
        <v>46300</v>
      </c>
      <c r="J12" s="25">
        <f>SLOT_RULES!$D$9+IF($A12&lt;=SLOT_RULES!$D$9,0,INT(($A12-SLOT_RULES!$D$9-1)/SLOT_RULES!$E$9)+1)*SLOT_RULES!$E$9</f>
        <v>46286</v>
      </c>
      <c r="K12" s="25">
        <f>SLOT_RULES!$D$10+IF($A12&lt;=SLOT_RULES!$D$10,0,INT(($A12-SLOT_RULES!$D$10-1)/SLOT_RULES!$E$10)+1)*SLOT_RULES!$E$10</f>
        <v>46301</v>
      </c>
      <c r="L12" s="25">
        <f>SLOT_RULES!$D$11+IF($A12&lt;=SLOT_RULES!$D$11,0,INT(($A12-SLOT_RULES!$D$11-1)/SLOT_RULES!$E$11)+1)*SLOT_RULES!$E$11</f>
        <v>46280</v>
      </c>
      <c r="M12" s="25">
        <f>SLOT_RULES!$D$12+IF($A12&lt;=SLOT_RULES!$D$12,0,INT(($A12-SLOT_RULES!$D$12-1)/SLOT_RULES!$E$12)+1)*SLOT_RULES!$E$12</f>
        <v>46285</v>
      </c>
      <c r="N12" s="25">
        <f>SLOT_RULES!$D$13+IF($A12&lt;=SLOT_RULES!$D$13,0,INT(($A12-SLOT_RULES!$D$13-1)/SLOT_RULES!$E$13)+1)*SLOT_RULES!$E$13</f>
        <v>46321</v>
      </c>
      <c r="O12" s="25">
        <f>SLOT_RULES!$D$14+IF($A12&lt;=SLOT_RULES!$D$14,0,INT(($A12-SLOT_RULES!$D$14-1)/SLOT_RULES!$E$14)+1)*SLOT_RULES!$E$14</f>
        <v>46350</v>
      </c>
      <c r="P12" s="25">
        <f>SLOT_RULES!$D$15+IF($A12&lt;=SLOT_RULES!$D$15,0,INT(($A12-SLOT_RULES!$D$15-1)/SLOT_RULES!$E$15)+1)*SLOT_RULES!$E$15</f>
        <v>46422</v>
      </c>
      <c r="Q12" s="26">
        <f t="shared" si="0"/>
        <v>5</v>
      </c>
      <c r="R12" s="26">
        <f t="shared" si="1"/>
        <v>147</v>
      </c>
      <c r="S12" s="27" t="str">
        <f t="shared" si="2"/>
        <v>PASS</v>
      </c>
      <c r="T12" s="27" t="str">
        <f>IF((COUNTIF(LOCAL_REFERENCE!$D12:$O12,E12)+COUNTIF(LOCAL_REFERENCE!$D12:$O12,H12)+COUNTIF(LOCAL_REFERENCE!$D12:$O12,I12)+COUNTIF(LOCAL_REFERENCE!$D12:$O12,J12)+COUNTIF(LOCAL_REFERENCE!$D12:$O12,K12)+COUNTIF(LOCAL_REFERENCE!$D12:$O12,L12)+COUNTIF(LOCAL_REFERENCE!$D12:$O12,M12)+COUNTIF(LOCAL_REFERENCE!$D12:$O12,N12)+COUNTIF(LOCAL_REFERENCE!$D12:$O12,O12)+COUNTIF(LOCAL_REFERENCE!$D12:$O12,P12))=0,"PASS","FAIL")</f>
        <v>PASS</v>
      </c>
      <c r="U12" s="27" t="str">
        <f>IF((COUNTIF(VPS_REFERENCE!$D12:$H12,E12)+COUNTIF(VPS_REFERENCE!$D12:$H12,H12)+COUNTIF(VPS_REFERENCE!$D12:$H12,I12)+COUNTIF(VPS_REFERENCE!$D12:$H12,J12)+COUNTIF(VPS_REFERENCE!$D12:$H12,K12)+COUNTIF(VPS_REFERENCE!$D12:$H12,L12)+COUNTIF(VPS_REFERENCE!$D12:$H12,M12)+COUNTIF(VPS_REFERENCE!$D12:$H12,N12)+COUNTIF(VPS_REFERENCE!$D12:$H12,O12)+COUNTIF(VPS_REFERENCE!$D12:$H12,P12))=0,"PASS","FAIL")</f>
        <v>PASS</v>
      </c>
      <c r="V12" s="27" t="str">
        <f t="shared" si="3"/>
        <v>PASS</v>
      </c>
      <c r="W12" s="28" t="str">
        <f>CRAWL_LOG!B12</f>
        <v>Hoàn thành có lỗi</v>
      </c>
      <c r="X12" s="36" t="s">
        <v>57</v>
      </c>
    </row>
    <row r="13" spans="1:24">
      <c r="A13" s="23">
        <v>46276</v>
      </c>
      <c r="B13" s="24" t="s">
        <v>58</v>
      </c>
      <c r="C13" s="24" t="s">
        <v>54</v>
      </c>
      <c r="D13" s="24" t="s">
        <v>10</v>
      </c>
      <c r="E13" s="25">
        <f>SLOT_RULES!$D$4+IF($A13&lt;=SLOT_RULES!$D$4,0,INT(($A13-SLOT_RULES!$D$4-1)/SLOT_RULES!$E$4)+1)*SLOT_RULES!$E$4</f>
        <v>46297</v>
      </c>
      <c r="F13" s="63"/>
      <c r="G13" s="63"/>
      <c r="H13" s="25">
        <f>SLOT_RULES!$D$7+IF($A13&lt;=SLOT_RULES!$D$7,0,INT(($A13-SLOT_RULES!$D$7-1)/SLOT_RULES!$E$7)+1)*SLOT_RULES!$E$7</f>
        <v>46290</v>
      </c>
      <c r="I13" s="25">
        <f>SLOT_RULES!$D$8+IF($A13&lt;=SLOT_RULES!$D$8,0,INT(($A13-SLOT_RULES!$D$8-1)/SLOT_RULES!$E$8)+1)*SLOT_RULES!$E$8</f>
        <v>46300</v>
      </c>
      <c r="J13" s="25">
        <f>SLOT_RULES!$D$9+IF($A13&lt;=SLOT_RULES!$D$9,0,INT(($A13-SLOT_RULES!$D$9-1)/SLOT_RULES!$E$9)+1)*SLOT_RULES!$E$9</f>
        <v>46286</v>
      </c>
      <c r="K13" s="25">
        <f>SLOT_RULES!$D$10+IF($A13&lt;=SLOT_RULES!$D$10,0,INT(($A13-SLOT_RULES!$D$10-1)/SLOT_RULES!$E$10)+1)*SLOT_RULES!$E$10</f>
        <v>46301</v>
      </c>
      <c r="L13" s="25">
        <f>SLOT_RULES!$D$11+IF($A13&lt;=SLOT_RULES!$D$11,0,INT(($A13-SLOT_RULES!$D$11-1)/SLOT_RULES!$E$11)+1)*SLOT_RULES!$E$11</f>
        <v>46280</v>
      </c>
      <c r="M13" s="25">
        <f>SLOT_RULES!$D$12+IF($A13&lt;=SLOT_RULES!$D$12,0,INT(($A13-SLOT_RULES!$D$12-1)/SLOT_RULES!$E$12)+1)*SLOT_RULES!$E$12</f>
        <v>46285</v>
      </c>
      <c r="N13" s="25">
        <f>SLOT_RULES!$D$13+IF($A13&lt;=SLOT_RULES!$D$13,0,INT(($A13-SLOT_RULES!$D$13-1)/SLOT_RULES!$E$13)+1)*SLOT_RULES!$E$13</f>
        <v>46321</v>
      </c>
      <c r="O13" s="25">
        <f>SLOT_RULES!$D$14+IF($A13&lt;=SLOT_RULES!$D$14,0,INT(($A13-SLOT_RULES!$D$14-1)/SLOT_RULES!$E$14)+1)*SLOT_RULES!$E$14</f>
        <v>46350</v>
      </c>
      <c r="P13" s="25">
        <f>SLOT_RULES!$D$15+IF($A13&lt;=SLOT_RULES!$D$15,0,INT(($A13-SLOT_RULES!$D$15-1)/SLOT_RULES!$E$15)+1)*SLOT_RULES!$E$15</f>
        <v>46422</v>
      </c>
      <c r="Q13" s="26">
        <f t="shared" si="0"/>
        <v>4</v>
      </c>
      <c r="R13" s="26">
        <f t="shared" si="1"/>
        <v>146</v>
      </c>
      <c r="S13" s="27" t="str">
        <f t="shared" si="2"/>
        <v>PASS</v>
      </c>
      <c r="T13" s="27" t="str">
        <f>IF((COUNTIF(LOCAL_REFERENCE!$D13:$O13,E13)+COUNTIF(LOCAL_REFERENCE!$D13:$O13,H13)+COUNTIF(LOCAL_REFERENCE!$D13:$O13,I13)+COUNTIF(LOCAL_REFERENCE!$D13:$O13,J13)+COUNTIF(LOCAL_REFERENCE!$D13:$O13,K13)+COUNTIF(LOCAL_REFERENCE!$D13:$O13,L13)+COUNTIF(LOCAL_REFERENCE!$D13:$O13,M13)+COUNTIF(LOCAL_REFERENCE!$D13:$O13,N13)+COUNTIF(LOCAL_REFERENCE!$D13:$O13,O13)+COUNTIF(LOCAL_REFERENCE!$D13:$O13,P13))=0,"PASS","FAIL")</f>
        <v>PASS</v>
      </c>
      <c r="U13" s="27" t="str">
        <f>IF((COUNTIF(VPS_REFERENCE!$D13:$H13,E13)+COUNTIF(VPS_REFERENCE!$D13:$H13,H13)+COUNTIF(VPS_REFERENCE!$D13:$H13,I13)+COUNTIF(VPS_REFERENCE!$D13:$H13,J13)+COUNTIF(VPS_REFERENCE!$D13:$H13,K13)+COUNTIF(VPS_REFERENCE!$D13:$H13,L13)+COUNTIF(VPS_REFERENCE!$D13:$H13,M13)+COUNTIF(VPS_REFERENCE!$D13:$H13,N13)+COUNTIF(VPS_REFERENCE!$D13:$H13,O13)+COUNTIF(VPS_REFERENCE!$D13:$H13,P13))=0,"PASS","FAIL")</f>
        <v>PASS</v>
      </c>
      <c r="V13" s="27" t="str">
        <f t="shared" si="3"/>
        <v>PASS</v>
      </c>
      <c r="W13" s="28" t="str">
        <f>CRAWL_LOG!B13</f>
        <v>Hoàn thành có lỗi</v>
      </c>
      <c r="X13" s="36" t="s">
        <v>57</v>
      </c>
    </row>
    <row r="14" spans="1:24">
      <c r="A14" s="23">
        <v>46277</v>
      </c>
      <c r="B14" s="24" t="s">
        <v>59</v>
      </c>
      <c r="C14" s="24" t="s">
        <v>54</v>
      </c>
      <c r="D14" s="24" t="s">
        <v>10</v>
      </c>
      <c r="E14" s="25">
        <f>SLOT_RULES!$D$4+IF($A14&lt;=SLOT_RULES!$D$4,0,INT(($A14-SLOT_RULES!$D$4-1)/SLOT_RULES!$E$4)+1)*SLOT_RULES!$E$4</f>
        <v>46297</v>
      </c>
      <c r="F14" s="63"/>
      <c r="G14" s="63"/>
      <c r="H14" s="25">
        <f>SLOT_RULES!$D$7+IF($A14&lt;=SLOT_RULES!$D$7,0,INT(($A14-SLOT_RULES!$D$7-1)/SLOT_RULES!$E$7)+1)*SLOT_RULES!$E$7</f>
        <v>46290</v>
      </c>
      <c r="I14" s="25">
        <f>SLOT_RULES!$D$8+IF($A14&lt;=SLOT_RULES!$D$8,0,INT(($A14-SLOT_RULES!$D$8-1)/SLOT_RULES!$E$8)+1)*SLOT_RULES!$E$8</f>
        <v>46300</v>
      </c>
      <c r="J14" s="25">
        <f>SLOT_RULES!$D$9+IF($A14&lt;=SLOT_RULES!$D$9,0,INT(($A14-SLOT_RULES!$D$9-1)/SLOT_RULES!$E$9)+1)*SLOT_RULES!$E$9</f>
        <v>46286</v>
      </c>
      <c r="K14" s="25">
        <f>SLOT_RULES!$D$10+IF($A14&lt;=SLOT_RULES!$D$10,0,INT(($A14-SLOT_RULES!$D$10-1)/SLOT_RULES!$E$10)+1)*SLOT_RULES!$E$10</f>
        <v>46301</v>
      </c>
      <c r="L14" s="25">
        <f>SLOT_RULES!$D$11+IF($A14&lt;=SLOT_RULES!$D$11,0,INT(($A14-SLOT_RULES!$D$11-1)/SLOT_RULES!$E$11)+1)*SLOT_RULES!$E$11</f>
        <v>46280</v>
      </c>
      <c r="M14" s="25">
        <f>SLOT_RULES!$D$12+IF($A14&lt;=SLOT_RULES!$D$12,0,INT(($A14-SLOT_RULES!$D$12-1)/SLOT_RULES!$E$12)+1)*SLOT_RULES!$E$12</f>
        <v>46285</v>
      </c>
      <c r="N14" s="25">
        <f>SLOT_RULES!$D$13+IF($A14&lt;=SLOT_RULES!$D$13,0,INT(($A14-SLOT_RULES!$D$13-1)/SLOT_RULES!$E$13)+1)*SLOT_RULES!$E$13</f>
        <v>46321</v>
      </c>
      <c r="O14" s="25">
        <f>SLOT_RULES!$D$14+IF($A14&lt;=SLOT_RULES!$D$14,0,INT(($A14-SLOT_RULES!$D$14-1)/SLOT_RULES!$E$14)+1)*SLOT_RULES!$E$14</f>
        <v>46350</v>
      </c>
      <c r="P14" s="25">
        <f>SLOT_RULES!$D$15+IF($A14&lt;=SLOT_RULES!$D$15,0,INT(($A14-SLOT_RULES!$D$15-1)/SLOT_RULES!$E$15)+1)*SLOT_RULES!$E$15</f>
        <v>46422</v>
      </c>
      <c r="Q14" s="26">
        <f t="shared" si="0"/>
        <v>3</v>
      </c>
      <c r="R14" s="26">
        <f t="shared" si="1"/>
        <v>145</v>
      </c>
      <c r="S14" s="27" t="str">
        <f t="shared" si="2"/>
        <v>PASS</v>
      </c>
      <c r="T14" s="27" t="str">
        <f>IF((COUNTIF(LOCAL_REFERENCE!$D14:$O14,E14)+COUNTIF(LOCAL_REFERENCE!$D14:$O14,H14)+COUNTIF(LOCAL_REFERENCE!$D14:$O14,I14)+COUNTIF(LOCAL_REFERENCE!$D14:$O14,J14)+COUNTIF(LOCAL_REFERENCE!$D14:$O14,K14)+COUNTIF(LOCAL_REFERENCE!$D14:$O14,L14)+COUNTIF(LOCAL_REFERENCE!$D14:$O14,M14)+COUNTIF(LOCAL_REFERENCE!$D14:$O14,N14)+COUNTIF(LOCAL_REFERENCE!$D14:$O14,O14)+COUNTIF(LOCAL_REFERENCE!$D14:$O14,P14))=0,"PASS","FAIL")</f>
        <v>PASS</v>
      </c>
      <c r="U14" s="27" t="str">
        <f>IF((COUNTIF(VPS_REFERENCE!$D14:$H14,E14)+COUNTIF(VPS_REFERENCE!$D14:$H14,H14)+COUNTIF(VPS_REFERENCE!$D14:$H14,I14)+COUNTIF(VPS_REFERENCE!$D14:$H14,J14)+COUNTIF(VPS_REFERENCE!$D14:$H14,K14)+COUNTIF(VPS_REFERENCE!$D14:$H14,L14)+COUNTIF(VPS_REFERENCE!$D14:$H14,M14)+COUNTIF(VPS_REFERENCE!$D14:$H14,N14)+COUNTIF(VPS_REFERENCE!$D14:$H14,O14)+COUNTIF(VPS_REFERENCE!$D14:$H14,P14))=0,"PASS","FAIL")</f>
        <v>PASS</v>
      </c>
      <c r="V14" s="27" t="str">
        <f t="shared" si="3"/>
        <v>PASS</v>
      </c>
      <c r="W14" s="28" t="str">
        <f>CRAWL_LOG!B14</f>
        <v>Hoàn thành có lỗi</v>
      </c>
      <c r="X14" s="36" t="s">
        <v>57</v>
      </c>
    </row>
    <row r="15" spans="1:24">
      <c r="A15" s="23">
        <v>46278</v>
      </c>
      <c r="B15" s="24" t="s">
        <v>60</v>
      </c>
      <c r="C15" s="24" t="s">
        <v>54</v>
      </c>
      <c r="D15" s="24" t="s">
        <v>10</v>
      </c>
      <c r="E15" s="25">
        <f>SLOT_RULES!$D$4+IF($A15&lt;=SLOT_RULES!$D$4,0,INT(($A15-SLOT_RULES!$D$4-1)/SLOT_RULES!$E$4)+1)*SLOT_RULES!$E$4</f>
        <v>46297</v>
      </c>
      <c r="F15" s="63"/>
      <c r="G15" s="63"/>
      <c r="H15" s="25">
        <f>SLOT_RULES!$D$7+IF($A15&lt;=SLOT_RULES!$D$7,0,INT(($A15-SLOT_RULES!$D$7-1)/SLOT_RULES!$E$7)+1)*SLOT_RULES!$E$7</f>
        <v>46290</v>
      </c>
      <c r="I15" s="25">
        <f>SLOT_RULES!$D$8+IF($A15&lt;=SLOT_RULES!$D$8,0,INT(($A15-SLOT_RULES!$D$8-1)/SLOT_RULES!$E$8)+1)*SLOT_RULES!$E$8</f>
        <v>46300</v>
      </c>
      <c r="J15" s="25">
        <f>SLOT_RULES!$D$9+IF($A15&lt;=SLOT_RULES!$D$9,0,INT(($A15-SLOT_RULES!$D$9-1)/SLOT_RULES!$E$9)+1)*SLOT_RULES!$E$9</f>
        <v>46286</v>
      </c>
      <c r="K15" s="25">
        <f>SLOT_RULES!$D$10+IF($A15&lt;=SLOT_RULES!$D$10,0,INT(($A15-SLOT_RULES!$D$10-1)/SLOT_RULES!$E$10)+1)*SLOT_RULES!$E$10</f>
        <v>46301</v>
      </c>
      <c r="L15" s="25">
        <f>SLOT_RULES!$D$11+IF($A15&lt;=SLOT_RULES!$D$11,0,INT(($A15-SLOT_RULES!$D$11-1)/SLOT_RULES!$E$11)+1)*SLOT_RULES!$E$11</f>
        <v>46280</v>
      </c>
      <c r="M15" s="25">
        <f>SLOT_RULES!$D$12+IF($A15&lt;=SLOT_RULES!$D$12,0,INT(($A15-SLOT_RULES!$D$12-1)/SLOT_RULES!$E$12)+1)*SLOT_RULES!$E$12</f>
        <v>46285</v>
      </c>
      <c r="N15" s="25">
        <f>SLOT_RULES!$D$13+IF($A15&lt;=SLOT_RULES!$D$13,0,INT(($A15-SLOT_RULES!$D$13-1)/SLOT_RULES!$E$13)+1)*SLOT_RULES!$E$13</f>
        <v>46321</v>
      </c>
      <c r="O15" s="25">
        <f>SLOT_RULES!$D$14+IF($A15&lt;=SLOT_RULES!$D$14,0,INT(($A15-SLOT_RULES!$D$14-1)/SLOT_RULES!$E$14)+1)*SLOT_RULES!$E$14</f>
        <v>46350</v>
      </c>
      <c r="P15" s="25">
        <f>SLOT_RULES!$D$15+IF($A15&lt;=SLOT_RULES!$D$15,0,INT(($A15-SLOT_RULES!$D$15-1)/SLOT_RULES!$E$15)+1)*SLOT_RULES!$E$15</f>
        <v>46422</v>
      </c>
      <c r="Q15" s="26">
        <f t="shared" si="0"/>
        <v>2</v>
      </c>
      <c r="R15" s="26">
        <f t="shared" si="1"/>
        <v>144</v>
      </c>
      <c r="S15" s="27" t="str">
        <f t="shared" si="2"/>
        <v>PASS</v>
      </c>
      <c r="T15" s="27" t="str">
        <f>IF((COUNTIF(LOCAL_REFERENCE!$D15:$O15,E15)+COUNTIF(LOCAL_REFERENCE!$D15:$O15,H15)+COUNTIF(LOCAL_REFERENCE!$D15:$O15,I15)+COUNTIF(LOCAL_REFERENCE!$D15:$O15,J15)+COUNTIF(LOCAL_REFERENCE!$D15:$O15,K15)+COUNTIF(LOCAL_REFERENCE!$D15:$O15,L15)+COUNTIF(LOCAL_REFERENCE!$D15:$O15,M15)+COUNTIF(LOCAL_REFERENCE!$D15:$O15,N15)+COUNTIF(LOCAL_REFERENCE!$D15:$O15,O15)+COUNTIF(LOCAL_REFERENCE!$D15:$O15,P15))=0,"PASS","FAIL")</f>
        <v>PASS</v>
      </c>
      <c r="U15" s="27" t="str">
        <f>IF((COUNTIF(VPS_REFERENCE!$D15:$H15,E15)+COUNTIF(VPS_REFERENCE!$D15:$H15,H15)+COUNTIF(VPS_REFERENCE!$D15:$H15,I15)+COUNTIF(VPS_REFERENCE!$D15:$H15,J15)+COUNTIF(VPS_REFERENCE!$D15:$H15,K15)+COUNTIF(VPS_REFERENCE!$D15:$H15,L15)+COUNTIF(VPS_REFERENCE!$D15:$H15,M15)+COUNTIF(VPS_REFERENCE!$D15:$H15,N15)+COUNTIF(VPS_REFERENCE!$D15:$H15,O15)+COUNTIF(VPS_REFERENCE!$D15:$H15,P15))=0,"PASS","FAIL")</f>
        <v>PASS</v>
      </c>
      <c r="V15" s="27" t="str">
        <f t="shared" si="3"/>
        <v>PASS</v>
      </c>
      <c r="W15" s="28" t="str">
        <f>CRAWL_LOG!B15</f>
        <v>Hoàn thành có lỗi</v>
      </c>
      <c r="X15" s="36" t="s">
        <v>57</v>
      </c>
    </row>
    <row r="16" spans="1:24">
      <c r="A16" s="23">
        <v>46279</v>
      </c>
      <c r="B16" s="24" t="s">
        <v>61</v>
      </c>
      <c r="C16" s="24" t="s">
        <v>54</v>
      </c>
      <c r="D16" s="24" t="s">
        <v>10</v>
      </c>
      <c r="E16" s="25">
        <f>SLOT_RULES!$D$4+IF($A16&lt;=SLOT_RULES!$D$4,0,INT(($A16-SLOT_RULES!$D$4-1)/SLOT_RULES!$E$4)+1)*SLOT_RULES!$E$4</f>
        <v>46297</v>
      </c>
      <c r="F16" s="63"/>
      <c r="G16" s="63"/>
      <c r="H16" s="25">
        <f>SLOT_RULES!$D$7+IF($A16&lt;=SLOT_RULES!$D$7,0,INT(($A16-SLOT_RULES!$D$7-1)/SLOT_RULES!$E$7)+1)*SLOT_RULES!$E$7</f>
        <v>46290</v>
      </c>
      <c r="I16" s="25">
        <f>SLOT_RULES!$D$8+IF($A16&lt;=SLOT_RULES!$D$8,0,INT(($A16-SLOT_RULES!$D$8-1)/SLOT_RULES!$E$8)+1)*SLOT_RULES!$E$8</f>
        <v>46300</v>
      </c>
      <c r="J16" s="25">
        <f>SLOT_RULES!$D$9+IF($A16&lt;=SLOT_RULES!$D$9,0,INT(($A16-SLOT_RULES!$D$9-1)/SLOT_RULES!$E$9)+1)*SLOT_RULES!$E$9</f>
        <v>46286</v>
      </c>
      <c r="K16" s="25">
        <f>SLOT_RULES!$D$10+IF($A16&lt;=SLOT_RULES!$D$10,0,INT(($A16-SLOT_RULES!$D$10-1)/SLOT_RULES!$E$10)+1)*SLOT_RULES!$E$10</f>
        <v>46301</v>
      </c>
      <c r="L16" s="25">
        <f>SLOT_RULES!$D$11+IF($A16&lt;=SLOT_RULES!$D$11,0,INT(($A16-SLOT_RULES!$D$11-1)/SLOT_RULES!$E$11)+1)*SLOT_RULES!$E$11</f>
        <v>46280</v>
      </c>
      <c r="M16" s="25">
        <f>SLOT_RULES!$D$12+IF($A16&lt;=SLOT_RULES!$D$12,0,INT(($A16-SLOT_RULES!$D$12-1)/SLOT_RULES!$E$12)+1)*SLOT_RULES!$E$12</f>
        <v>46285</v>
      </c>
      <c r="N16" s="25">
        <f>SLOT_RULES!$D$13+IF($A16&lt;=SLOT_RULES!$D$13,0,INT(($A16-SLOT_RULES!$D$13-1)/SLOT_RULES!$E$13)+1)*SLOT_RULES!$E$13</f>
        <v>46321</v>
      </c>
      <c r="O16" s="25">
        <f>SLOT_RULES!$D$14+IF($A16&lt;=SLOT_RULES!$D$14,0,INT(($A16-SLOT_RULES!$D$14-1)/SLOT_RULES!$E$14)+1)*SLOT_RULES!$E$14</f>
        <v>46350</v>
      </c>
      <c r="P16" s="25">
        <f>SLOT_RULES!$D$15+IF($A16&lt;=SLOT_RULES!$D$15,0,INT(($A16-SLOT_RULES!$D$15-1)/SLOT_RULES!$E$15)+1)*SLOT_RULES!$E$15</f>
        <v>46422</v>
      </c>
      <c r="Q16" s="26">
        <f t="shared" si="0"/>
        <v>1</v>
      </c>
      <c r="R16" s="26">
        <f t="shared" si="1"/>
        <v>143</v>
      </c>
      <c r="S16" s="27" t="str">
        <f t="shared" si="2"/>
        <v>PASS</v>
      </c>
      <c r="T16" s="27" t="str">
        <f>IF((COUNTIF(LOCAL_REFERENCE!$D16:$O16,E16)+COUNTIF(LOCAL_REFERENCE!$D16:$O16,H16)+COUNTIF(LOCAL_REFERENCE!$D16:$O16,I16)+COUNTIF(LOCAL_REFERENCE!$D16:$O16,J16)+COUNTIF(LOCAL_REFERENCE!$D16:$O16,K16)+COUNTIF(LOCAL_REFERENCE!$D16:$O16,L16)+COUNTIF(LOCAL_REFERENCE!$D16:$O16,M16)+COUNTIF(LOCAL_REFERENCE!$D16:$O16,N16)+COUNTIF(LOCAL_REFERENCE!$D16:$O16,O16)+COUNTIF(LOCAL_REFERENCE!$D16:$O16,P16))=0,"PASS","FAIL")</f>
        <v>PASS</v>
      </c>
      <c r="U16" s="27" t="str">
        <f>IF((COUNTIF(VPS_REFERENCE!$D16:$H16,E16)+COUNTIF(VPS_REFERENCE!$D16:$H16,H16)+COUNTIF(VPS_REFERENCE!$D16:$H16,I16)+COUNTIF(VPS_REFERENCE!$D16:$H16,J16)+COUNTIF(VPS_REFERENCE!$D16:$H16,K16)+COUNTIF(VPS_REFERENCE!$D16:$H16,L16)+COUNTIF(VPS_REFERENCE!$D16:$H16,M16)+COUNTIF(VPS_REFERENCE!$D16:$H16,N16)+COUNTIF(VPS_REFERENCE!$D16:$H16,O16)+COUNTIF(VPS_REFERENCE!$D16:$H16,P16))=0,"PASS","FAIL")</f>
        <v>PASS</v>
      </c>
      <c r="V16" s="27" t="str">
        <f t="shared" si="3"/>
        <v>PASS</v>
      </c>
      <c r="W16" s="28" t="str">
        <f>CRAWL_LOG!B16</f>
        <v>Hoàn thành có lỗi</v>
      </c>
      <c r="X16" s="36" t="s">
        <v>57</v>
      </c>
    </row>
    <row r="17" spans="1:24">
      <c r="A17" s="23">
        <v>46280</v>
      </c>
      <c r="B17" s="24" t="s">
        <v>62</v>
      </c>
      <c r="C17" s="24" t="s">
        <v>54</v>
      </c>
      <c r="D17" s="24" t="s">
        <v>10</v>
      </c>
      <c r="E17" s="25">
        <f>SLOT_RULES!$D$4+IF($A17&lt;=SLOT_RULES!$D$4,0,INT(($A17-SLOT_RULES!$D$4-1)/SLOT_RULES!$E$4)+1)*SLOT_RULES!$E$4</f>
        <v>46297</v>
      </c>
      <c r="F17" s="63"/>
      <c r="G17" s="63"/>
      <c r="H17" s="25">
        <f>SLOT_RULES!$D$7+IF($A17&lt;=SLOT_RULES!$D$7,0,INT(($A17-SLOT_RULES!$D$7-1)/SLOT_RULES!$E$7)+1)*SLOT_RULES!$E$7</f>
        <v>46290</v>
      </c>
      <c r="I17" s="25">
        <f>SLOT_RULES!$D$8+IF($A17&lt;=SLOT_RULES!$D$8,0,INT(($A17-SLOT_RULES!$D$8-1)/SLOT_RULES!$E$8)+1)*SLOT_RULES!$E$8</f>
        <v>46300</v>
      </c>
      <c r="J17" s="25">
        <f>SLOT_RULES!$D$9+IF($A17&lt;=SLOT_RULES!$D$9,0,INT(($A17-SLOT_RULES!$D$9-1)/SLOT_RULES!$E$9)+1)*SLOT_RULES!$E$9</f>
        <v>46286</v>
      </c>
      <c r="K17" s="25">
        <f>SLOT_RULES!$D$10+IF($A17&lt;=SLOT_RULES!$D$10,0,INT(($A17-SLOT_RULES!$D$10-1)/SLOT_RULES!$E$10)+1)*SLOT_RULES!$E$10</f>
        <v>46301</v>
      </c>
      <c r="L17" s="25">
        <f>SLOT_RULES!$D$11+IF($A17&lt;=SLOT_RULES!$D$11,0,INT(($A17-SLOT_RULES!$D$11-1)/SLOT_RULES!$E$11)+1)*SLOT_RULES!$E$11</f>
        <v>46280</v>
      </c>
      <c r="M17" s="25">
        <f>SLOT_RULES!$D$12+IF($A17&lt;=SLOT_RULES!$D$12,0,INT(($A17-SLOT_RULES!$D$12-1)/SLOT_RULES!$E$12)+1)*SLOT_RULES!$E$12</f>
        <v>46285</v>
      </c>
      <c r="N17" s="25">
        <f>SLOT_RULES!$D$13+IF($A17&lt;=SLOT_RULES!$D$13,0,INT(($A17-SLOT_RULES!$D$13-1)/SLOT_RULES!$E$13)+1)*SLOT_RULES!$E$13</f>
        <v>46321</v>
      </c>
      <c r="O17" s="25">
        <f>SLOT_RULES!$D$14+IF($A17&lt;=SLOT_RULES!$D$14,0,INT(($A17-SLOT_RULES!$D$14-1)/SLOT_RULES!$E$14)+1)*SLOT_RULES!$E$14</f>
        <v>46350</v>
      </c>
      <c r="P17" s="25">
        <f>SLOT_RULES!$D$15+IF($A17&lt;=SLOT_RULES!$D$15,0,INT(($A17-SLOT_RULES!$D$15-1)/SLOT_RULES!$E$15)+1)*SLOT_RULES!$E$15</f>
        <v>46422</v>
      </c>
      <c r="Q17" s="26">
        <f t="shared" si="0"/>
        <v>0</v>
      </c>
      <c r="R17" s="26">
        <f t="shared" si="1"/>
        <v>142</v>
      </c>
      <c r="S17" s="27" t="str">
        <f t="shared" si="2"/>
        <v>PASS</v>
      </c>
      <c r="T17" s="27" t="str">
        <f>IF((COUNTIF(LOCAL_REFERENCE!$D17:$O17,E17)+COUNTIF(LOCAL_REFERENCE!$D17:$O17,H17)+COUNTIF(LOCAL_REFERENCE!$D17:$O17,I17)+COUNTIF(LOCAL_REFERENCE!$D17:$O17,J17)+COUNTIF(LOCAL_REFERENCE!$D17:$O17,K17)+COUNTIF(LOCAL_REFERENCE!$D17:$O17,L17)+COUNTIF(LOCAL_REFERENCE!$D17:$O17,M17)+COUNTIF(LOCAL_REFERENCE!$D17:$O17,N17)+COUNTIF(LOCAL_REFERENCE!$D17:$O17,O17)+COUNTIF(LOCAL_REFERENCE!$D17:$O17,P17))=0,"PASS","FAIL")</f>
        <v>PASS</v>
      </c>
      <c r="U17" s="27" t="str">
        <f>IF((COUNTIF(VPS_REFERENCE!$D17:$H17,E17)+COUNTIF(VPS_REFERENCE!$D17:$H17,H17)+COUNTIF(VPS_REFERENCE!$D17:$H17,I17)+COUNTIF(VPS_REFERENCE!$D17:$H17,J17)+COUNTIF(VPS_REFERENCE!$D17:$H17,K17)+COUNTIF(VPS_REFERENCE!$D17:$H17,L17)+COUNTIF(VPS_REFERENCE!$D17:$H17,M17)+COUNTIF(VPS_REFERENCE!$D17:$H17,N17)+COUNTIF(VPS_REFERENCE!$D17:$H17,O17)+COUNTIF(VPS_REFERENCE!$D17:$H17,P17))=0,"PASS","FAIL")</f>
        <v>PASS</v>
      </c>
      <c r="V17" s="27" t="str">
        <f t="shared" si="3"/>
        <v>PASS</v>
      </c>
      <c r="W17" s="28" t="str">
        <f>CRAWL_LOG!B17</f>
        <v>Hoàn thành có lỗi</v>
      </c>
      <c r="X17" s="36" t="s">
        <v>57</v>
      </c>
    </row>
    <row r="18" spans="1:24">
      <c r="A18" s="23">
        <v>46281</v>
      </c>
      <c r="B18" s="24" t="s">
        <v>53</v>
      </c>
      <c r="C18" s="24" t="s">
        <v>54</v>
      </c>
      <c r="D18" s="24" t="s">
        <v>10</v>
      </c>
      <c r="E18" s="25">
        <f>SLOT_RULES!$D$4+IF($A18&lt;=SLOT_RULES!$D$4,0,INT(($A18-SLOT_RULES!$D$4-1)/SLOT_RULES!$E$4)+1)*SLOT_RULES!$E$4</f>
        <v>46297</v>
      </c>
      <c r="F18" s="63"/>
      <c r="G18" s="63"/>
      <c r="H18" s="25">
        <f>SLOT_RULES!$D$7+IF($A18&lt;=SLOT_RULES!$D$7,0,INT(($A18-SLOT_RULES!$D$7-1)/SLOT_RULES!$E$7)+1)*SLOT_RULES!$E$7</f>
        <v>46290</v>
      </c>
      <c r="I18" s="25">
        <f>SLOT_RULES!$D$8+IF($A18&lt;=SLOT_RULES!$D$8,0,INT(($A18-SLOT_RULES!$D$8-1)/SLOT_RULES!$E$8)+1)*SLOT_RULES!$E$8</f>
        <v>46300</v>
      </c>
      <c r="J18" s="25">
        <f>SLOT_RULES!$D$9+IF($A18&lt;=SLOT_RULES!$D$9,0,INT(($A18-SLOT_RULES!$D$9-1)/SLOT_RULES!$E$9)+1)*SLOT_RULES!$E$9</f>
        <v>46286</v>
      </c>
      <c r="K18" s="25">
        <f>SLOT_RULES!$D$10+IF($A18&lt;=SLOT_RULES!$D$10,0,INT(($A18-SLOT_RULES!$D$10-1)/SLOT_RULES!$E$10)+1)*SLOT_RULES!$E$10</f>
        <v>46301</v>
      </c>
      <c r="L18" s="25">
        <f>SLOT_RULES!$D$11+IF($A18&lt;=SLOT_RULES!$D$11,0,INT(($A18-SLOT_RULES!$D$11-1)/SLOT_RULES!$E$11)+1)*SLOT_RULES!$E$11</f>
        <v>46308</v>
      </c>
      <c r="M18" s="25">
        <f>SLOT_RULES!$D$12+IF($A18&lt;=SLOT_RULES!$D$12,0,INT(($A18-SLOT_RULES!$D$12-1)/SLOT_RULES!$E$12)+1)*SLOT_RULES!$E$12</f>
        <v>46285</v>
      </c>
      <c r="N18" s="25">
        <f>SLOT_RULES!$D$13+IF($A18&lt;=SLOT_RULES!$D$13,0,INT(($A18-SLOT_RULES!$D$13-1)/SLOT_RULES!$E$13)+1)*SLOT_RULES!$E$13</f>
        <v>46321</v>
      </c>
      <c r="O18" s="25">
        <f>SLOT_RULES!$D$14+IF($A18&lt;=SLOT_RULES!$D$14,0,INT(($A18-SLOT_RULES!$D$14-1)/SLOT_RULES!$E$14)+1)*SLOT_RULES!$E$14</f>
        <v>46350</v>
      </c>
      <c r="P18" s="25">
        <f>SLOT_RULES!$D$15+IF($A18&lt;=SLOT_RULES!$D$15,0,INT(($A18-SLOT_RULES!$D$15-1)/SLOT_RULES!$E$15)+1)*SLOT_RULES!$E$15</f>
        <v>46422</v>
      </c>
      <c r="Q18" s="26">
        <f t="shared" si="0"/>
        <v>4</v>
      </c>
      <c r="R18" s="26">
        <f t="shared" si="1"/>
        <v>141</v>
      </c>
      <c r="S18" s="27" t="str">
        <f t="shared" si="2"/>
        <v>PASS</v>
      </c>
      <c r="T18" s="27" t="str">
        <f>IF((COUNTIF(LOCAL_REFERENCE!$D18:$O18,E18)+COUNTIF(LOCAL_REFERENCE!$D18:$O18,H18)+COUNTIF(LOCAL_REFERENCE!$D18:$O18,I18)+COUNTIF(LOCAL_REFERENCE!$D18:$O18,J18)+COUNTIF(LOCAL_REFERENCE!$D18:$O18,K18)+COUNTIF(LOCAL_REFERENCE!$D18:$O18,L18)+COUNTIF(LOCAL_REFERENCE!$D18:$O18,M18)+COUNTIF(LOCAL_REFERENCE!$D18:$O18,N18)+COUNTIF(LOCAL_REFERENCE!$D18:$O18,O18)+COUNTIF(LOCAL_REFERENCE!$D18:$O18,P18))=0,"PASS","FAIL")</f>
        <v>PASS</v>
      </c>
      <c r="U18" s="27" t="str">
        <f>IF((COUNTIF(VPS_REFERENCE!$D18:$H18,E18)+COUNTIF(VPS_REFERENCE!$D18:$H18,H18)+COUNTIF(VPS_REFERENCE!$D18:$H18,I18)+COUNTIF(VPS_REFERENCE!$D18:$H18,J18)+COUNTIF(VPS_REFERENCE!$D18:$H18,K18)+COUNTIF(VPS_REFERENCE!$D18:$H18,L18)+COUNTIF(VPS_REFERENCE!$D18:$H18,M18)+COUNTIF(VPS_REFERENCE!$D18:$H18,N18)+COUNTIF(VPS_REFERENCE!$D18:$H18,O18)+COUNTIF(VPS_REFERENCE!$D18:$H18,P18))=0,"PASS","FAIL")</f>
        <v>PASS</v>
      </c>
      <c r="V18" s="27" t="str">
        <f t="shared" si="3"/>
        <v>PASS</v>
      </c>
      <c r="W18" s="28" t="str">
        <f>CRAWL_LOG!B18</f>
        <v>Hoàn thành có lỗi</v>
      </c>
      <c r="X18" s="36" t="s">
        <v>57</v>
      </c>
    </row>
    <row r="19" spans="1:24">
      <c r="A19" s="23">
        <v>46282</v>
      </c>
      <c r="B19" s="24" t="s">
        <v>56</v>
      </c>
      <c r="C19" s="24" t="s">
        <v>54</v>
      </c>
      <c r="D19" s="24" t="s">
        <v>10</v>
      </c>
      <c r="E19" s="25">
        <f>SLOT_RULES!$D$4+IF($A19&lt;=SLOT_RULES!$D$4,0,INT(($A19-SLOT_RULES!$D$4-1)/SLOT_RULES!$E$4)+1)*SLOT_RULES!$E$4</f>
        <v>46297</v>
      </c>
      <c r="F19" s="63"/>
      <c r="G19" s="63"/>
      <c r="H19" s="25">
        <f>SLOT_RULES!$D$7+IF($A19&lt;=SLOT_RULES!$D$7,0,INT(($A19-SLOT_RULES!$D$7-1)/SLOT_RULES!$E$7)+1)*SLOT_RULES!$E$7</f>
        <v>46290</v>
      </c>
      <c r="I19" s="25">
        <f>SLOT_RULES!$D$8+IF($A19&lt;=SLOT_RULES!$D$8,0,INT(($A19-SLOT_RULES!$D$8-1)/SLOT_RULES!$E$8)+1)*SLOT_RULES!$E$8</f>
        <v>46300</v>
      </c>
      <c r="J19" s="25">
        <f>SLOT_RULES!$D$9+IF($A19&lt;=SLOT_RULES!$D$9,0,INT(($A19-SLOT_RULES!$D$9-1)/SLOT_RULES!$E$9)+1)*SLOT_RULES!$E$9</f>
        <v>46286</v>
      </c>
      <c r="K19" s="25">
        <f>SLOT_RULES!$D$10+IF($A19&lt;=SLOT_RULES!$D$10,0,INT(($A19-SLOT_RULES!$D$10-1)/SLOT_RULES!$E$10)+1)*SLOT_RULES!$E$10</f>
        <v>46301</v>
      </c>
      <c r="L19" s="25">
        <f>SLOT_RULES!$D$11+IF($A19&lt;=SLOT_RULES!$D$11,0,INT(($A19-SLOT_RULES!$D$11-1)/SLOT_RULES!$E$11)+1)*SLOT_RULES!$E$11</f>
        <v>46308</v>
      </c>
      <c r="M19" s="25">
        <f>SLOT_RULES!$D$12+IF($A19&lt;=SLOT_RULES!$D$12,0,INT(($A19-SLOT_RULES!$D$12-1)/SLOT_RULES!$E$12)+1)*SLOT_RULES!$E$12</f>
        <v>46285</v>
      </c>
      <c r="N19" s="25">
        <f>SLOT_RULES!$D$13+IF($A19&lt;=SLOT_RULES!$D$13,0,INT(($A19-SLOT_RULES!$D$13-1)/SLOT_RULES!$E$13)+1)*SLOT_RULES!$E$13</f>
        <v>46321</v>
      </c>
      <c r="O19" s="25">
        <f>SLOT_RULES!$D$14+IF($A19&lt;=SLOT_RULES!$D$14,0,INT(($A19-SLOT_RULES!$D$14-1)/SLOT_RULES!$E$14)+1)*SLOT_RULES!$E$14</f>
        <v>46350</v>
      </c>
      <c r="P19" s="25">
        <f>SLOT_RULES!$D$15+IF($A19&lt;=SLOT_RULES!$D$15,0,INT(($A19-SLOT_RULES!$D$15-1)/SLOT_RULES!$E$15)+1)*SLOT_RULES!$E$15</f>
        <v>46422</v>
      </c>
      <c r="Q19" s="26">
        <f t="shared" si="0"/>
        <v>3</v>
      </c>
      <c r="R19" s="26">
        <f t="shared" si="1"/>
        <v>140</v>
      </c>
      <c r="S19" s="27" t="str">
        <f t="shared" si="2"/>
        <v>PASS</v>
      </c>
      <c r="T19" s="27" t="str">
        <f>IF((COUNTIF(LOCAL_REFERENCE!$D19:$O19,E19)+COUNTIF(LOCAL_REFERENCE!$D19:$O19,H19)+COUNTIF(LOCAL_REFERENCE!$D19:$O19,I19)+COUNTIF(LOCAL_REFERENCE!$D19:$O19,J19)+COUNTIF(LOCAL_REFERENCE!$D19:$O19,K19)+COUNTIF(LOCAL_REFERENCE!$D19:$O19,L19)+COUNTIF(LOCAL_REFERENCE!$D19:$O19,M19)+COUNTIF(LOCAL_REFERENCE!$D19:$O19,N19)+COUNTIF(LOCAL_REFERENCE!$D19:$O19,O19)+COUNTIF(LOCAL_REFERENCE!$D19:$O19,P19))=0,"PASS","FAIL")</f>
        <v>PASS</v>
      </c>
      <c r="U19" s="27" t="str">
        <f>IF((COUNTIF(VPS_REFERENCE!$D19:$H19,E19)+COUNTIF(VPS_REFERENCE!$D19:$H19,H19)+COUNTIF(VPS_REFERENCE!$D19:$H19,I19)+COUNTIF(VPS_REFERENCE!$D19:$H19,J19)+COUNTIF(VPS_REFERENCE!$D19:$H19,K19)+COUNTIF(VPS_REFERENCE!$D19:$H19,L19)+COUNTIF(VPS_REFERENCE!$D19:$H19,M19)+COUNTIF(VPS_REFERENCE!$D19:$H19,N19)+COUNTIF(VPS_REFERENCE!$D19:$H19,O19)+COUNTIF(VPS_REFERENCE!$D19:$H19,P19))=0,"PASS","FAIL")</f>
        <v>PASS</v>
      </c>
      <c r="V19" s="27" t="str">
        <f t="shared" si="3"/>
        <v>PASS</v>
      </c>
      <c r="W19" s="28" t="str">
        <f>CRAWL_LOG!B19</f>
        <v>Hoàn thành có lỗi</v>
      </c>
      <c r="X19" s="36" t="s">
        <v>57</v>
      </c>
    </row>
    <row r="20" spans="1:24">
      <c r="A20" s="23">
        <v>46283</v>
      </c>
      <c r="B20" s="24" t="s">
        <v>58</v>
      </c>
      <c r="C20" s="24" t="s">
        <v>54</v>
      </c>
      <c r="D20" s="24" t="s">
        <v>10</v>
      </c>
      <c r="E20" s="25">
        <f>SLOT_RULES!$D$4+IF($A20&lt;=SLOT_RULES!$D$4,0,INT(($A20-SLOT_RULES!$D$4-1)/SLOT_RULES!$E$4)+1)*SLOT_RULES!$E$4</f>
        <v>46297</v>
      </c>
      <c r="F20" s="63"/>
      <c r="G20" s="63"/>
      <c r="H20" s="25">
        <f>SLOT_RULES!$D$7+IF($A20&lt;=SLOT_RULES!$D$7,0,INT(($A20-SLOT_RULES!$D$7-1)/SLOT_RULES!$E$7)+1)*SLOT_RULES!$E$7</f>
        <v>46290</v>
      </c>
      <c r="I20" s="25">
        <f>SLOT_RULES!$D$8+IF($A20&lt;=SLOT_RULES!$D$8,0,INT(($A20-SLOT_RULES!$D$8-1)/SLOT_RULES!$E$8)+1)*SLOT_RULES!$E$8</f>
        <v>46300</v>
      </c>
      <c r="J20" s="25">
        <f>SLOT_RULES!$D$9+IF($A20&lt;=SLOT_RULES!$D$9,0,INT(($A20-SLOT_RULES!$D$9-1)/SLOT_RULES!$E$9)+1)*SLOT_RULES!$E$9</f>
        <v>46286</v>
      </c>
      <c r="K20" s="25">
        <f>SLOT_RULES!$D$10+IF($A20&lt;=SLOT_RULES!$D$10,0,INT(($A20-SLOT_RULES!$D$10-1)/SLOT_RULES!$E$10)+1)*SLOT_RULES!$E$10</f>
        <v>46301</v>
      </c>
      <c r="L20" s="25">
        <f>SLOT_RULES!$D$11+IF($A20&lt;=SLOT_RULES!$D$11,0,INT(($A20-SLOT_RULES!$D$11-1)/SLOT_RULES!$E$11)+1)*SLOT_RULES!$E$11</f>
        <v>46308</v>
      </c>
      <c r="M20" s="25">
        <f>SLOT_RULES!$D$12+IF($A20&lt;=SLOT_RULES!$D$12,0,INT(($A20-SLOT_RULES!$D$12-1)/SLOT_RULES!$E$12)+1)*SLOT_RULES!$E$12</f>
        <v>46285</v>
      </c>
      <c r="N20" s="25">
        <f>SLOT_RULES!$D$13+IF($A20&lt;=SLOT_RULES!$D$13,0,INT(($A20-SLOT_RULES!$D$13-1)/SLOT_RULES!$E$13)+1)*SLOT_RULES!$E$13</f>
        <v>46321</v>
      </c>
      <c r="O20" s="25">
        <f>SLOT_RULES!$D$14+IF($A20&lt;=SLOT_RULES!$D$14,0,INT(($A20-SLOT_RULES!$D$14-1)/SLOT_RULES!$E$14)+1)*SLOT_RULES!$E$14</f>
        <v>46350</v>
      </c>
      <c r="P20" s="25">
        <f>SLOT_RULES!$D$15+IF($A20&lt;=SLOT_RULES!$D$15,0,INT(($A20-SLOT_RULES!$D$15-1)/SLOT_RULES!$E$15)+1)*SLOT_RULES!$E$15</f>
        <v>46422</v>
      </c>
      <c r="Q20" s="26">
        <f t="shared" si="0"/>
        <v>2</v>
      </c>
      <c r="R20" s="26">
        <f t="shared" si="1"/>
        <v>139</v>
      </c>
      <c r="S20" s="27" t="str">
        <f t="shared" si="2"/>
        <v>PASS</v>
      </c>
      <c r="T20" s="27" t="str">
        <f>IF((COUNTIF(LOCAL_REFERENCE!$D20:$O20,E20)+COUNTIF(LOCAL_REFERENCE!$D20:$O20,H20)+COUNTIF(LOCAL_REFERENCE!$D20:$O20,I20)+COUNTIF(LOCAL_REFERENCE!$D20:$O20,J20)+COUNTIF(LOCAL_REFERENCE!$D20:$O20,K20)+COUNTIF(LOCAL_REFERENCE!$D20:$O20,L20)+COUNTIF(LOCAL_REFERENCE!$D20:$O20,M20)+COUNTIF(LOCAL_REFERENCE!$D20:$O20,N20)+COUNTIF(LOCAL_REFERENCE!$D20:$O20,O20)+COUNTIF(LOCAL_REFERENCE!$D20:$O20,P20))=0,"PASS","FAIL")</f>
        <v>PASS</v>
      </c>
      <c r="U20" s="27" t="str">
        <f>IF((COUNTIF(VPS_REFERENCE!$D20:$H20,E20)+COUNTIF(VPS_REFERENCE!$D20:$H20,H20)+COUNTIF(VPS_REFERENCE!$D20:$H20,I20)+COUNTIF(VPS_REFERENCE!$D20:$H20,J20)+COUNTIF(VPS_REFERENCE!$D20:$H20,K20)+COUNTIF(VPS_REFERENCE!$D20:$H20,L20)+COUNTIF(VPS_REFERENCE!$D20:$H20,M20)+COUNTIF(VPS_REFERENCE!$D20:$H20,N20)+COUNTIF(VPS_REFERENCE!$D20:$H20,O20)+COUNTIF(VPS_REFERENCE!$D20:$H20,P20))=0,"PASS","FAIL")</f>
        <v>PASS</v>
      </c>
      <c r="V20" s="27" t="str">
        <f t="shared" si="3"/>
        <v>PASS</v>
      </c>
      <c r="W20" s="28" t="str">
        <f>CRAWL_LOG!B20</f>
        <v>Hoàn thành có lỗi</v>
      </c>
      <c r="X20" s="36" t="s">
        <v>57</v>
      </c>
    </row>
    <row r="21" spans="1:24">
      <c r="A21" s="23">
        <v>46284</v>
      </c>
      <c r="B21" s="24" t="s">
        <v>59</v>
      </c>
      <c r="C21" s="24" t="s">
        <v>54</v>
      </c>
      <c r="D21" s="24" t="s">
        <v>10</v>
      </c>
      <c r="E21" s="25">
        <f>SLOT_RULES!$D$4+IF($A21&lt;=SLOT_RULES!$D$4,0,INT(($A21-SLOT_RULES!$D$4-1)/SLOT_RULES!$E$4)+1)*SLOT_RULES!$E$4</f>
        <v>46297</v>
      </c>
      <c r="F21" s="63"/>
      <c r="G21" s="63"/>
      <c r="H21" s="25">
        <f>SLOT_RULES!$D$7+IF($A21&lt;=SLOT_RULES!$D$7,0,INT(($A21-SLOT_RULES!$D$7-1)/SLOT_RULES!$E$7)+1)*SLOT_RULES!$E$7</f>
        <v>46290</v>
      </c>
      <c r="I21" s="25">
        <f>SLOT_RULES!$D$8+IF($A21&lt;=SLOT_RULES!$D$8,0,INT(($A21-SLOT_RULES!$D$8-1)/SLOT_RULES!$E$8)+1)*SLOT_RULES!$E$8</f>
        <v>46300</v>
      </c>
      <c r="J21" s="25">
        <f>SLOT_RULES!$D$9+IF($A21&lt;=SLOT_RULES!$D$9,0,INT(($A21-SLOT_RULES!$D$9-1)/SLOT_RULES!$E$9)+1)*SLOT_RULES!$E$9</f>
        <v>46286</v>
      </c>
      <c r="K21" s="25">
        <f>SLOT_RULES!$D$10+IF($A21&lt;=SLOT_RULES!$D$10,0,INT(($A21-SLOT_RULES!$D$10-1)/SLOT_RULES!$E$10)+1)*SLOT_RULES!$E$10</f>
        <v>46301</v>
      </c>
      <c r="L21" s="25">
        <f>SLOT_RULES!$D$11+IF($A21&lt;=SLOT_RULES!$D$11,0,INT(($A21-SLOT_RULES!$D$11-1)/SLOT_RULES!$E$11)+1)*SLOT_RULES!$E$11</f>
        <v>46308</v>
      </c>
      <c r="M21" s="25">
        <f>SLOT_RULES!$D$12+IF($A21&lt;=SLOT_RULES!$D$12,0,INT(($A21-SLOT_RULES!$D$12-1)/SLOT_RULES!$E$12)+1)*SLOT_RULES!$E$12</f>
        <v>46285</v>
      </c>
      <c r="N21" s="25">
        <f>SLOT_RULES!$D$13+IF($A21&lt;=SLOT_RULES!$D$13,0,INT(($A21-SLOT_RULES!$D$13-1)/SLOT_RULES!$E$13)+1)*SLOT_RULES!$E$13</f>
        <v>46321</v>
      </c>
      <c r="O21" s="25">
        <f>SLOT_RULES!$D$14+IF($A21&lt;=SLOT_RULES!$D$14,0,INT(($A21-SLOT_RULES!$D$14-1)/SLOT_RULES!$E$14)+1)*SLOT_RULES!$E$14</f>
        <v>46350</v>
      </c>
      <c r="P21" s="25">
        <f>SLOT_RULES!$D$15+IF($A21&lt;=SLOT_RULES!$D$15,0,INT(($A21-SLOT_RULES!$D$15-1)/SLOT_RULES!$E$15)+1)*SLOT_RULES!$E$15</f>
        <v>46422</v>
      </c>
      <c r="Q21" s="26">
        <f t="shared" si="0"/>
        <v>1</v>
      </c>
      <c r="R21" s="26">
        <f t="shared" si="1"/>
        <v>138</v>
      </c>
      <c r="S21" s="27" t="str">
        <f t="shared" si="2"/>
        <v>PASS</v>
      </c>
      <c r="T21" s="27" t="str">
        <f>IF((COUNTIF(LOCAL_REFERENCE!$D21:$O21,E21)+COUNTIF(LOCAL_REFERENCE!$D21:$O21,H21)+COUNTIF(LOCAL_REFERENCE!$D21:$O21,I21)+COUNTIF(LOCAL_REFERENCE!$D21:$O21,J21)+COUNTIF(LOCAL_REFERENCE!$D21:$O21,K21)+COUNTIF(LOCAL_REFERENCE!$D21:$O21,L21)+COUNTIF(LOCAL_REFERENCE!$D21:$O21,M21)+COUNTIF(LOCAL_REFERENCE!$D21:$O21,N21)+COUNTIF(LOCAL_REFERENCE!$D21:$O21,O21)+COUNTIF(LOCAL_REFERENCE!$D21:$O21,P21))=0,"PASS","FAIL")</f>
        <v>PASS</v>
      </c>
      <c r="U21" s="27" t="str">
        <f>IF((COUNTIF(VPS_REFERENCE!$D21:$H21,E21)+COUNTIF(VPS_REFERENCE!$D21:$H21,H21)+COUNTIF(VPS_REFERENCE!$D21:$H21,I21)+COUNTIF(VPS_REFERENCE!$D21:$H21,J21)+COUNTIF(VPS_REFERENCE!$D21:$H21,K21)+COUNTIF(VPS_REFERENCE!$D21:$H21,L21)+COUNTIF(VPS_REFERENCE!$D21:$H21,M21)+COUNTIF(VPS_REFERENCE!$D21:$H21,N21)+COUNTIF(VPS_REFERENCE!$D21:$H21,O21)+COUNTIF(VPS_REFERENCE!$D21:$H21,P21))=0,"PASS","FAIL")</f>
        <v>PASS</v>
      </c>
      <c r="V21" s="27" t="str">
        <f t="shared" si="3"/>
        <v>PASS</v>
      </c>
      <c r="W21" s="28" t="str">
        <f>CRAWL_LOG!B21</f>
        <v>Hoàn thành có lỗi</v>
      </c>
      <c r="X21" s="36" t="s">
        <v>57</v>
      </c>
    </row>
    <row r="22" spans="1:24">
      <c r="A22" s="23">
        <v>46285</v>
      </c>
      <c r="B22" s="24" t="s">
        <v>60</v>
      </c>
      <c r="C22" s="24" t="s">
        <v>54</v>
      </c>
      <c r="D22" s="24" t="s">
        <v>10</v>
      </c>
      <c r="E22" s="25">
        <f>SLOT_RULES!$D$4+IF($A22&lt;=SLOT_RULES!$D$4,0,INT(($A22-SLOT_RULES!$D$4-1)/SLOT_RULES!$E$4)+1)*SLOT_RULES!$E$4</f>
        <v>46297</v>
      </c>
      <c r="F22" s="63"/>
      <c r="G22" s="63"/>
      <c r="H22" s="25">
        <f>SLOT_RULES!$D$7+IF($A22&lt;=SLOT_RULES!$D$7,0,INT(($A22-SLOT_RULES!$D$7-1)/SLOT_RULES!$E$7)+1)*SLOT_RULES!$E$7</f>
        <v>46290</v>
      </c>
      <c r="I22" s="25">
        <f>SLOT_RULES!$D$8+IF($A22&lt;=SLOT_RULES!$D$8,0,INT(($A22-SLOT_RULES!$D$8-1)/SLOT_RULES!$E$8)+1)*SLOT_RULES!$E$8</f>
        <v>46300</v>
      </c>
      <c r="J22" s="25">
        <f>SLOT_RULES!$D$9+IF($A22&lt;=SLOT_RULES!$D$9,0,INT(($A22-SLOT_RULES!$D$9-1)/SLOT_RULES!$E$9)+1)*SLOT_RULES!$E$9</f>
        <v>46286</v>
      </c>
      <c r="K22" s="25">
        <f>SLOT_RULES!$D$10+IF($A22&lt;=SLOT_RULES!$D$10,0,INT(($A22-SLOT_RULES!$D$10-1)/SLOT_RULES!$E$10)+1)*SLOT_RULES!$E$10</f>
        <v>46301</v>
      </c>
      <c r="L22" s="25">
        <f>SLOT_RULES!$D$11+IF($A22&lt;=SLOT_RULES!$D$11,0,INT(($A22-SLOT_RULES!$D$11-1)/SLOT_RULES!$E$11)+1)*SLOT_RULES!$E$11</f>
        <v>46308</v>
      </c>
      <c r="M22" s="25">
        <f>SLOT_RULES!$D$12+IF($A22&lt;=SLOT_RULES!$D$12,0,INT(($A22-SLOT_RULES!$D$12-1)/SLOT_RULES!$E$12)+1)*SLOT_RULES!$E$12</f>
        <v>46285</v>
      </c>
      <c r="N22" s="25">
        <f>SLOT_RULES!$D$13+IF($A22&lt;=SLOT_RULES!$D$13,0,INT(($A22-SLOT_RULES!$D$13-1)/SLOT_RULES!$E$13)+1)*SLOT_RULES!$E$13</f>
        <v>46321</v>
      </c>
      <c r="O22" s="25">
        <f>SLOT_RULES!$D$14+IF($A22&lt;=SLOT_RULES!$D$14,0,INT(($A22-SLOT_RULES!$D$14-1)/SLOT_RULES!$E$14)+1)*SLOT_RULES!$E$14</f>
        <v>46350</v>
      </c>
      <c r="P22" s="25">
        <f>SLOT_RULES!$D$15+IF($A22&lt;=SLOT_RULES!$D$15,0,INT(($A22-SLOT_RULES!$D$15-1)/SLOT_RULES!$E$15)+1)*SLOT_RULES!$E$15</f>
        <v>46422</v>
      </c>
      <c r="Q22" s="26">
        <f t="shared" si="0"/>
        <v>0</v>
      </c>
      <c r="R22" s="26">
        <f t="shared" si="1"/>
        <v>137</v>
      </c>
      <c r="S22" s="27" t="str">
        <f t="shared" si="2"/>
        <v>PASS</v>
      </c>
      <c r="T22" s="27" t="str">
        <f>IF((COUNTIF(LOCAL_REFERENCE!$D22:$O22,E22)+COUNTIF(LOCAL_REFERENCE!$D22:$O22,H22)+COUNTIF(LOCAL_REFERENCE!$D22:$O22,I22)+COUNTIF(LOCAL_REFERENCE!$D22:$O22,J22)+COUNTIF(LOCAL_REFERENCE!$D22:$O22,K22)+COUNTIF(LOCAL_REFERENCE!$D22:$O22,L22)+COUNTIF(LOCAL_REFERENCE!$D22:$O22,M22)+COUNTIF(LOCAL_REFERENCE!$D22:$O22,N22)+COUNTIF(LOCAL_REFERENCE!$D22:$O22,O22)+COUNTIF(LOCAL_REFERENCE!$D22:$O22,P22))=0,"PASS","FAIL")</f>
        <v>PASS</v>
      </c>
      <c r="U22" s="27" t="str">
        <f>IF((COUNTIF(VPS_REFERENCE!$D22:$H22,E22)+COUNTIF(VPS_REFERENCE!$D22:$H22,H22)+COUNTIF(VPS_REFERENCE!$D22:$H22,I22)+COUNTIF(VPS_REFERENCE!$D22:$H22,J22)+COUNTIF(VPS_REFERENCE!$D22:$H22,K22)+COUNTIF(VPS_REFERENCE!$D22:$H22,L22)+COUNTIF(VPS_REFERENCE!$D22:$H22,M22)+COUNTIF(VPS_REFERENCE!$D22:$H22,N22)+COUNTIF(VPS_REFERENCE!$D22:$H22,O22)+COUNTIF(VPS_REFERENCE!$D22:$H22,P22))=0,"PASS","FAIL")</f>
        <v>PASS</v>
      </c>
      <c r="V22" s="27" t="str">
        <f t="shared" si="3"/>
        <v>PASS</v>
      </c>
      <c r="W22" s="28" t="str">
        <f>CRAWL_LOG!B22</f>
        <v>Hoàn thành có lỗi</v>
      </c>
      <c r="X22" s="36" t="s">
        <v>57</v>
      </c>
    </row>
    <row r="23" spans="1:24">
      <c r="A23" s="23">
        <v>46286</v>
      </c>
      <c r="B23" s="24" t="s">
        <v>61</v>
      </c>
      <c r="C23" s="24" t="s">
        <v>54</v>
      </c>
      <c r="D23" s="24" t="s">
        <v>10</v>
      </c>
      <c r="E23" s="25">
        <f>SLOT_RULES!$D$4+IF($A23&lt;=SLOT_RULES!$D$4,0,INT(($A23-SLOT_RULES!$D$4-1)/SLOT_RULES!$E$4)+1)*SLOT_RULES!$E$4</f>
        <v>46297</v>
      </c>
      <c r="F23" s="63"/>
      <c r="G23" s="63"/>
      <c r="H23" s="25">
        <f>SLOT_RULES!$D$7+IF($A23&lt;=SLOT_RULES!$D$7,0,INT(($A23-SLOT_RULES!$D$7-1)/SLOT_RULES!$E$7)+1)*SLOT_RULES!$E$7</f>
        <v>46290</v>
      </c>
      <c r="I23" s="25">
        <f>SLOT_RULES!$D$8+IF($A23&lt;=SLOT_RULES!$D$8,0,INT(($A23-SLOT_RULES!$D$8-1)/SLOT_RULES!$E$8)+1)*SLOT_RULES!$E$8</f>
        <v>46300</v>
      </c>
      <c r="J23" s="25">
        <f>SLOT_RULES!$D$9+IF($A23&lt;=SLOT_RULES!$D$9,0,INT(($A23-SLOT_RULES!$D$9-1)/SLOT_RULES!$E$9)+1)*SLOT_RULES!$E$9</f>
        <v>46286</v>
      </c>
      <c r="K23" s="25">
        <f>SLOT_RULES!$D$10+IF($A23&lt;=SLOT_RULES!$D$10,0,INT(($A23-SLOT_RULES!$D$10-1)/SLOT_RULES!$E$10)+1)*SLOT_RULES!$E$10</f>
        <v>46301</v>
      </c>
      <c r="L23" s="25">
        <f>SLOT_RULES!$D$11+IF($A23&lt;=SLOT_RULES!$D$11,0,INT(($A23-SLOT_RULES!$D$11-1)/SLOT_RULES!$E$11)+1)*SLOT_RULES!$E$11</f>
        <v>46308</v>
      </c>
      <c r="M23" s="25">
        <f>SLOT_RULES!$D$12+IF($A23&lt;=SLOT_RULES!$D$12,0,INT(($A23-SLOT_RULES!$D$12-1)/SLOT_RULES!$E$12)+1)*SLOT_RULES!$E$12</f>
        <v>46313</v>
      </c>
      <c r="N23" s="25">
        <f>SLOT_RULES!$D$13+IF($A23&lt;=SLOT_RULES!$D$13,0,INT(($A23-SLOT_RULES!$D$13-1)/SLOT_RULES!$E$13)+1)*SLOT_RULES!$E$13</f>
        <v>46321</v>
      </c>
      <c r="O23" s="25">
        <f>SLOT_RULES!$D$14+IF($A23&lt;=SLOT_RULES!$D$14,0,INT(($A23-SLOT_RULES!$D$14-1)/SLOT_RULES!$E$14)+1)*SLOT_RULES!$E$14</f>
        <v>46350</v>
      </c>
      <c r="P23" s="25">
        <f>SLOT_RULES!$D$15+IF($A23&lt;=SLOT_RULES!$D$15,0,INT(($A23-SLOT_RULES!$D$15-1)/SLOT_RULES!$E$15)+1)*SLOT_RULES!$E$15</f>
        <v>46422</v>
      </c>
      <c r="Q23" s="26">
        <f t="shared" si="0"/>
        <v>0</v>
      </c>
      <c r="R23" s="26">
        <f t="shared" si="1"/>
        <v>136</v>
      </c>
      <c r="S23" s="27" t="str">
        <f t="shared" si="2"/>
        <v>PASS</v>
      </c>
      <c r="T23" s="27" t="str">
        <f>IF((COUNTIF(LOCAL_REFERENCE!$D23:$O23,E23)+COUNTIF(LOCAL_REFERENCE!$D23:$O23,H23)+COUNTIF(LOCAL_REFERENCE!$D23:$O23,I23)+COUNTIF(LOCAL_REFERENCE!$D23:$O23,J23)+COUNTIF(LOCAL_REFERENCE!$D23:$O23,K23)+COUNTIF(LOCAL_REFERENCE!$D23:$O23,L23)+COUNTIF(LOCAL_REFERENCE!$D23:$O23,M23)+COUNTIF(LOCAL_REFERENCE!$D23:$O23,N23)+COUNTIF(LOCAL_REFERENCE!$D23:$O23,O23)+COUNTIF(LOCAL_REFERENCE!$D23:$O23,P23))=0,"PASS","FAIL")</f>
        <v>PASS</v>
      </c>
      <c r="U23" s="27" t="str">
        <f>IF((COUNTIF(VPS_REFERENCE!$D23:$H23,E23)+COUNTIF(VPS_REFERENCE!$D23:$H23,H23)+COUNTIF(VPS_REFERENCE!$D23:$H23,I23)+COUNTIF(VPS_REFERENCE!$D23:$H23,J23)+COUNTIF(VPS_REFERENCE!$D23:$H23,K23)+COUNTIF(VPS_REFERENCE!$D23:$H23,L23)+COUNTIF(VPS_REFERENCE!$D23:$H23,M23)+COUNTIF(VPS_REFERENCE!$D23:$H23,N23)+COUNTIF(VPS_REFERENCE!$D23:$H23,O23)+COUNTIF(VPS_REFERENCE!$D23:$H23,P23))=0,"PASS","FAIL")</f>
        <v>PASS</v>
      </c>
      <c r="V23" s="27" t="str">
        <f t="shared" si="3"/>
        <v>PASS</v>
      </c>
      <c r="W23" s="28" t="str">
        <f>CRAWL_LOG!B23</f>
        <v>Hoàn thành có lỗi</v>
      </c>
      <c r="X23" s="36" t="s">
        <v>57</v>
      </c>
    </row>
    <row r="24" spans="1:24">
      <c r="A24" s="23">
        <v>46287</v>
      </c>
      <c r="B24" s="24" t="s">
        <v>62</v>
      </c>
      <c r="C24" s="24" t="s">
        <v>54</v>
      </c>
      <c r="D24" s="24" t="s">
        <v>10</v>
      </c>
      <c r="E24" s="25">
        <f>SLOT_RULES!$D$4+IF($A24&lt;=SLOT_RULES!$D$4,0,INT(($A24-SLOT_RULES!$D$4-1)/SLOT_RULES!$E$4)+1)*SLOT_RULES!$E$4</f>
        <v>46297</v>
      </c>
      <c r="F24" s="63"/>
      <c r="G24" s="63"/>
      <c r="H24" s="25">
        <f>SLOT_RULES!$D$7+IF($A24&lt;=SLOT_RULES!$D$7,0,INT(($A24-SLOT_RULES!$D$7-1)/SLOT_RULES!$E$7)+1)*SLOT_RULES!$E$7</f>
        <v>46290</v>
      </c>
      <c r="I24" s="25">
        <f>SLOT_RULES!$D$8+IF($A24&lt;=SLOT_RULES!$D$8,0,INT(($A24-SLOT_RULES!$D$8-1)/SLOT_RULES!$E$8)+1)*SLOT_RULES!$E$8</f>
        <v>46300</v>
      </c>
      <c r="J24" s="25">
        <f>SLOT_RULES!$D$9+IF($A24&lt;=SLOT_RULES!$D$9,0,INT(($A24-SLOT_RULES!$D$9-1)/SLOT_RULES!$E$9)+1)*SLOT_RULES!$E$9</f>
        <v>46314</v>
      </c>
      <c r="K24" s="25">
        <f>SLOT_RULES!$D$10+IF($A24&lt;=SLOT_RULES!$D$10,0,INT(($A24-SLOT_RULES!$D$10-1)/SLOT_RULES!$E$10)+1)*SLOT_RULES!$E$10</f>
        <v>46301</v>
      </c>
      <c r="L24" s="25">
        <f>SLOT_RULES!$D$11+IF($A24&lt;=SLOT_RULES!$D$11,0,INT(($A24-SLOT_RULES!$D$11-1)/SLOT_RULES!$E$11)+1)*SLOT_RULES!$E$11</f>
        <v>46308</v>
      </c>
      <c r="M24" s="25">
        <f>SLOT_RULES!$D$12+IF($A24&lt;=SLOT_RULES!$D$12,0,INT(($A24-SLOT_RULES!$D$12-1)/SLOT_RULES!$E$12)+1)*SLOT_RULES!$E$12</f>
        <v>46313</v>
      </c>
      <c r="N24" s="25">
        <f>SLOT_RULES!$D$13+IF($A24&lt;=SLOT_RULES!$D$13,0,INT(($A24-SLOT_RULES!$D$13-1)/SLOT_RULES!$E$13)+1)*SLOT_RULES!$E$13</f>
        <v>46321</v>
      </c>
      <c r="O24" s="25">
        <f>SLOT_RULES!$D$14+IF($A24&lt;=SLOT_RULES!$D$14,0,INT(($A24-SLOT_RULES!$D$14-1)/SLOT_RULES!$E$14)+1)*SLOT_RULES!$E$14</f>
        <v>46350</v>
      </c>
      <c r="P24" s="25">
        <f>SLOT_RULES!$D$15+IF($A24&lt;=SLOT_RULES!$D$15,0,INT(($A24-SLOT_RULES!$D$15-1)/SLOT_RULES!$E$15)+1)*SLOT_RULES!$E$15</f>
        <v>46422</v>
      </c>
      <c r="Q24" s="26">
        <f t="shared" si="0"/>
        <v>3</v>
      </c>
      <c r="R24" s="26">
        <f t="shared" si="1"/>
        <v>135</v>
      </c>
      <c r="S24" s="27" t="str">
        <f t="shared" si="2"/>
        <v>PASS</v>
      </c>
      <c r="T24" s="27" t="str">
        <f>IF((COUNTIF(LOCAL_REFERENCE!$D24:$O24,E24)+COUNTIF(LOCAL_REFERENCE!$D24:$O24,H24)+COUNTIF(LOCAL_REFERENCE!$D24:$O24,I24)+COUNTIF(LOCAL_REFERENCE!$D24:$O24,J24)+COUNTIF(LOCAL_REFERENCE!$D24:$O24,K24)+COUNTIF(LOCAL_REFERENCE!$D24:$O24,L24)+COUNTIF(LOCAL_REFERENCE!$D24:$O24,M24)+COUNTIF(LOCAL_REFERENCE!$D24:$O24,N24)+COUNTIF(LOCAL_REFERENCE!$D24:$O24,O24)+COUNTIF(LOCAL_REFERENCE!$D24:$O24,P24))=0,"PASS","FAIL")</f>
        <v>PASS</v>
      </c>
      <c r="U24" s="27" t="str">
        <f>IF((COUNTIF(VPS_REFERENCE!$D24:$H24,E24)+COUNTIF(VPS_REFERENCE!$D24:$H24,H24)+COUNTIF(VPS_REFERENCE!$D24:$H24,I24)+COUNTIF(VPS_REFERENCE!$D24:$H24,J24)+COUNTIF(VPS_REFERENCE!$D24:$H24,K24)+COUNTIF(VPS_REFERENCE!$D24:$H24,L24)+COUNTIF(VPS_REFERENCE!$D24:$H24,M24)+COUNTIF(VPS_REFERENCE!$D24:$H24,N24)+COUNTIF(VPS_REFERENCE!$D24:$H24,O24)+COUNTIF(VPS_REFERENCE!$D24:$H24,P24))=0,"PASS","FAIL")</f>
        <v>PASS</v>
      </c>
      <c r="V24" s="27" t="str">
        <f t="shared" si="3"/>
        <v>PASS</v>
      </c>
      <c r="W24" s="28" t="str">
        <f>CRAWL_LOG!B24</f>
        <v>Hoàn thành có lỗi</v>
      </c>
      <c r="X24" s="36" t="s">
        <v>57</v>
      </c>
    </row>
    <row r="25" spans="1:24">
      <c r="A25" s="23">
        <v>46288</v>
      </c>
      <c r="B25" s="24" t="s">
        <v>53</v>
      </c>
      <c r="C25" s="24" t="s">
        <v>54</v>
      </c>
      <c r="D25" s="24" t="s">
        <v>10</v>
      </c>
      <c r="E25" s="25">
        <f>SLOT_RULES!$D$4+IF($A25&lt;=SLOT_RULES!$D$4,0,INT(($A25-SLOT_RULES!$D$4-1)/SLOT_RULES!$E$4)+1)*SLOT_RULES!$E$4</f>
        <v>46297</v>
      </c>
      <c r="F25" s="63"/>
      <c r="G25" s="63"/>
      <c r="H25" s="25">
        <f>SLOT_RULES!$D$7+IF($A25&lt;=SLOT_RULES!$D$7,0,INT(($A25-SLOT_RULES!$D$7-1)/SLOT_RULES!$E$7)+1)*SLOT_RULES!$E$7</f>
        <v>46290</v>
      </c>
      <c r="I25" s="25">
        <f>SLOT_RULES!$D$8+IF($A25&lt;=SLOT_RULES!$D$8,0,INT(($A25-SLOT_RULES!$D$8-1)/SLOT_RULES!$E$8)+1)*SLOT_RULES!$E$8</f>
        <v>46300</v>
      </c>
      <c r="J25" s="25">
        <f>SLOT_RULES!$D$9+IF($A25&lt;=SLOT_RULES!$D$9,0,INT(($A25-SLOT_RULES!$D$9-1)/SLOT_RULES!$E$9)+1)*SLOT_RULES!$E$9</f>
        <v>46314</v>
      </c>
      <c r="K25" s="25">
        <f>SLOT_RULES!$D$10+IF($A25&lt;=SLOT_RULES!$D$10,0,INT(($A25-SLOT_RULES!$D$10-1)/SLOT_RULES!$E$10)+1)*SLOT_RULES!$E$10</f>
        <v>46301</v>
      </c>
      <c r="L25" s="25">
        <f>SLOT_RULES!$D$11+IF($A25&lt;=SLOT_RULES!$D$11,0,INT(($A25-SLOT_RULES!$D$11-1)/SLOT_RULES!$E$11)+1)*SLOT_RULES!$E$11</f>
        <v>46308</v>
      </c>
      <c r="M25" s="25">
        <f>SLOT_RULES!$D$12+IF($A25&lt;=SLOT_RULES!$D$12,0,INT(($A25-SLOT_RULES!$D$12-1)/SLOT_RULES!$E$12)+1)*SLOT_RULES!$E$12</f>
        <v>46313</v>
      </c>
      <c r="N25" s="25">
        <f>SLOT_RULES!$D$13+IF($A25&lt;=SLOT_RULES!$D$13,0,INT(($A25-SLOT_RULES!$D$13-1)/SLOT_RULES!$E$13)+1)*SLOT_RULES!$E$13</f>
        <v>46321</v>
      </c>
      <c r="O25" s="25">
        <f>SLOT_RULES!$D$14+IF($A25&lt;=SLOT_RULES!$D$14,0,INT(($A25-SLOT_RULES!$D$14-1)/SLOT_RULES!$E$14)+1)*SLOT_RULES!$E$14</f>
        <v>46350</v>
      </c>
      <c r="P25" s="25">
        <f>SLOT_RULES!$D$15+IF($A25&lt;=SLOT_RULES!$D$15,0,INT(($A25-SLOT_RULES!$D$15-1)/SLOT_RULES!$E$15)+1)*SLOT_RULES!$E$15</f>
        <v>46422</v>
      </c>
      <c r="Q25" s="26">
        <f t="shared" si="0"/>
        <v>2</v>
      </c>
      <c r="R25" s="26">
        <f t="shared" si="1"/>
        <v>134</v>
      </c>
      <c r="S25" s="27" t="str">
        <f t="shared" si="2"/>
        <v>PASS</v>
      </c>
      <c r="T25" s="27" t="str">
        <f>IF((COUNTIF(LOCAL_REFERENCE!$D25:$O25,E25)+COUNTIF(LOCAL_REFERENCE!$D25:$O25,H25)+COUNTIF(LOCAL_REFERENCE!$D25:$O25,I25)+COUNTIF(LOCAL_REFERENCE!$D25:$O25,J25)+COUNTIF(LOCAL_REFERENCE!$D25:$O25,K25)+COUNTIF(LOCAL_REFERENCE!$D25:$O25,L25)+COUNTIF(LOCAL_REFERENCE!$D25:$O25,M25)+COUNTIF(LOCAL_REFERENCE!$D25:$O25,N25)+COUNTIF(LOCAL_REFERENCE!$D25:$O25,O25)+COUNTIF(LOCAL_REFERENCE!$D25:$O25,P25))=0,"PASS","FAIL")</f>
        <v>PASS</v>
      </c>
      <c r="U25" s="27" t="str">
        <f>IF((COUNTIF(VPS_REFERENCE!$D25:$H25,E25)+COUNTIF(VPS_REFERENCE!$D25:$H25,H25)+COUNTIF(VPS_REFERENCE!$D25:$H25,I25)+COUNTIF(VPS_REFERENCE!$D25:$H25,J25)+COUNTIF(VPS_REFERENCE!$D25:$H25,K25)+COUNTIF(VPS_REFERENCE!$D25:$H25,L25)+COUNTIF(VPS_REFERENCE!$D25:$H25,M25)+COUNTIF(VPS_REFERENCE!$D25:$H25,N25)+COUNTIF(VPS_REFERENCE!$D25:$H25,O25)+COUNTIF(VPS_REFERENCE!$D25:$H25,P25))=0,"PASS","FAIL")</f>
        <v>PASS</v>
      </c>
      <c r="V25" s="27" t="str">
        <f t="shared" si="3"/>
        <v>PASS</v>
      </c>
      <c r="W25" s="28" t="str">
        <f>CRAWL_LOG!B25</f>
        <v>Hoàn thành có lỗi</v>
      </c>
      <c r="X25" s="36" t="s">
        <v>57</v>
      </c>
    </row>
    <row r="26" spans="1:24">
      <c r="A26" s="23">
        <v>46289</v>
      </c>
      <c r="B26" s="24" t="s">
        <v>56</v>
      </c>
      <c r="C26" s="24" t="s">
        <v>54</v>
      </c>
      <c r="D26" s="24" t="s">
        <v>10</v>
      </c>
      <c r="E26" s="25">
        <f>SLOT_RULES!$D$4+IF($A26&lt;=SLOT_RULES!$D$4,0,INT(($A26-SLOT_RULES!$D$4-1)/SLOT_RULES!$E$4)+1)*SLOT_RULES!$E$4</f>
        <v>46297</v>
      </c>
      <c r="F26" s="63"/>
      <c r="G26" s="63"/>
      <c r="H26" s="25">
        <f>SLOT_RULES!$D$7+IF($A26&lt;=SLOT_RULES!$D$7,0,INT(($A26-SLOT_RULES!$D$7-1)/SLOT_RULES!$E$7)+1)*SLOT_RULES!$E$7</f>
        <v>46290</v>
      </c>
      <c r="I26" s="25">
        <f>SLOT_RULES!$D$8+IF($A26&lt;=SLOT_RULES!$D$8,0,INT(($A26-SLOT_RULES!$D$8-1)/SLOT_RULES!$E$8)+1)*SLOT_RULES!$E$8</f>
        <v>46300</v>
      </c>
      <c r="J26" s="25">
        <f>SLOT_RULES!$D$9+IF($A26&lt;=SLOT_RULES!$D$9,0,INT(($A26-SLOT_RULES!$D$9-1)/SLOT_RULES!$E$9)+1)*SLOT_RULES!$E$9</f>
        <v>46314</v>
      </c>
      <c r="K26" s="25">
        <f>SLOT_RULES!$D$10+IF($A26&lt;=SLOT_RULES!$D$10,0,INT(($A26-SLOT_RULES!$D$10-1)/SLOT_RULES!$E$10)+1)*SLOT_RULES!$E$10</f>
        <v>46301</v>
      </c>
      <c r="L26" s="25">
        <f>SLOT_RULES!$D$11+IF($A26&lt;=SLOT_RULES!$D$11,0,INT(($A26-SLOT_RULES!$D$11-1)/SLOT_RULES!$E$11)+1)*SLOT_RULES!$E$11</f>
        <v>46308</v>
      </c>
      <c r="M26" s="25">
        <f>SLOT_RULES!$D$12+IF($A26&lt;=SLOT_RULES!$D$12,0,INT(($A26-SLOT_RULES!$D$12-1)/SLOT_RULES!$E$12)+1)*SLOT_RULES!$E$12</f>
        <v>46313</v>
      </c>
      <c r="N26" s="25">
        <f>SLOT_RULES!$D$13+IF($A26&lt;=SLOT_RULES!$D$13,0,INT(($A26-SLOT_RULES!$D$13-1)/SLOT_RULES!$E$13)+1)*SLOT_RULES!$E$13</f>
        <v>46321</v>
      </c>
      <c r="O26" s="25">
        <f>SLOT_RULES!$D$14+IF($A26&lt;=SLOT_RULES!$D$14,0,INT(($A26-SLOT_RULES!$D$14-1)/SLOT_RULES!$E$14)+1)*SLOT_RULES!$E$14</f>
        <v>46350</v>
      </c>
      <c r="P26" s="25">
        <f>SLOT_RULES!$D$15+IF($A26&lt;=SLOT_RULES!$D$15,0,INT(($A26-SLOT_RULES!$D$15-1)/SLOT_RULES!$E$15)+1)*SLOT_RULES!$E$15</f>
        <v>46422</v>
      </c>
      <c r="Q26" s="26">
        <f t="shared" si="0"/>
        <v>1</v>
      </c>
      <c r="R26" s="26">
        <f t="shared" si="1"/>
        <v>133</v>
      </c>
      <c r="S26" s="27" t="str">
        <f t="shared" si="2"/>
        <v>PASS</v>
      </c>
      <c r="T26" s="27" t="str">
        <f>IF((COUNTIF(LOCAL_REFERENCE!$D26:$O26,E26)+COUNTIF(LOCAL_REFERENCE!$D26:$O26,H26)+COUNTIF(LOCAL_REFERENCE!$D26:$O26,I26)+COUNTIF(LOCAL_REFERENCE!$D26:$O26,J26)+COUNTIF(LOCAL_REFERENCE!$D26:$O26,K26)+COUNTIF(LOCAL_REFERENCE!$D26:$O26,L26)+COUNTIF(LOCAL_REFERENCE!$D26:$O26,M26)+COUNTIF(LOCAL_REFERENCE!$D26:$O26,N26)+COUNTIF(LOCAL_REFERENCE!$D26:$O26,O26)+COUNTIF(LOCAL_REFERENCE!$D26:$O26,P26))=0,"PASS","FAIL")</f>
        <v>PASS</v>
      </c>
      <c r="U26" s="27" t="str">
        <f>IF((COUNTIF(VPS_REFERENCE!$D26:$H26,E26)+COUNTIF(VPS_REFERENCE!$D26:$H26,H26)+COUNTIF(VPS_REFERENCE!$D26:$H26,I26)+COUNTIF(VPS_REFERENCE!$D26:$H26,J26)+COUNTIF(VPS_REFERENCE!$D26:$H26,K26)+COUNTIF(VPS_REFERENCE!$D26:$H26,L26)+COUNTIF(VPS_REFERENCE!$D26:$H26,M26)+COUNTIF(VPS_REFERENCE!$D26:$H26,N26)+COUNTIF(VPS_REFERENCE!$D26:$H26,O26)+COUNTIF(VPS_REFERENCE!$D26:$H26,P26))=0,"PASS","FAIL")</f>
        <v>PASS</v>
      </c>
      <c r="V26" s="27" t="str">
        <f t="shared" si="3"/>
        <v>PASS</v>
      </c>
      <c r="W26" s="28" t="str">
        <f>CRAWL_LOG!B26</f>
        <v>Hoàn thành có lỗi</v>
      </c>
      <c r="X26" s="36" t="s">
        <v>57</v>
      </c>
    </row>
    <row r="27" spans="1:24">
      <c r="A27" s="23">
        <v>46290</v>
      </c>
      <c r="B27" s="24" t="s">
        <v>58</v>
      </c>
      <c r="C27" s="24" t="s">
        <v>54</v>
      </c>
      <c r="D27" s="24" t="s">
        <v>10</v>
      </c>
      <c r="E27" s="25">
        <f>SLOT_RULES!$D$4+IF($A27&lt;=SLOT_RULES!$D$4,0,INT(($A27-SLOT_RULES!$D$4-1)/SLOT_RULES!$E$4)+1)*SLOT_RULES!$E$4</f>
        <v>46297</v>
      </c>
      <c r="F27" s="63"/>
      <c r="G27" s="63"/>
      <c r="H27" s="25">
        <f>SLOT_RULES!$D$7+IF($A27&lt;=SLOT_RULES!$D$7,0,INT(($A27-SLOT_RULES!$D$7-1)/SLOT_RULES!$E$7)+1)*SLOT_RULES!$E$7</f>
        <v>46290</v>
      </c>
      <c r="I27" s="25">
        <f>SLOT_RULES!$D$8+IF($A27&lt;=SLOT_RULES!$D$8,0,INT(($A27-SLOT_RULES!$D$8-1)/SLOT_RULES!$E$8)+1)*SLOT_RULES!$E$8</f>
        <v>46300</v>
      </c>
      <c r="J27" s="25">
        <f>SLOT_RULES!$D$9+IF($A27&lt;=SLOT_RULES!$D$9,0,INT(($A27-SLOT_RULES!$D$9-1)/SLOT_RULES!$E$9)+1)*SLOT_RULES!$E$9</f>
        <v>46314</v>
      </c>
      <c r="K27" s="25">
        <f>SLOT_RULES!$D$10+IF($A27&lt;=SLOT_RULES!$D$10,0,INT(($A27-SLOT_RULES!$D$10-1)/SLOT_RULES!$E$10)+1)*SLOT_RULES!$E$10</f>
        <v>46301</v>
      </c>
      <c r="L27" s="25">
        <f>SLOT_RULES!$D$11+IF($A27&lt;=SLOT_RULES!$D$11,0,INT(($A27-SLOT_RULES!$D$11-1)/SLOT_RULES!$E$11)+1)*SLOT_RULES!$E$11</f>
        <v>46308</v>
      </c>
      <c r="M27" s="25">
        <f>SLOT_RULES!$D$12+IF($A27&lt;=SLOT_RULES!$D$12,0,INT(($A27-SLOT_RULES!$D$12-1)/SLOT_RULES!$E$12)+1)*SLOT_RULES!$E$12</f>
        <v>46313</v>
      </c>
      <c r="N27" s="25">
        <f>SLOT_RULES!$D$13+IF($A27&lt;=SLOT_RULES!$D$13,0,INT(($A27-SLOT_RULES!$D$13-1)/SLOT_RULES!$E$13)+1)*SLOT_RULES!$E$13</f>
        <v>46321</v>
      </c>
      <c r="O27" s="25">
        <f>SLOT_RULES!$D$14+IF($A27&lt;=SLOT_RULES!$D$14,0,INT(($A27-SLOT_RULES!$D$14-1)/SLOT_RULES!$E$14)+1)*SLOT_RULES!$E$14</f>
        <v>46350</v>
      </c>
      <c r="P27" s="25">
        <f>SLOT_RULES!$D$15+IF($A27&lt;=SLOT_RULES!$D$15,0,INT(($A27-SLOT_RULES!$D$15-1)/SLOT_RULES!$E$15)+1)*SLOT_RULES!$E$15</f>
        <v>46422</v>
      </c>
      <c r="Q27" s="26">
        <f t="shared" si="0"/>
        <v>0</v>
      </c>
      <c r="R27" s="26">
        <f t="shared" si="1"/>
        <v>132</v>
      </c>
      <c r="S27" s="27" t="str">
        <f t="shared" si="2"/>
        <v>PASS</v>
      </c>
      <c r="T27" s="27" t="str">
        <f>IF((COUNTIF(LOCAL_REFERENCE!$D27:$O27,E27)+COUNTIF(LOCAL_REFERENCE!$D27:$O27,H27)+COUNTIF(LOCAL_REFERENCE!$D27:$O27,I27)+COUNTIF(LOCAL_REFERENCE!$D27:$O27,J27)+COUNTIF(LOCAL_REFERENCE!$D27:$O27,K27)+COUNTIF(LOCAL_REFERENCE!$D27:$O27,L27)+COUNTIF(LOCAL_REFERENCE!$D27:$O27,M27)+COUNTIF(LOCAL_REFERENCE!$D27:$O27,N27)+COUNTIF(LOCAL_REFERENCE!$D27:$O27,O27)+COUNTIF(LOCAL_REFERENCE!$D27:$O27,P27))=0,"PASS","FAIL")</f>
        <v>PASS</v>
      </c>
      <c r="U27" s="27" t="str">
        <f>IF((COUNTIF(VPS_REFERENCE!$D27:$H27,E27)+COUNTIF(VPS_REFERENCE!$D27:$H27,H27)+COUNTIF(VPS_REFERENCE!$D27:$H27,I27)+COUNTIF(VPS_REFERENCE!$D27:$H27,J27)+COUNTIF(VPS_REFERENCE!$D27:$H27,K27)+COUNTIF(VPS_REFERENCE!$D27:$H27,L27)+COUNTIF(VPS_REFERENCE!$D27:$H27,M27)+COUNTIF(VPS_REFERENCE!$D27:$H27,N27)+COUNTIF(VPS_REFERENCE!$D27:$H27,O27)+COUNTIF(VPS_REFERENCE!$D27:$H27,P27))=0,"PASS","FAIL")</f>
        <v>PASS</v>
      </c>
      <c r="V27" s="27" t="str">
        <f t="shared" si="3"/>
        <v>PASS</v>
      </c>
      <c r="W27" s="28" t="str">
        <f>CRAWL_LOG!B27</f>
        <v>Hoàn thành có lỗi</v>
      </c>
      <c r="X27" s="36" t="s">
        <v>57</v>
      </c>
    </row>
    <row r="28" spans="1:24">
      <c r="A28" s="23">
        <v>46291</v>
      </c>
      <c r="B28" s="24" t="s">
        <v>59</v>
      </c>
      <c r="C28" s="24" t="s">
        <v>54</v>
      </c>
      <c r="D28" s="24" t="s">
        <v>10</v>
      </c>
      <c r="E28" s="25">
        <f>SLOT_RULES!$D$4+IF($A28&lt;=SLOT_RULES!$D$4,0,INT(($A28-SLOT_RULES!$D$4-1)/SLOT_RULES!$E$4)+1)*SLOT_RULES!$E$4</f>
        <v>46297</v>
      </c>
      <c r="F28" s="63"/>
      <c r="G28" s="63"/>
      <c r="H28" s="25">
        <f>SLOT_RULES!$D$7+IF($A28&lt;=SLOT_RULES!$D$7,0,INT(($A28-SLOT_RULES!$D$7-1)/SLOT_RULES!$E$7)+1)*SLOT_RULES!$E$7</f>
        <v>46318</v>
      </c>
      <c r="I28" s="25">
        <f>SLOT_RULES!$D$8+IF($A28&lt;=SLOT_RULES!$D$8,0,INT(($A28-SLOT_RULES!$D$8-1)/SLOT_RULES!$E$8)+1)*SLOT_RULES!$E$8</f>
        <v>46300</v>
      </c>
      <c r="J28" s="25">
        <f>SLOT_RULES!$D$9+IF($A28&lt;=SLOT_RULES!$D$9,0,INT(($A28-SLOT_RULES!$D$9-1)/SLOT_RULES!$E$9)+1)*SLOT_RULES!$E$9</f>
        <v>46314</v>
      </c>
      <c r="K28" s="25">
        <f>SLOT_RULES!$D$10+IF($A28&lt;=SLOT_RULES!$D$10,0,INT(($A28-SLOT_RULES!$D$10-1)/SLOT_RULES!$E$10)+1)*SLOT_RULES!$E$10</f>
        <v>46301</v>
      </c>
      <c r="L28" s="25">
        <f>SLOT_RULES!$D$11+IF($A28&lt;=SLOT_RULES!$D$11,0,INT(($A28-SLOT_RULES!$D$11-1)/SLOT_RULES!$E$11)+1)*SLOT_RULES!$E$11</f>
        <v>46308</v>
      </c>
      <c r="M28" s="25">
        <f>SLOT_RULES!$D$12+IF($A28&lt;=SLOT_RULES!$D$12,0,INT(($A28-SLOT_RULES!$D$12-1)/SLOT_RULES!$E$12)+1)*SLOT_RULES!$E$12</f>
        <v>46313</v>
      </c>
      <c r="N28" s="25">
        <f>SLOT_RULES!$D$13+IF($A28&lt;=SLOT_RULES!$D$13,0,INT(($A28-SLOT_RULES!$D$13-1)/SLOT_RULES!$E$13)+1)*SLOT_RULES!$E$13</f>
        <v>46321</v>
      </c>
      <c r="O28" s="25">
        <f>SLOT_RULES!$D$14+IF($A28&lt;=SLOT_RULES!$D$14,0,INT(($A28-SLOT_RULES!$D$14-1)/SLOT_RULES!$E$14)+1)*SLOT_RULES!$E$14</f>
        <v>46350</v>
      </c>
      <c r="P28" s="25">
        <f>SLOT_RULES!$D$15+IF($A28&lt;=SLOT_RULES!$D$15,0,INT(($A28-SLOT_RULES!$D$15-1)/SLOT_RULES!$E$15)+1)*SLOT_RULES!$E$15</f>
        <v>46422</v>
      </c>
      <c r="Q28" s="26">
        <f t="shared" si="0"/>
        <v>6</v>
      </c>
      <c r="R28" s="26">
        <f t="shared" si="1"/>
        <v>131</v>
      </c>
      <c r="S28" s="27" t="str">
        <f t="shared" si="2"/>
        <v>PASS</v>
      </c>
      <c r="T28" s="27" t="str">
        <f>IF((COUNTIF(LOCAL_REFERENCE!$D28:$O28,E28)+COUNTIF(LOCAL_REFERENCE!$D28:$O28,H28)+COUNTIF(LOCAL_REFERENCE!$D28:$O28,I28)+COUNTIF(LOCAL_REFERENCE!$D28:$O28,J28)+COUNTIF(LOCAL_REFERENCE!$D28:$O28,K28)+COUNTIF(LOCAL_REFERENCE!$D28:$O28,L28)+COUNTIF(LOCAL_REFERENCE!$D28:$O28,M28)+COUNTIF(LOCAL_REFERENCE!$D28:$O28,N28)+COUNTIF(LOCAL_REFERENCE!$D28:$O28,O28)+COUNTIF(LOCAL_REFERENCE!$D28:$O28,P28))=0,"PASS","FAIL")</f>
        <v>PASS</v>
      </c>
      <c r="U28" s="27" t="str">
        <f>IF((COUNTIF(VPS_REFERENCE!$D28:$H28,E28)+COUNTIF(VPS_REFERENCE!$D28:$H28,H28)+COUNTIF(VPS_REFERENCE!$D28:$H28,I28)+COUNTIF(VPS_REFERENCE!$D28:$H28,J28)+COUNTIF(VPS_REFERENCE!$D28:$H28,K28)+COUNTIF(VPS_REFERENCE!$D28:$H28,L28)+COUNTIF(VPS_REFERENCE!$D28:$H28,M28)+COUNTIF(VPS_REFERENCE!$D28:$H28,N28)+COUNTIF(VPS_REFERENCE!$D28:$H28,O28)+COUNTIF(VPS_REFERENCE!$D28:$H28,P28))=0,"PASS","FAIL")</f>
        <v>PASS</v>
      </c>
      <c r="V28" s="27" t="str">
        <f t="shared" si="3"/>
        <v>PASS</v>
      </c>
      <c r="W28" s="28" t="str">
        <f>CRAWL_LOG!B28</f>
        <v>Hoàn thành có lỗi</v>
      </c>
      <c r="X28" s="36" t="s">
        <v>57</v>
      </c>
    </row>
    <row r="29" spans="1:24">
      <c r="A29" s="23">
        <v>46292</v>
      </c>
      <c r="B29" s="24" t="s">
        <v>60</v>
      </c>
      <c r="C29" s="24" t="s">
        <v>54</v>
      </c>
      <c r="D29" s="24" t="s">
        <v>10</v>
      </c>
      <c r="E29" s="25">
        <f>SLOT_RULES!$D$4+IF($A29&lt;=SLOT_RULES!$D$4,0,INT(($A29-SLOT_RULES!$D$4-1)/SLOT_RULES!$E$4)+1)*SLOT_RULES!$E$4</f>
        <v>46297</v>
      </c>
      <c r="F29" s="63"/>
      <c r="G29" s="63"/>
      <c r="H29" s="25">
        <f>SLOT_RULES!$D$7+IF($A29&lt;=SLOT_RULES!$D$7,0,INT(($A29-SLOT_RULES!$D$7-1)/SLOT_RULES!$E$7)+1)*SLOT_RULES!$E$7</f>
        <v>46318</v>
      </c>
      <c r="I29" s="25">
        <f>SLOT_RULES!$D$8+IF($A29&lt;=SLOT_RULES!$D$8,0,INT(($A29-SLOT_RULES!$D$8-1)/SLOT_RULES!$E$8)+1)*SLOT_RULES!$E$8</f>
        <v>46300</v>
      </c>
      <c r="J29" s="25">
        <f>SLOT_RULES!$D$9+IF($A29&lt;=SLOT_RULES!$D$9,0,INT(($A29-SLOT_RULES!$D$9-1)/SLOT_RULES!$E$9)+1)*SLOT_RULES!$E$9</f>
        <v>46314</v>
      </c>
      <c r="K29" s="25">
        <f>SLOT_RULES!$D$10+IF($A29&lt;=SLOT_RULES!$D$10,0,INT(($A29-SLOT_RULES!$D$10-1)/SLOT_RULES!$E$10)+1)*SLOT_RULES!$E$10</f>
        <v>46301</v>
      </c>
      <c r="L29" s="25">
        <f>SLOT_RULES!$D$11+IF($A29&lt;=SLOT_RULES!$D$11,0,INT(($A29-SLOT_RULES!$D$11-1)/SLOT_RULES!$E$11)+1)*SLOT_RULES!$E$11</f>
        <v>46308</v>
      </c>
      <c r="M29" s="25">
        <f>SLOT_RULES!$D$12+IF($A29&lt;=SLOT_RULES!$D$12,0,INT(($A29-SLOT_RULES!$D$12-1)/SLOT_RULES!$E$12)+1)*SLOT_RULES!$E$12</f>
        <v>46313</v>
      </c>
      <c r="N29" s="25">
        <f>SLOT_RULES!$D$13+IF($A29&lt;=SLOT_RULES!$D$13,0,INT(($A29-SLOT_RULES!$D$13-1)/SLOT_RULES!$E$13)+1)*SLOT_RULES!$E$13</f>
        <v>46321</v>
      </c>
      <c r="O29" s="25">
        <f>SLOT_RULES!$D$14+IF($A29&lt;=SLOT_RULES!$D$14,0,INT(($A29-SLOT_RULES!$D$14-1)/SLOT_RULES!$E$14)+1)*SLOT_RULES!$E$14</f>
        <v>46350</v>
      </c>
      <c r="P29" s="25">
        <f>SLOT_RULES!$D$15+IF($A29&lt;=SLOT_RULES!$D$15,0,INT(($A29-SLOT_RULES!$D$15-1)/SLOT_RULES!$E$15)+1)*SLOT_RULES!$E$15</f>
        <v>46422</v>
      </c>
      <c r="Q29" s="26">
        <f t="shared" si="0"/>
        <v>5</v>
      </c>
      <c r="R29" s="26">
        <f t="shared" si="1"/>
        <v>130</v>
      </c>
      <c r="S29" s="27" t="str">
        <f t="shared" si="2"/>
        <v>PASS</v>
      </c>
      <c r="T29" s="27" t="str">
        <f>IF((COUNTIF(LOCAL_REFERENCE!$D29:$O29,E29)+COUNTIF(LOCAL_REFERENCE!$D29:$O29,H29)+COUNTIF(LOCAL_REFERENCE!$D29:$O29,I29)+COUNTIF(LOCAL_REFERENCE!$D29:$O29,J29)+COUNTIF(LOCAL_REFERENCE!$D29:$O29,K29)+COUNTIF(LOCAL_REFERENCE!$D29:$O29,L29)+COUNTIF(LOCAL_REFERENCE!$D29:$O29,M29)+COUNTIF(LOCAL_REFERENCE!$D29:$O29,N29)+COUNTIF(LOCAL_REFERENCE!$D29:$O29,O29)+COUNTIF(LOCAL_REFERENCE!$D29:$O29,P29))=0,"PASS","FAIL")</f>
        <v>PASS</v>
      </c>
      <c r="U29" s="27" t="str">
        <f>IF((COUNTIF(VPS_REFERENCE!$D29:$H29,E29)+COUNTIF(VPS_REFERENCE!$D29:$H29,H29)+COUNTIF(VPS_REFERENCE!$D29:$H29,I29)+COUNTIF(VPS_REFERENCE!$D29:$H29,J29)+COUNTIF(VPS_REFERENCE!$D29:$H29,K29)+COUNTIF(VPS_REFERENCE!$D29:$H29,L29)+COUNTIF(VPS_REFERENCE!$D29:$H29,M29)+COUNTIF(VPS_REFERENCE!$D29:$H29,N29)+COUNTIF(VPS_REFERENCE!$D29:$H29,O29)+COUNTIF(VPS_REFERENCE!$D29:$H29,P29))=0,"PASS","FAIL")</f>
        <v>PASS</v>
      </c>
      <c r="V29" s="27" t="str">
        <f t="shared" si="3"/>
        <v>PASS</v>
      </c>
      <c r="W29" s="28" t="str">
        <f>CRAWL_LOG!B29</f>
        <v>Hoàn thành có lỗi</v>
      </c>
      <c r="X29" s="36" t="s">
        <v>57</v>
      </c>
    </row>
    <row r="30" spans="1:24">
      <c r="A30" s="23">
        <v>46293</v>
      </c>
      <c r="B30" s="24" t="s">
        <v>61</v>
      </c>
      <c r="C30" s="24" t="s">
        <v>54</v>
      </c>
      <c r="D30" s="24" t="s">
        <v>10</v>
      </c>
      <c r="E30" s="25">
        <f>SLOT_RULES!$D$4+IF($A30&lt;=SLOT_RULES!$D$4,0,INT(($A30-SLOT_RULES!$D$4-1)/SLOT_RULES!$E$4)+1)*SLOT_RULES!$E$4</f>
        <v>46297</v>
      </c>
      <c r="F30" s="63"/>
      <c r="G30" s="63"/>
      <c r="H30" s="25">
        <f>SLOT_RULES!$D$7+IF($A30&lt;=SLOT_RULES!$D$7,0,INT(($A30-SLOT_RULES!$D$7-1)/SLOT_RULES!$E$7)+1)*SLOT_RULES!$E$7</f>
        <v>46318</v>
      </c>
      <c r="I30" s="25">
        <f>SLOT_RULES!$D$8+IF($A30&lt;=SLOT_RULES!$D$8,0,INT(($A30-SLOT_RULES!$D$8-1)/SLOT_RULES!$E$8)+1)*SLOT_RULES!$E$8</f>
        <v>46300</v>
      </c>
      <c r="J30" s="25">
        <f>SLOT_RULES!$D$9+IF($A30&lt;=SLOT_RULES!$D$9,0,INT(($A30-SLOT_RULES!$D$9-1)/SLOT_RULES!$E$9)+1)*SLOT_RULES!$E$9</f>
        <v>46314</v>
      </c>
      <c r="K30" s="25">
        <f>SLOT_RULES!$D$10+IF($A30&lt;=SLOT_RULES!$D$10,0,INT(($A30-SLOT_RULES!$D$10-1)/SLOT_RULES!$E$10)+1)*SLOT_RULES!$E$10</f>
        <v>46301</v>
      </c>
      <c r="L30" s="25">
        <f>SLOT_RULES!$D$11+IF($A30&lt;=SLOT_RULES!$D$11,0,INT(($A30-SLOT_RULES!$D$11-1)/SLOT_RULES!$E$11)+1)*SLOT_RULES!$E$11</f>
        <v>46308</v>
      </c>
      <c r="M30" s="25">
        <f>SLOT_RULES!$D$12+IF($A30&lt;=SLOT_RULES!$D$12,0,INT(($A30-SLOT_RULES!$D$12-1)/SLOT_RULES!$E$12)+1)*SLOT_RULES!$E$12</f>
        <v>46313</v>
      </c>
      <c r="N30" s="25">
        <f>SLOT_RULES!$D$13+IF($A30&lt;=SLOT_RULES!$D$13,0,INT(($A30-SLOT_RULES!$D$13-1)/SLOT_RULES!$E$13)+1)*SLOT_RULES!$E$13</f>
        <v>46321</v>
      </c>
      <c r="O30" s="25">
        <f>SLOT_RULES!$D$14+IF($A30&lt;=SLOT_RULES!$D$14,0,INT(($A30-SLOT_RULES!$D$14-1)/SLOT_RULES!$E$14)+1)*SLOT_RULES!$E$14</f>
        <v>46350</v>
      </c>
      <c r="P30" s="25">
        <f>SLOT_RULES!$D$15+IF($A30&lt;=SLOT_RULES!$D$15,0,INT(($A30-SLOT_RULES!$D$15-1)/SLOT_RULES!$E$15)+1)*SLOT_RULES!$E$15</f>
        <v>46422</v>
      </c>
      <c r="Q30" s="26">
        <f t="shared" si="0"/>
        <v>4</v>
      </c>
      <c r="R30" s="26">
        <f t="shared" si="1"/>
        <v>129</v>
      </c>
      <c r="S30" s="27" t="str">
        <f t="shared" si="2"/>
        <v>PASS</v>
      </c>
      <c r="T30" s="27" t="str">
        <f>IF((COUNTIF(LOCAL_REFERENCE!$D30:$O30,E30)+COUNTIF(LOCAL_REFERENCE!$D30:$O30,H30)+COUNTIF(LOCAL_REFERENCE!$D30:$O30,I30)+COUNTIF(LOCAL_REFERENCE!$D30:$O30,J30)+COUNTIF(LOCAL_REFERENCE!$D30:$O30,K30)+COUNTIF(LOCAL_REFERENCE!$D30:$O30,L30)+COUNTIF(LOCAL_REFERENCE!$D30:$O30,M30)+COUNTIF(LOCAL_REFERENCE!$D30:$O30,N30)+COUNTIF(LOCAL_REFERENCE!$D30:$O30,O30)+COUNTIF(LOCAL_REFERENCE!$D30:$O30,P30))=0,"PASS","FAIL")</f>
        <v>PASS</v>
      </c>
      <c r="U30" s="27" t="str">
        <f>IF((COUNTIF(VPS_REFERENCE!$D30:$H30,E30)+COUNTIF(VPS_REFERENCE!$D30:$H30,H30)+COUNTIF(VPS_REFERENCE!$D30:$H30,I30)+COUNTIF(VPS_REFERENCE!$D30:$H30,J30)+COUNTIF(VPS_REFERENCE!$D30:$H30,K30)+COUNTIF(VPS_REFERENCE!$D30:$H30,L30)+COUNTIF(VPS_REFERENCE!$D30:$H30,M30)+COUNTIF(VPS_REFERENCE!$D30:$H30,N30)+COUNTIF(VPS_REFERENCE!$D30:$H30,O30)+COUNTIF(VPS_REFERENCE!$D30:$H30,P30))=0,"PASS","FAIL")</f>
        <v>PASS</v>
      </c>
      <c r="V30" s="27" t="str">
        <f t="shared" si="3"/>
        <v>PASS</v>
      </c>
      <c r="W30" s="28" t="str">
        <f>CRAWL_LOG!B30</f>
        <v>Hoàn thành có lỗi</v>
      </c>
      <c r="X30" s="36" t="s">
        <v>57</v>
      </c>
    </row>
    <row r="31" spans="1:24">
      <c r="A31" s="23">
        <v>46294</v>
      </c>
      <c r="B31" s="24" t="s">
        <v>62</v>
      </c>
      <c r="C31" s="24" t="s">
        <v>54</v>
      </c>
      <c r="D31" s="24" t="s">
        <v>10</v>
      </c>
      <c r="E31" s="25">
        <f>SLOT_RULES!$D$4+IF($A31&lt;=SLOT_RULES!$D$4,0,INT(($A31-SLOT_RULES!$D$4-1)/SLOT_RULES!$E$4)+1)*SLOT_RULES!$E$4</f>
        <v>46297</v>
      </c>
      <c r="F31" s="63"/>
      <c r="G31" s="63"/>
      <c r="H31" s="25">
        <f>SLOT_RULES!$D$7+IF($A31&lt;=SLOT_RULES!$D$7,0,INT(($A31-SLOT_RULES!$D$7-1)/SLOT_RULES!$E$7)+1)*SLOT_RULES!$E$7</f>
        <v>46318</v>
      </c>
      <c r="I31" s="25">
        <f>SLOT_RULES!$D$8+IF($A31&lt;=SLOT_RULES!$D$8,0,INT(($A31-SLOT_RULES!$D$8-1)/SLOT_RULES!$E$8)+1)*SLOT_RULES!$E$8</f>
        <v>46300</v>
      </c>
      <c r="J31" s="25">
        <f>SLOT_RULES!$D$9+IF($A31&lt;=SLOT_RULES!$D$9,0,INT(($A31-SLOT_RULES!$D$9-1)/SLOT_RULES!$E$9)+1)*SLOT_RULES!$E$9</f>
        <v>46314</v>
      </c>
      <c r="K31" s="25">
        <f>SLOT_RULES!$D$10+IF($A31&lt;=SLOT_RULES!$D$10,0,INT(($A31-SLOT_RULES!$D$10-1)/SLOT_RULES!$E$10)+1)*SLOT_RULES!$E$10</f>
        <v>46301</v>
      </c>
      <c r="L31" s="25">
        <f>SLOT_RULES!$D$11+IF($A31&lt;=SLOT_RULES!$D$11,0,INT(($A31-SLOT_RULES!$D$11-1)/SLOT_RULES!$E$11)+1)*SLOT_RULES!$E$11</f>
        <v>46308</v>
      </c>
      <c r="M31" s="25">
        <f>SLOT_RULES!$D$12+IF($A31&lt;=SLOT_RULES!$D$12,0,INT(($A31-SLOT_RULES!$D$12-1)/SLOT_RULES!$E$12)+1)*SLOT_RULES!$E$12</f>
        <v>46313</v>
      </c>
      <c r="N31" s="25">
        <f>SLOT_RULES!$D$13+IF($A31&lt;=SLOT_RULES!$D$13,0,INT(($A31-SLOT_RULES!$D$13-1)/SLOT_RULES!$E$13)+1)*SLOT_RULES!$E$13</f>
        <v>46321</v>
      </c>
      <c r="O31" s="25">
        <f>SLOT_RULES!$D$14+IF($A31&lt;=SLOT_RULES!$D$14,0,INT(($A31-SLOT_RULES!$D$14-1)/SLOT_RULES!$E$14)+1)*SLOT_RULES!$E$14</f>
        <v>46350</v>
      </c>
      <c r="P31" s="25">
        <f>SLOT_RULES!$D$15+IF($A31&lt;=SLOT_RULES!$D$15,0,INT(($A31-SLOT_RULES!$D$15-1)/SLOT_RULES!$E$15)+1)*SLOT_RULES!$E$15</f>
        <v>46422</v>
      </c>
      <c r="Q31" s="26">
        <f t="shared" si="0"/>
        <v>3</v>
      </c>
      <c r="R31" s="26">
        <f t="shared" si="1"/>
        <v>128</v>
      </c>
      <c r="S31" s="27" t="str">
        <f t="shared" si="2"/>
        <v>PASS</v>
      </c>
      <c r="T31" s="27" t="str">
        <f>IF((COUNTIF(LOCAL_REFERENCE!$D31:$O31,E31)+COUNTIF(LOCAL_REFERENCE!$D31:$O31,H31)+COUNTIF(LOCAL_REFERENCE!$D31:$O31,I31)+COUNTIF(LOCAL_REFERENCE!$D31:$O31,J31)+COUNTIF(LOCAL_REFERENCE!$D31:$O31,K31)+COUNTIF(LOCAL_REFERENCE!$D31:$O31,L31)+COUNTIF(LOCAL_REFERENCE!$D31:$O31,M31)+COUNTIF(LOCAL_REFERENCE!$D31:$O31,N31)+COUNTIF(LOCAL_REFERENCE!$D31:$O31,O31)+COUNTIF(LOCAL_REFERENCE!$D31:$O31,P31))=0,"PASS","FAIL")</f>
        <v>PASS</v>
      </c>
      <c r="U31" s="27" t="str">
        <f>IF((COUNTIF(VPS_REFERENCE!$D31:$H31,E31)+COUNTIF(VPS_REFERENCE!$D31:$H31,H31)+COUNTIF(VPS_REFERENCE!$D31:$H31,I31)+COUNTIF(VPS_REFERENCE!$D31:$H31,J31)+COUNTIF(VPS_REFERENCE!$D31:$H31,K31)+COUNTIF(VPS_REFERENCE!$D31:$H31,L31)+COUNTIF(VPS_REFERENCE!$D31:$H31,M31)+COUNTIF(VPS_REFERENCE!$D31:$H31,N31)+COUNTIF(VPS_REFERENCE!$D31:$H31,O31)+COUNTIF(VPS_REFERENCE!$D31:$H31,P31))=0,"PASS","FAIL")</f>
        <v>PASS</v>
      </c>
      <c r="V31" s="27" t="str">
        <f t="shared" si="3"/>
        <v>PASS</v>
      </c>
      <c r="W31" s="28" t="str">
        <f>CRAWL_LOG!B31</f>
        <v>Hoàn thành có lỗi</v>
      </c>
      <c r="X31" s="36" t="s">
        <v>57</v>
      </c>
    </row>
    <row r="32" spans="1:24">
      <c r="A32" s="23">
        <v>46295</v>
      </c>
      <c r="B32" s="24" t="s">
        <v>53</v>
      </c>
      <c r="C32" s="24" t="s">
        <v>54</v>
      </c>
      <c r="D32" s="24" t="s">
        <v>10</v>
      </c>
      <c r="E32" s="25">
        <f>SLOT_RULES!$D$4+IF($A32&lt;=SLOT_RULES!$D$4,0,INT(($A32-SLOT_RULES!$D$4-1)/SLOT_RULES!$E$4)+1)*SLOT_RULES!$E$4</f>
        <v>46297</v>
      </c>
      <c r="F32" s="63"/>
      <c r="G32" s="63"/>
      <c r="H32" s="25">
        <f>SLOT_RULES!$D$7+IF($A32&lt;=SLOT_RULES!$D$7,0,INT(($A32-SLOT_RULES!$D$7-1)/SLOT_RULES!$E$7)+1)*SLOT_RULES!$E$7</f>
        <v>46318</v>
      </c>
      <c r="I32" s="25">
        <f>SLOT_RULES!$D$8+IF($A32&lt;=SLOT_RULES!$D$8,0,INT(($A32-SLOT_RULES!$D$8-1)/SLOT_RULES!$E$8)+1)*SLOT_RULES!$E$8</f>
        <v>46300</v>
      </c>
      <c r="J32" s="25">
        <f>SLOT_RULES!$D$9+IF($A32&lt;=SLOT_RULES!$D$9,0,INT(($A32-SLOT_RULES!$D$9-1)/SLOT_RULES!$E$9)+1)*SLOT_RULES!$E$9</f>
        <v>46314</v>
      </c>
      <c r="K32" s="25">
        <f>SLOT_RULES!$D$10+IF($A32&lt;=SLOT_RULES!$D$10,0,INT(($A32-SLOT_RULES!$D$10-1)/SLOT_RULES!$E$10)+1)*SLOT_RULES!$E$10</f>
        <v>46301</v>
      </c>
      <c r="L32" s="25">
        <f>SLOT_RULES!$D$11+IF($A32&lt;=SLOT_RULES!$D$11,0,INT(($A32-SLOT_RULES!$D$11-1)/SLOT_RULES!$E$11)+1)*SLOT_RULES!$E$11</f>
        <v>46308</v>
      </c>
      <c r="M32" s="25">
        <f>SLOT_RULES!$D$12+IF($A32&lt;=SLOT_RULES!$D$12,0,INT(($A32-SLOT_RULES!$D$12-1)/SLOT_RULES!$E$12)+1)*SLOT_RULES!$E$12</f>
        <v>46313</v>
      </c>
      <c r="N32" s="25">
        <f>SLOT_RULES!$D$13+IF($A32&lt;=SLOT_RULES!$D$13,0,INT(($A32-SLOT_RULES!$D$13-1)/SLOT_RULES!$E$13)+1)*SLOT_RULES!$E$13</f>
        <v>46321</v>
      </c>
      <c r="O32" s="25">
        <f>SLOT_RULES!$D$14+IF($A32&lt;=SLOT_RULES!$D$14,0,INT(($A32-SLOT_RULES!$D$14-1)/SLOT_RULES!$E$14)+1)*SLOT_RULES!$E$14</f>
        <v>46350</v>
      </c>
      <c r="P32" s="25">
        <f>SLOT_RULES!$D$15+IF($A32&lt;=SLOT_RULES!$D$15,0,INT(($A32-SLOT_RULES!$D$15-1)/SLOT_RULES!$E$15)+1)*SLOT_RULES!$E$15</f>
        <v>46422</v>
      </c>
      <c r="Q32" s="26">
        <f t="shared" si="0"/>
        <v>2</v>
      </c>
      <c r="R32" s="26">
        <f t="shared" si="1"/>
        <v>127</v>
      </c>
      <c r="S32" s="27" t="str">
        <f t="shared" si="2"/>
        <v>PASS</v>
      </c>
      <c r="T32" s="27" t="str">
        <f>IF((COUNTIF(LOCAL_REFERENCE!$D32:$O32,E32)+COUNTIF(LOCAL_REFERENCE!$D32:$O32,H32)+COUNTIF(LOCAL_REFERENCE!$D32:$O32,I32)+COUNTIF(LOCAL_REFERENCE!$D32:$O32,J32)+COUNTIF(LOCAL_REFERENCE!$D32:$O32,K32)+COUNTIF(LOCAL_REFERENCE!$D32:$O32,L32)+COUNTIF(LOCAL_REFERENCE!$D32:$O32,M32)+COUNTIF(LOCAL_REFERENCE!$D32:$O32,N32)+COUNTIF(LOCAL_REFERENCE!$D32:$O32,O32)+COUNTIF(LOCAL_REFERENCE!$D32:$O32,P32))=0,"PASS","FAIL")</f>
        <v>PASS</v>
      </c>
      <c r="U32" s="27" t="str">
        <f>IF((COUNTIF(VPS_REFERENCE!$D32:$H32,E32)+COUNTIF(VPS_REFERENCE!$D32:$H32,H32)+COUNTIF(VPS_REFERENCE!$D32:$H32,I32)+COUNTIF(VPS_REFERENCE!$D32:$H32,J32)+COUNTIF(VPS_REFERENCE!$D32:$H32,K32)+COUNTIF(VPS_REFERENCE!$D32:$H32,L32)+COUNTIF(VPS_REFERENCE!$D32:$H32,M32)+COUNTIF(VPS_REFERENCE!$D32:$H32,N32)+COUNTIF(VPS_REFERENCE!$D32:$H32,O32)+COUNTIF(VPS_REFERENCE!$D32:$H32,P32))=0,"PASS","FAIL")</f>
        <v>PASS</v>
      </c>
      <c r="V32" s="27" t="str">
        <f t="shared" si="3"/>
        <v>PASS</v>
      </c>
      <c r="W32" s="28" t="str">
        <f>CRAWL_LOG!B32</f>
        <v>Hoàn thành có lỗi</v>
      </c>
      <c r="X32" s="36" t="s">
        <v>57</v>
      </c>
    </row>
    <row r="33" spans="1:24">
      <c r="A33" s="23">
        <v>46296</v>
      </c>
      <c r="B33" s="24" t="s">
        <v>56</v>
      </c>
      <c r="C33" s="24" t="s">
        <v>54</v>
      </c>
      <c r="D33" s="24" t="s">
        <v>10</v>
      </c>
      <c r="E33" s="25">
        <f>SLOT_RULES!$D$4+IF($A33&lt;=SLOT_RULES!$D$4,0,INT(($A33-SLOT_RULES!$D$4-1)/SLOT_RULES!$E$4)+1)*SLOT_RULES!$E$4</f>
        <v>46297</v>
      </c>
      <c r="F33" s="63"/>
      <c r="G33" s="63"/>
      <c r="H33" s="25">
        <f>SLOT_RULES!$D$7+IF($A33&lt;=SLOT_RULES!$D$7,0,INT(($A33-SLOT_RULES!$D$7-1)/SLOT_RULES!$E$7)+1)*SLOT_RULES!$E$7</f>
        <v>46318</v>
      </c>
      <c r="I33" s="25">
        <f>SLOT_RULES!$D$8+IF($A33&lt;=SLOT_RULES!$D$8,0,INT(($A33-SLOT_RULES!$D$8-1)/SLOT_RULES!$E$8)+1)*SLOT_RULES!$E$8</f>
        <v>46300</v>
      </c>
      <c r="J33" s="25">
        <f>SLOT_RULES!$D$9+IF($A33&lt;=SLOT_RULES!$D$9,0,INT(($A33-SLOT_RULES!$D$9-1)/SLOT_RULES!$E$9)+1)*SLOT_RULES!$E$9</f>
        <v>46314</v>
      </c>
      <c r="K33" s="25">
        <f>SLOT_RULES!$D$10+IF($A33&lt;=SLOT_RULES!$D$10,0,INT(($A33-SLOT_RULES!$D$10-1)/SLOT_RULES!$E$10)+1)*SLOT_RULES!$E$10</f>
        <v>46301</v>
      </c>
      <c r="L33" s="25">
        <f>SLOT_RULES!$D$11+IF($A33&lt;=SLOT_RULES!$D$11,0,INT(($A33-SLOT_RULES!$D$11-1)/SLOT_RULES!$E$11)+1)*SLOT_RULES!$E$11</f>
        <v>46308</v>
      </c>
      <c r="M33" s="25">
        <f>SLOT_RULES!$D$12+IF($A33&lt;=SLOT_RULES!$D$12,0,INT(($A33-SLOT_RULES!$D$12-1)/SLOT_RULES!$E$12)+1)*SLOT_RULES!$E$12</f>
        <v>46313</v>
      </c>
      <c r="N33" s="25">
        <f>SLOT_RULES!$D$13+IF($A33&lt;=SLOT_RULES!$D$13,0,INT(($A33-SLOT_RULES!$D$13-1)/SLOT_RULES!$E$13)+1)*SLOT_RULES!$E$13</f>
        <v>46321</v>
      </c>
      <c r="O33" s="25">
        <f>SLOT_RULES!$D$14+IF($A33&lt;=SLOT_RULES!$D$14,0,INT(($A33-SLOT_RULES!$D$14-1)/SLOT_RULES!$E$14)+1)*SLOT_RULES!$E$14</f>
        <v>46350</v>
      </c>
      <c r="P33" s="25">
        <f>SLOT_RULES!$D$15+IF($A33&lt;=SLOT_RULES!$D$15,0,INT(($A33-SLOT_RULES!$D$15-1)/SLOT_RULES!$E$15)+1)*SLOT_RULES!$E$15</f>
        <v>46422</v>
      </c>
      <c r="Q33" s="26">
        <f t="shared" si="0"/>
        <v>1</v>
      </c>
      <c r="R33" s="26">
        <f t="shared" si="1"/>
        <v>126</v>
      </c>
      <c r="S33" s="27" t="str">
        <f t="shared" si="2"/>
        <v>PASS</v>
      </c>
      <c r="T33" s="27" t="str">
        <f>IF((COUNTIF(LOCAL_REFERENCE!$D33:$O33,E33)+COUNTIF(LOCAL_REFERENCE!$D33:$O33,H33)+COUNTIF(LOCAL_REFERENCE!$D33:$O33,I33)+COUNTIF(LOCAL_REFERENCE!$D33:$O33,J33)+COUNTIF(LOCAL_REFERENCE!$D33:$O33,K33)+COUNTIF(LOCAL_REFERENCE!$D33:$O33,L33)+COUNTIF(LOCAL_REFERENCE!$D33:$O33,M33)+COUNTIF(LOCAL_REFERENCE!$D33:$O33,N33)+COUNTIF(LOCAL_REFERENCE!$D33:$O33,O33)+COUNTIF(LOCAL_REFERENCE!$D33:$O33,P33))=0,"PASS","FAIL")</f>
        <v>PASS</v>
      </c>
      <c r="U33" s="27" t="str">
        <f>IF((COUNTIF(VPS_REFERENCE!$D33:$H33,E33)+COUNTIF(VPS_REFERENCE!$D33:$H33,H33)+COUNTIF(VPS_REFERENCE!$D33:$H33,I33)+COUNTIF(VPS_REFERENCE!$D33:$H33,J33)+COUNTIF(VPS_REFERENCE!$D33:$H33,K33)+COUNTIF(VPS_REFERENCE!$D33:$H33,L33)+COUNTIF(VPS_REFERENCE!$D33:$H33,M33)+COUNTIF(VPS_REFERENCE!$D33:$H33,N33)+COUNTIF(VPS_REFERENCE!$D33:$H33,O33)+COUNTIF(VPS_REFERENCE!$D33:$H33,P33))=0,"PASS","FAIL")</f>
        <v>PASS</v>
      </c>
      <c r="V33" s="27" t="str">
        <f t="shared" si="3"/>
        <v>PASS</v>
      </c>
      <c r="W33" s="28" t="str">
        <f>CRAWL_LOG!B33</f>
        <v>Hoàn thành có lỗi</v>
      </c>
      <c r="X33" s="36" t="s">
        <v>57</v>
      </c>
    </row>
    <row r="34" spans="1:24">
      <c r="A34" s="23">
        <v>46297</v>
      </c>
      <c r="B34" s="24" t="s">
        <v>58</v>
      </c>
      <c r="C34" s="24" t="s">
        <v>54</v>
      </c>
      <c r="D34" s="24" t="s">
        <v>10</v>
      </c>
      <c r="E34" s="25">
        <f>SLOT_RULES!$D$4+IF($A34&lt;=SLOT_RULES!$D$4,0,INT(($A34-SLOT_RULES!$D$4-1)/SLOT_RULES!$E$4)+1)*SLOT_RULES!$E$4</f>
        <v>46297</v>
      </c>
      <c r="F34" s="63"/>
      <c r="G34" s="63"/>
      <c r="H34" s="25">
        <f>SLOT_RULES!$D$7+IF($A34&lt;=SLOT_RULES!$D$7,0,INT(($A34-SLOT_RULES!$D$7-1)/SLOT_RULES!$E$7)+1)*SLOT_RULES!$E$7</f>
        <v>46318</v>
      </c>
      <c r="I34" s="25">
        <f>SLOT_RULES!$D$8+IF($A34&lt;=SLOT_RULES!$D$8,0,INT(($A34-SLOT_RULES!$D$8-1)/SLOT_RULES!$E$8)+1)*SLOT_RULES!$E$8</f>
        <v>46300</v>
      </c>
      <c r="J34" s="25">
        <f>SLOT_RULES!$D$9+IF($A34&lt;=SLOT_RULES!$D$9,0,INT(($A34-SLOT_RULES!$D$9-1)/SLOT_RULES!$E$9)+1)*SLOT_RULES!$E$9</f>
        <v>46314</v>
      </c>
      <c r="K34" s="25">
        <f>SLOT_RULES!$D$10+IF($A34&lt;=SLOT_RULES!$D$10,0,INT(($A34-SLOT_RULES!$D$10-1)/SLOT_RULES!$E$10)+1)*SLOT_RULES!$E$10</f>
        <v>46301</v>
      </c>
      <c r="L34" s="25">
        <f>SLOT_RULES!$D$11+IF($A34&lt;=SLOT_RULES!$D$11,0,INT(($A34-SLOT_RULES!$D$11-1)/SLOT_RULES!$E$11)+1)*SLOT_RULES!$E$11</f>
        <v>46308</v>
      </c>
      <c r="M34" s="25">
        <f>SLOT_RULES!$D$12+IF($A34&lt;=SLOT_RULES!$D$12,0,INT(($A34-SLOT_RULES!$D$12-1)/SLOT_RULES!$E$12)+1)*SLOT_RULES!$E$12</f>
        <v>46313</v>
      </c>
      <c r="N34" s="25">
        <f>SLOT_RULES!$D$13+IF($A34&lt;=SLOT_RULES!$D$13,0,INT(($A34-SLOT_RULES!$D$13-1)/SLOT_RULES!$E$13)+1)*SLOT_RULES!$E$13</f>
        <v>46321</v>
      </c>
      <c r="O34" s="25">
        <f>SLOT_RULES!$D$14+IF($A34&lt;=SLOT_RULES!$D$14,0,INT(($A34-SLOT_RULES!$D$14-1)/SLOT_RULES!$E$14)+1)*SLOT_RULES!$E$14</f>
        <v>46350</v>
      </c>
      <c r="P34" s="25">
        <f>SLOT_RULES!$D$15+IF($A34&lt;=SLOT_RULES!$D$15,0,INT(($A34-SLOT_RULES!$D$15-1)/SLOT_RULES!$E$15)+1)*SLOT_RULES!$E$15</f>
        <v>46422</v>
      </c>
      <c r="Q34" s="26">
        <f t="shared" si="0"/>
        <v>0</v>
      </c>
      <c r="R34" s="26">
        <f t="shared" si="1"/>
        <v>125</v>
      </c>
      <c r="S34" s="27" t="str">
        <f t="shared" si="2"/>
        <v>PASS</v>
      </c>
      <c r="T34" s="27" t="str">
        <f>IF((COUNTIF(LOCAL_REFERENCE!$D34:$O34,E34)+COUNTIF(LOCAL_REFERENCE!$D34:$O34,H34)+COUNTIF(LOCAL_REFERENCE!$D34:$O34,I34)+COUNTIF(LOCAL_REFERENCE!$D34:$O34,J34)+COUNTIF(LOCAL_REFERENCE!$D34:$O34,K34)+COUNTIF(LOCAL_REFERENCE!$D34:$O34,L34)+COUNTIF(LOCAL_REFERENCE!$D34:$O34,M34)+COUNTIF(LOCAL_REFERENCE!$D34:$O34,N34)+COUNTIF(LOCAL_REFERENCE!$D34:$O34,O34)+COUNTIF(LOCAL_REFERENCE!$D34:$O34,P34))=0,"PASS","FAIL")</f>
        <v>PASS</v>
      </c>
      <c r="U34" s="27" t="str">
        <f>IF((COUNTIF(VPS_REFERENCE!$D34:$H34,E34)+COUNTIF(VPS_REFERENCE!$D34:$H34,H34)+COUNTIF(VPS_REFERENCE!$D34:$H34,I34)+COUNTIF(VPS_REFERENCE!$D34:$H34,J34)+COUNTIF(VPS_REFERENCE!$D34:$H34,K34)+COUNTIF(VPS_REFERENCE!$D34:$H34,L34)+COUNTIF(VPS_REFERENCE!$D34:$H34,M34)+COUNTIF(VPS_REFERENCE!$D34:$H34,N34)+COUNTIF(VPS_REFERENCE!$D34:$H34,O34)+COUNTIF(VPS_REFERENCE!$D34:$H34,P34))=0,"PASS","FAIL")</f>
        <v>PASS</v>
      </c>
      <c r="V34" s="27" t="str">
        <f t="shared" si="3"/>
        <v>PASS</v>
      </c>
      <c r="W34" s="28" t="str">
        <f>CRAWL_LOG!B34</f>
        <v>Hoàn thành có lỗi</v>
      </c>
      <c r="X34" s="36" t="s">
        <v>57</v>
      </c>
    </row>
    <row r="35" spans="1:24">
      <c r="A35" s="23">
        <v>46298</v>
      </c>
      <c r="B35" s="24" t="s">
        <v>59</v>
      </c>
      <c r="C35" s="24" t="s">
        <v>54</v>
      </c>
      <c r="D35" s="24" t="s">
        <v>10</v>
      </c>
      <c r="E35" s="25">
        <f>SLOT_RULES!$D$4+IF($A35&lt;=SLOT_RULES!$D$4,0,INT(($A35-SLOT_RULES!$D$4-1)/SLOT_RULES!$E$4)+1)*SLOT_RULES!$E$4</f>
        <v>46325</v>
      </c>
      <c r="F35" s="63"/>
      <c r="G35" s="63"/>
      <c r="H35" s="25">
        <f>SLOT_RULES!$D$7+IF($A35&lt;=SLOT_RULES!$D$7,0,INT(($A35-SLOT_RULES!$D$7-1)/SLOT_RULES!$E$7)+1)*SLOT_RULES!$E$7</f>
        <v>46318</v>
      </c>
      <c r="I35" s="25">
        <f>SLOT_RULES!$D$8+IF($A35&lt;=SLOT_RULES!$D$8,0,INT(($A35-SLOT_RULES!$D$8-1)/SLOT_RULES!$E$8)+1)*SLOT_RULES!$E$8</f>
        <v>46300</v>
      </c>
      <c r="J35" s="25">
        <f>SLOT_RULES!$D$9+IF($A35&lt;=SLOT_RULES!$D$9,0,INT(($A35-SLOT_RULES!$D$9-1)/SLOT_RULES!$E$9)+1)*SLOT_RULES!$E$9</f>
        <v>46314</v>
      </c>
      <c r="K35" s="25">
        <f>SLOT_RULES!$D$10+IF($A35&lt;=SLOT_RULES!$D$10,0,INT(($A35-SLOT_RULES!$D$10-1)/SLOT_RULES!$E$10)+1)*SLOT_RULES!$E$10</f>
        <v>46301</v>
      </c>
      <c r="L35" s="25">
        <f>SLOT_RULES!$D$11+IF($A35&lt;=SLOT_RULES!$D$11,0,INT(($A35-SLOT_RULES!$D$11-1)/SLOT_RULES!$E$11)+1)*SLOT_RULES!$E$11</f>
        <v>46308</v>
      </c>
      <c r="M35" s="25">
        <f>SLOT_RULES!$D$12+IF($A35&lt;=SLOT_RULES!$D$12,0,INT(($A35-SLOT_RULES!$D$12-1)/SLOT_RULES!$E$12)+1)*SLOT_RULES!$E$12</f>
        <v>46313</v>
      </c>
      <c r="N35" s="25">
        <f>SLOT_RULES!$D$13+IF($A35&lt;=SLOT_RULES!$D$13,0,INT(($A35-SLOT_RULES!$D$13-1)/SLOT_RULES!$E$13)+1)*SLOT_RULES!$E$13</f>
        <v>46321</v>
      </c>
      <c r="O35" s="25">
        <f>SLOT_RULES!$D$14+IF($A35&lt;=SLOT_RULES!$D$14,0,INT(($A35-SLOT_RULES!$D$14-1)/SLOT_RULES!$E$14)+1)*SLOT_RULES!$E$14</f>
        <v>46350</v>
      </c>
      <c r="P35" s="25">
        <f>SLOT_RULES!$D$15+IF($A35&lt;=SLOT_RULES!$D$15,0,INT(($A35-SLOT_RULES!$D$15-1)/SLOT_RULES!$E$15)+1)*SLOT_RULES!$E$15</f>
        <v>46422</v>
      </c>
      <c r="Q35" s="26">
        <f t="shared" si="0"/>
        <v>2</v>
      </c>
      <c r="R35" s="26">
        <f t="shared" si="1"/>
        <v>124</v>
      </c>
      <c r="S35" s="27" t="str">
        <f t="shared" si="2"/>
        <v>PASS</v>
      </c>
      <c r="T35" s="27" t="str">
        <f>IF((COUNTIF(LOCAL_REFERENCE!$D35:$O35,E35)+COUNTIF(LOCAL_REFERENCE!$D35:$O35,H35)+COUNTIF(LOCAL_REFERENCE!$D35:$O35,I35)+COUNTIF(LOCAL_REFERENCE!$D35:$O35,J35)+COUNTIF(LOCAL_REFERENCE!$D35:$O35,K35)+COUNTIF(LOCAL_REFERENCE!$D35:$O35,L35)+COUNTIF(LOCAL_REFERENCE!$D35:$O35,M35)+COUNTIF(LOCAL_REFERENCE!$D35:$O35,N35)+COUNTIF(LOCAL_REFERENCE!$D35:$O35,O35)+COUNTIF(LOCAL_REFERENCE!$D35:$O35,P35))=0,"PASS","FAIL")</f>
        <v>PASS</v>
      </c>
      <c r="U35" s="27" t="str">
        <f>IF((COUNTIF(VPS_REFERENCE!$D35:$H35,E35)+COUNTIF(VPS_REFERENCE!$D35:$H35,H35)+COUNTIF(VPS_REFERENCE!$D35:$H35,I35)+COUNTIF(VPS_REFERENCE!$D35:$H35,J35)+COUNTIF(VPS_REFERENCE!$D35:$H35,K35)+COUNTIF(VPS_REFERENCE!$D35:$H35,L35)+COUNTIF(VPS_REFERENCE!$D35:$H35,M35)+COUNTIF(VPS_REFERENCE!$D35:$H35,N35)+COUNTIF(VPS_REFERENCE!$D35:$H35,O35)+COUNTIF(VPS_REFERENCE!$D35:$H35,P35))=0,"PASS","FAIL")</f>
        <v>PASS</v>
      </c>
      <c r="V35" s="27" t="str">
        <f t="shared" si="3"/>
        <v>PASS</v>
      </c>
      <c r="W35" s="28" t="str">
        <f>CRAWL_LOG!B35</f>
        <v>Hoàn thành có lỗi</v>
      </c>
      <c r="X35" s="36" t="s">
        <v>57</v>
      </c>
    </row>
    <row r="36" spans="1:24">
      <c r="A36" s="23">
        <v>46299</v>
      </c>
      <c r="B36" s="24" t="s">
        <v>60</v>
      </c>
      <c r="C36" s="24" t="s">
        <v>54</v>
      </c>
      <c r="D36" s="24" t="s">
        <v>10</v>
      </c>
      <c r="E36" s="25">
        <f>SLOT_RULES!$D$4+IF($A36&lt;=SLOT_RULES!$D$4,0,INT(($A36-SLOT_RULES!$D$4-1)/SLOT_RULES!$E$4)+1)*SLOT_RULES!$E$4</f>
        <v>46325</v>
      </c>
      <c r="F36" s="63"/>
      <c r="G36" s="63"/>
      <c r="H36" s="25">
        <f>SLOT_RULES!$D$7+IF($A36&lt;=SLOT_RULES!$D$7,0,INT(($A36-SLOT_RULES!$D$7-1)/SLOT_RULES!$E$7)+1)*SLOT_RULES!$E$7</f>
        <v>46318</v>
      </c>
      <c r="I36" s="25">
        <f>SLOT_RULES!$D$8+IF($A36&lt;=SLOT_RULES!$D$8,0,INT(($A36-SLOT_RULES!$D$8-1)/SLOT_RULES!$E$8)+1)*SLOT_RULES!$E$8</f>
        <v>46300</v>
      </c>
      <c r="J36" s="25">
        <f>SLOT_RULES!$D$9+IF($A36&lt;=SLOT_RULES!$D$9,0,INT(($A36-SLOT_RULES!$D$9-1)/SLOT_RULES!$E$9)+1)*SLOT_RULES!$E$9</f>
        <v>46314</v>
      </c>
      <c r="K36" s="25">
        <f>SLOT_RULES!$D$10+IF($A36&lt;=SLOT_RULES!$D$10,0,INT(($A36-SLOT_RULES!$D$10-1)/SLOT_RULES!$E$10)+1)*SLOT_RULES!$E$10</f>
        <v>46301</v>
      </c>
      <c r="L36" s="25">
        <f>SLOT_RULES!$D$11+IF($A36&lt;=SLOT_RULES!$D$11,0,INT(($A36-SLOT_RULES!$D$11-1)/SLOT_RULES!$E$11)+1)*SLOT_RULES!$E$11</f>
        <v>46308</v>
      </c>
      <c r="M36" s="25">
        <f>SLOT_RULES!$D$12+IF($A36&lt;=SLOT_RULES!$D$12,0,INT(($A36-SLOT_RULES!$D$12-1)/SLOT_RULES!$E$12)+1)*SLOT_RULES!$E$12</f>
        <v>46313</v>
      </c>
      <c r="N36" s="25">
        <f>SLOT_RULES!$D$13+IF($A36&lt;=SLOT_RULES!$D$13,0,INT(($A36-SLOT_RULES!$D$13-1)/SLOT_RULES!$E$13)+1)*SLOT_RULES!$E$13</f>
        <v>46321</v>
      </c>
      <c r="O36" s="25">
        <f>SLOT_RULES!$D$14+IF($A36&lt;=SLOT_RULES!$D$14,0,INT(($A36-SLOT_RULES!$D$14-1)/SLOT_RULES!$E$14)+1)*SLOT_RULES!$E$14</f>
        <v>46350</v>
      </c>
      <c r="P36" s="25">
        <f>SLOT_RULES!$D$15+IF($A36&lt;=SLOT_RULES!$D$15,0,INT(($A36-SLOT_RULES!$D$15-1)/SLOT_RULES!$E$15)+1)*SLOT_RULES!$E$15</f>
        <v>46422</v>
      </c>
      <c r="Q36" s="26">
        <f t="shared" ref="Q36:Q67" si="4">MIN(E36:P36)-A36</f>
        <v>1</v>
      </c>
      <c r="R36" s="26">
        <f t="shared" ref="R36:R67" si="5">MAX(E36:P36)-A36</f>
        <v>123</v>
      </c>
      <c r="S36" s="27" t="str">
        <f t="shared" si="2"/>
        <v>PASS</v>
      </c>
      <c r="T36" s="27" t="str">
        <f>IF((COUNTIF(LOCAL_REFERENCE!$D36:$O36,E36)+COUNTIF(LOCAL_REFERENCE!$D36:$O36,H36)+COUNTIF(LOCAL_REFERENCE!$D36:$O36,I36)+COUNTIF(LOCAL_REFERENCE!$D36:$O36,J36)+COUNTIF(LOCAL_REFERENCE!$D36:$O36,K36)+COUNTIF(LOCAL_REFERENCE!$D36:$O36,L36)+COUNTIF(LOCAL_REFERENCE!$D36:$O36,M36)+COUNTIF(LOCAL_REFERENCE!$D36:$O36,N36)+COUNTIF(LOCAL_REFERENCE!$D36:$O36,O36)+COUNTIF(LOCAL_REFERENCE!$D36:$O36,P36))=0,"PASS","FAIL")</f>
        <v>PASS</v>
      </c>
      <c r="U36" s="27" t="str">
        <f>IF((COUNTIF(VPS_REFERENCE!$D36:$H36,E36)+COUNTIF(VPS_REFERENCE!$D36:$H36,H36)+COUNTIF(VPS_REFERENCE!$D36:$H36,I36)+COUNTIF(VPS_REFERENCE!$D36:$H36,J36)+COUNTIF(VPS_REFERENCE!$D36:$H36,K36)+COUNTIF(VPS_REFERENCE!$D36:$H36,L36)+COUNTIF(VPS_REFERENCE!$D36:$H36,M36)+COUNTIF(VPS_REFERENCE!$D36:$H36,N36)+COUNTIF(VPS_REFERENCE!$D36:$H36,O36)+COUNTIF(VPS_REFERENCE!$D36:$H36,P36))=0,"PASS","FAIL")</f>
        <v>PASS</v>
      </c>
      <c r="V36" s="27" t="str">
        <f t="shared" si="3"/>
        <v>PASS</v>
      </c>
      <c r="W36" s="28" t="str">
        <f>CRAWL_LOG!B36</f>
        <v>Hoàn thành có lỗi</v>
      </c>
      <c r="X36" s="36" t="s">
        <v>57</v>
      </c>
    </row>
    <row r="37" spans="1:24">
      <c r="A37" s="23">
        <v>46300</v>
      </c>
      <c r="B37" s="24" t="s">
        <v>61</v>
      </c>
      <c r="C37" s="24" t="s">
        <v>54</v>
      </c>
      <c r="D37" s="24" t="s">
        <v>10</v>
      </c>
      <c r="E37" s="25">
        <f>SLOT_RULES!$D$4+IF($A37&lt;=SLOT_RULES!$D$4,0,INT(($A37-SLOT_RULES!$D$4-1)/SLOT_RULES!$E$4)+1)*SLOT_RULES!$E$4</f>
        <v>46325</v>
      </c>
      <c r="F37" s="63"/>
      <c r="G37" s="63"/>
      <c r="H37" s="25">
        <f>SLOT_RULES!$D$7+IF($A37&lt;=SLOT_RULES!$D$7,0,INT(($A37-SLOT_RULES!$D$7-1)/SLOT_RULES!$E$7)+1)*SLOT_RULES!$E$7</f>
        <v>46318</v>
      </c>
      <c r="I37" s="25">
        <f>SLOT_RULES!$D$8+IF($A37&lt;=SLOT_RULES!$D$8,0,INT(($A37-SLOT_RULES!$D$8-1)/SLOT_RULES!$E$8)+1)*SLOT_RULES!$E$8</f>
        <v>46300</v>
      </c>
      <c r="J37" s="25">
        <f>SLOT_RULES!$D$9+IF($A37&lt;=SLOT_RULES!$D$9,0,INT(($A37-SLOT_RULES!$D$9-1)/SLOT_RULES!$E$9)+1)*SLOT_RULES!$E$9</f>
        <v>46314</v>
      </c>
      <c r="K37" s="25">
        <f>SLOT_RULES!$D$10+IF($A37&lt;=SLOT_RULES!$D$10,0,INT(($A37-SLOT_RULES!$D$10-1)/SLOT_RULES!$E$10)+1)*SLOT_RULES!$E$10</f>
        <v>46301</v>
      </c>
      <c r="L37" s="25">
        <f>SLOT_RULES!$D$11+IF($A37&lt;=SLOT_RULES!$D$11,0,INT(($A37-SLOT_RULES!$D$11-1)/SLOT_RULES!$E$11)+1)*SLOT_RULES!$E$11</f>
        <v>46308</v>
      </c>
      <c r="M37" s="25">
        <f>SLOT_RULES!$D$12+IF($A37&lt;=SLOT_RULES!$D$12,0,INT(($A37-SLOT_RULES!$D$12-1)/SLOT_RULES!$E$12)+1)*SLOT_RULES!$E$12</f>
        <v>46313</v>
      </c>
      <c r="N37" s="25">
        <f>SLOT_RULES!$D$13+IF($A37&lt;=SLOT_RULES!$D$13,0,INT(($A37-SLOT_RULES!$D$13-1)/SLOT_RULES!$E$13)+1)*SLOT_RULES!$E$13</f>
        <v>46321</v>
      </c>
      <c r="O37" s="25">
        <f>SLOT_RULES!$D$14+IF($A37&lt;=SLOT_RULES!$D$14,0,INT(($A37-SLOT_RULES!$D$14-1)/SLOT_RULES!$E$14)+1)*SLOT_RULES!$E$14</f>
        <v>46350</v>
      </c>
      <c r="P37" s="25">
        <f>SLOT_RULES!$D$15+IF($A37&lt;=SLOT_RULES!$D$15,0,INT(($A37-SLOT_RULES!$D$15-1)/SLOT_RULES!$E$15)+1)*SLOT_RULES!$E$15</f>
        <v>46422</v>
      </c>
      <c r="Q37" s="26">
        <f t="shared" si="4"/>
        <v>0</v>
      </c>
      <c r="R37" s="26">
        <f t="shared" si="5"/>
        <v>122</v>
      </c>
      <c r="S37" s="27" t="str">
        <f t="shared" ref="S37:S68" si="6">IF(AND(COUNT(E37:P37)=10,MIN(E37:P37)&gt;=A37),"PASS","FAIL")</f>
        <v>PASS</v>
      </c>
      <c r="T37" s="27" t="str">
        <f>IF((COUNTIF(LOCAL_REFERENCE!$D37:$O37,E37)+COUNTIF(LOCAL_REFERENCE!$D37:$O37,H37)+COUNTIF(LOCAL_REFERENCE!$D37:$O37,I37)+COUNTIF(LOCAL_REFERENCE!$D37:$O37,J37)+COUNTIF(LOCAL_REFERENCE!$D37:$O37,K37)+COUNTIF(LOCAL_REFERENCE!$D37:$O37,L37)+COUNTIF(LOCAL_REFERENCE!$D37:$O37,M37)+COUNTIF(LOCAL_REFERENCE!$D37:$O37,N37)+COUNTIF(LOCAL_REFERENCE!$D37:$O37,O37)+COUNTIF(LOCAL_REFERENCE!$D37:$O37,P37))=0,"PASS","FAIL")</f>
        <v>PASS</v>
      </c>
      <c r="U37" s="27" t="str">
        <f>IF((COUNTIF(VPS_REFERENCE!$D37:$H37,E37)+COUNTIF(VPS_REFERENCE!$D37:$H37,H37)+COUNTIF(VPS_REFERENCE!$D37:$H37,I37)+COUNTIF(VPS_REFERENCE!$D37:$H37,J37)+COUNTIF(VPS_REFERENCE!$D37:$H37,K37)+COUNTIF(VPS_REFERENCE!$D37:$H37,L37)+COUNTIF(VPS_REFERENCE!$D37:$H37,M37)+COUNTIF(VPS_REFERENCE!$D37:$H37,N37)+COUNTIF(VPS_REFERENCE!$D37:$H37,O37)+COUNTIF(VPS_REFERENCE!$D37:$H37,P37))=0,"PASS","FAIL")</f>
        <v>PASS</v>
      </c>
      <c r="V37" s="27" t="str">
        <f t="shared" ref="V37:V68" si="7">IF(OR(E37=H37,E37=I37,E37=J37,E37=K37,E37=L37,E37=M37,E37=N37,E37=O37,E37=P37,H37=I37,H37=J37,H37=K37,H37=L37,H37=M37,H37=N37,H37=O37,H37=P37,I37=J37,I37=K37,I37=L37,I37=M37,I37=N37,I37=O37,I37=P37,J37=K37,J37=L37,J37=M37,J37=N37,J37=O37,J37=P37,K37=L37,K37=M37,K37=N37,K37=O37,K37=P37,L37=M37,L37=N37,L37=O37,L37=P37,M37=N37,M37=O37,M37=P37,N37=O37,N37=P37,O37=P37),"FAIL","PASS")</f>
        <v>PASS</v>
      </c>
      <c r="W37" s="28" t="str">
        <f>CRAWL_LOG!B37</f>
        <v>Chưa chạy</v>
      </c>
      <c r="X37" s="36" t="s">
        <v>57</v>
      </c>
    </row>
    <row r="38" spans="1:24">
      <c r="A38" s="23">
        <v>46301</v>
      </c>
      <c r="B38" s="24" t="s">
        <v>62</v>
      </c>
      <c r="C38" s="24" t="s">
        <v>54</v>
      </c>
      <c r="D38" s="24" t="s">
        <v>10</v>
      </c>
      <c r="E38" s="25">
        <f>SLOT_RULES!$D$4+IF($A38&lt;=SLOT_RULES!$D$4,0,INT(($A38-SLOT_RULES!$D$4-1)/SLOT_RULES!$E$4)+1)*SLOT_RULES!$E$4</f>
        <v>46325</v>
      </c>
      <c r="F38" s="63"/>
      <c r="G38" s="63"/>
      <c r="H38" s="25">
        <f>SLOT_RULES!$D$7+IF($A38&lt;=SLOT_RULES!$D$7,0,INT(($A38-SLOT_RULES!$D$7-1)/SLOT_RULES!$E$7)+1)*SLOT_RULES!$E$7</f>
        <v>46318</v>
      </c>
      <c r="I38" s="25">
        <f>SLOT_RULES!$D$8+IF($A38&lt;=SLOT_RULES!$D$8,0,INT(($A38-SLOT_RULES!$D$8-1)/SLOT_RULES!$E$8)+1)*SLOT_RULES!$E$8</f>
        <v>46328</v>
      </c>
      <c r="J38" s="25">
        <f>SLOT_RULES!$D$9+IF($A38&lt;=SLOT_RULES!$D$9,0,INT(($A38-SLOT_RULES!$D$9-1)/SLOT_RULES!$E$9)+1)*SLOT_RULES!$E$9</f>
        <v>46314</v>
      </c>
      <c r="K38" s="25">
        <f>SLOT_RULES!$D$10+IF($A38&lt;=SLOT_RULES!$D$10,0,INT(($A38-SLOT_RULES!$D$10-1)/SLOT_RULES!$E$10)+1)*SLOT_RULES!$E$10</f>
        <v>46301</v>
      </c>
      <c r="L38" s="25">
        <f>SLOT_RULES!$D$11+IF($A38&lt;=SLOT_RULES!$D$11,0,INT(($A38-SLOT_RULES!$D$11-1)/SLOT_RULES!$E$11)+1)*SLOT_RULES!$E$11</f>
        <v>46308</v>
      </c>
      <c r="M38" s="25">
        <f>SLOT_RULES!$D$12+IF($A38&lt;=SLOT_RULES!$D$12,0,INT(($A38-SLOT_RULES!$D$12-1)/SLOT_RULES!$E$12)+1)*SLOT_RULES!$E$12</f>
        <v>46313</v>
      </c>
      <c r="N38" s="25">
        <f>SLOT_RULES!$D$13+IF($A38&lt;=SLOT_RULES!$D$13,0,INT(($A38-SLOT_RULES!$D$13-1)/SLOT_RULES!$E$13)+1)*SLOT_RULES!$E$13</f>
        <v>46321</v>
      </c>
      <c r="O38" s="25">
        <f>SLOT_RULES!$D$14+IF($A38&lt;=SLOT_RULES!$D$14,0,INT(($A38-SLOT_RULES!$D$14-1)/SLOT_RULES!$E$14)+1)*SLOT_RULES!$E$14</f>
        <v>46350</v>
      </c>
      <c r="P38" s="25">
        <f>SLOT_RULES!$D$15+IF($A38&lt;=SLOT_RULES!$D$15,0,INT(($A38-SLOT_RULES!$D$15-1)/SLOT_RULES!$E$15)+1)*SLOT_RULES!$E$15</f>
        <v>46422</v>
      </c>
      <c r="Q38" s="26">
        <f t="shared" si="4"/>
        <v>0</v>
      </c>
      <c r="R38" s="26">
        <f t="shared" si="5"/>
        <v>121</v>
      </c>
      <c r="S38" s="27" t="str">
        <f t="shared" si="6"/>
        <v>PASS</v>
      </c>
      <c r="T38" s="27" t="str">
        <f>IF((COUNTIF(LOCAL_REFERENCE!$D38:$O38,E38)+COUNTIF(LOCAL_REFERENCE!$D38:$O38,H38)+COUNTIF(LOCAL_REFERENCE!$D38:$O38,I38)+COUNTIF(LOCAL_REFERENCE!$D38:$O38,J38)+COUNTIF(LOCAL_REFERENCE!$D38:$O38,K38)+COUNTIF(LOCAL_REFERENCE!$D38:$O38,L38)+COUNTIF(LOCAL_REFERENCE!$D38:$O38,M38)+COUNTIF(LOCAL_REFERENCE!$D38:$O38,N38)+COUNTIF(LOCAL_REFERENCE!$D38:$O38,O38)+COUNTIF(LOCAL_REFERENCE!$D38:$O38,P38))=0,"PASS","FAIL")</f>
        <v>PASS</v>
      </c>
      <c r="U38" s="27" t="str">
        <f>IF((COUNTIF(VPS_REFERENCE!$D38:$H38,E38)+COUNTIF(VPS_REFERENCE!$D38:$H38,H38)+COUNTIF(VPS_REFERENCE!$D38:$H38,I38)+COUNTIF(VPS_REFERENCE!$D38:$H38,J38)+COUNTIF(VPS_REFERENCE!$D38:$H38,K38)+COUNTIF(VPS_REFERENCE!$D38:$H38,L38)+COUNTIF(VPS_REFERENCE!$D38:$H38,M38)+COUNTIF(VPS_REFERENCE!$D38:$H38,N38)+COUNTIF(VPS_REFERENCE!$D38:$H38,O38)+COUNTIF(VPS_REFERENCE!$D38:$H38,P38))=0,"PASS","FAIL")</f>
        <v>PASS</v>
      </c>
      <c r="V38" s="27" t="str">
        <f t="shared" si="7"/>
        <v>PASS</v>
      </c>
      <c r="W38" s="28" t="str">
        <f>CRAWL_LOG!B38</f>
        <v>Chưa chạy</v>
      </c>
      <c r="X38" s="36" t="s">
        <v>57</v>
      </c>
    </row>
    <row r="39" spans="1:24">
      <c r="A39" s="23">
        <v>46302</v>
      </c>
      <c r="B39" s="24" t="s">
        <v>53</v>
      </c>
      <c r="C39" s="24" t="s">
        <v>54</v>
      </c>
      <c r="D39" s="24" t="s">
        <v>10</v>
      </c>
      <c r="E39" s="25">
        <f>SLOT_RULES!$D$4+IF($A39&lt;=SLOT_RULES!$D$4,0,INT(($A39-SLOT_RULES!$D$4-1)/SLOT_RULES!$E$4)+1)*SLOT_RULES!$E$4</f>
        <v>46325</v>
      </c>
      <c r="F39" s="63"/>
      <c r="G39" s="63"/>
      <c r="H39" s="25">
        <f>SLOT_RULES!$D$7+IF($A39&lt;=SLOT_RULES!$D$7,0,INT(($A39-SLOT_RULES!$D$7-1)/SLOT_RULES!$E$7)+1)*SLOT_RULES!$E$7</f>
        <v>46318</v>
      </c>
      <c r="I39" s="25">
        <f>SLOT_RULES!$D$8+IF($A39&lt;=SLOT_RULES!$D$8,0,INT(($A39-SLOT_RULES!$D$8-1)/SLOT_RULES!$E$8)+1)*SLOT_RULES!$E$8</f>
        <v>46328</v>
      </c>
      <c r="J39" s="25">
        <f>SLOT_RULES!$D$9+IF($A39&lt;=SLOT_RULES!$D$9,0,INT(($A39-SLOT_RULES!$D$9-1)/SLOT_RULES!$E$9)+1)*SLOT_RULES!$E$9</f>
        <v>46314</v>
      </c>
      <c r="K39" s="25">
        <f>SLOT_RULES!$D$10+IF($A39&lt;=SLOT_RULES!$D$10,0,INT(($A39-SLOT_RULES!$D$10-1)/SLOT_RULES!$E$10)+1)*SLOT_RULES!$E$10</f>
        <v>46329</v>
      </c>
      <c r="L39" s="25">
        <f>SLOT_RULES!$D$11+IF($A39&lt;=SLOT_RULES!$D$11,0,INT(($A39-SLOT_RULES!$D$11-1)/SLOT_RULES!$E$11)+1)*SLOT_RULES!$E$11</f>
        <v>46308</v>
      </c>
      <c r="M39" s="25">
        <f>SLOT_RULES!$D$12+IF($A39&lt;=SLOT_RULES!$D$12,0,INT(($A39-SLOT_RULES!$D$12-1)/SLOT_RULES!$E$12)+1)*SLOT_RULES!$E$12</f>
        <v>46313</v>
      </c>
      <c r="N39" s="25">
        <f>SLOT_RULES!$D$13+IF($A39&lt;=SLOT_RULES!$D$13,0,INT(($A39-SLOT_RULES!$D$13-1)/SLOT_RULES!$E$13)+1)*SLOT_RULES!$E$13</f>
        <v>46321</v>
      </c>
      <c r="O39" s="25">
        <f>SLOT_RULES!$D$14+IF($A39&lt;=SLOT_RULES!$D$14,0,INT(($A39-SLOT_RULES!$D$14-1)/SLOT_RULES!$E$14)+1)*SLOT_RULES!$E$14</f>
        <v>46350</v>
      </c>
      <c r="P39" s="25">
        <f>SLOT_RULES!$D$15+IF($A39&lt;=SLOT_RULES!$D$15,0,INT(($A39-SLOT_RULES!$D$15-1)/SLOT_RULES!$E$15)+1)*SLOT_RULES!$E$15</f>
        <v>46422</v>
      </c>
      <c r="Q39" s="26">
        <f t="shared" si="4"/>
        <v>6</v>
      </c>
      <c r="R39" s="26">
        <f t="shared" si="5"/>
        <v>120</v>
      </c>
      <c r="S39" s="27" t="str">
        <f t="shared" si="6"/>
        <v>PASS</v>
      </c>
      <c r="T39" s="27" t="str">
        <f>IF((COUNTIF(LOCAL_REFERENCE!$D39:$O39,E39)+COUNTIF(LOCAL_REFERENCE!$D39:$O39,H39)+COUNTIF(LOCAL_REFERENCE!$D39:$O39,I39)+COUNTIF(LOCAL_REFERENCE!$D39:$O39,J39)+COUNTIF(LOCAL_REFERENCE!$D39:$O39,K39)+COUNTIF(LOCAL_REFERENCE!$D39:$O39,L39)+COUNTIF(LOCAL_REFERENCE!$D39:$O39,M39)+COUNTIF(LOCAL_REFERENCE!$D39:$O39,N39)+COUNTIF(LOCAL_REFERENCE!$D39:$O39,O39)+COUNTIF(LOCAL_REFERENCE!$D39:$O39,P39))=0,"PASS","FAIL")</f>
        <v>PASS</v>
      </c>
      <c r="U39" s="27" t="str">
        <f>IF((COUNTIF(VPS_REFERENCE!$D39:$H39,E39)+COUNTIF(VPS_REFERENCE!$D39:$H39,H39)+COUNTIF(VPS_REFERENCE!$D39:$H39,I39)+COUNTIF(VPS_REFERENCE!$D39:$H39,J39)+COUNTIF(VPS_REFERENCE!$D39:$H39,K39)+COUNTIF(VPS_REFERENCE!$D39:$H39,L39)+COUNTIF(VPS_REFERENCE!$D39:$H39,M39)+COUNTIF(VPS_REFERENCE!$D39:$H39,N39)+COUNTIF(VPS_REFERENCE!$D39:$H39,O39)+COUNTIF(VPS_REFERENCE!$D39:$H39,P39))=0,"PASS","FAIL")</f>
        <v>PASS</v>
      </c>
      <c r="V39" s="27" t="str">
        <f t="shared" si="7"/>
        <v>PASS</v>
      </c>
      <c r="W39" s="28" t="str">
        <f>CRAWL_LOG!B39</f>
        <v>Chưa chạy</v>
      </c>
      <c r="X39" s="36" t="s">
        <v>57</v>
      </c>
    </row>
    <row r="40" spans="1:24">
      <c r="A40" s="23">
        <v>46303</v>
      </c>
      <c r="B40" s="24" t="s">
        <v>56</v>
      </c>
      <c r="C40" s="24" t="s">
        <v>54</v>
      </c>
      <c r="D40" s="24" t="s">
        <v>10</v>
      </c>
      <c r="E40" s="25">
        <f>SLOT_RULES!$D$4+IF($A40&lt;=SLOT_RULES!$D$4,0,INT(($A40-SLOT_RULES!$D$4-1)/SLOT_RULES!$E$4)+1)*SLOT_RULES!$E$4</f>
        <v>46325</v>
      </c>
      <c r="F40" s="63"/>
      <c r="G40" s="63"/>
      <c r="H40" s="25">
        <f>SLOT_RULES!$D$7+IF($A40&lt;=SLOT_RULES!$D$7,0,INT(($A40-SLOT_RULES!$D$7-1)/SLOT_RULES!$E$7)+1)*SLOT_RULES!$E$7</f>
        <v>46318</v>
      </c>
      <c r="I40" s="25">
        <f>SLOT_RULES!$D$8+IF($A40&lt;=SLOT_RULES!$D$8,0,INT(($A40-SLOT_RULES!$D$8-1)/SLOT_RULES!$E$8)+1)*SLOT_RULES!$E$8</f>
        <v>46328</v>
      </c>
      <c r="J40" s="25">
        <f>SLOT_RULES!$D$9+IF($A40&lt;=SLOT_RULES!$D$9,0,INT(($A40-SLOT_RULES!$D$9-1)/SLOT_RULES!$E$9)+1)*SLOT_RULES!$E$9</f>
        <v>46314</v>
      </c>
      <c r="K40" s="25">
        <f>SLOT_RULES!$D$10+IF($A40&lt;=SLOT_RULES!$D$10,0,INT(($A40-SLOT_RULES!$D$10-1)/SLOT_RULES!$E$10)+1)*SLOT_RULES!$E$10</f>
        <v>46329</v>
      </c>
      <c r="L40" s="25">
        <f>SLOT_RULES!$D$11+IF($A40&lt;=SLOT_RULES!$D$11,0,INT(($A40-SLOT_RULES!$D$11-1)/SLOT_RULES!$E$11)+1)*SLOT_RULES!$E$11</f>
        <v>46308</v>
      </c>
      <c r="M40" s="25">
        <f>SLOT_RULES!$D$12+IF($A40&lt;=SLOT_RULES!$D$12,0,INT(($A40-SLOT_RULES!$D$12-1)/SLOT_RULES!$E$12)+1)*SLOT_RULES!$E$12</f>
        <v>46313</v>
      </c>
      <c r="N40" s="25">
        <f>SLOT_RULES!$D$13+IF($A40&lt;=SLOT_RULES!$D$13,0,INT(($A40-SLOT_RULES!$D$13-1)/SLOT_RULES!$E$13)+1)*SLOT_RULES!$E$13</f>
        <v>46321</v>
      </c>
      <c r="O40" s="25">
        <f>SLOT_RULES!$D$14+IF($A40&lt;=SLOT_RULES!$D$14,0,INT(($A40-SLOT_RULES!$D$14-1)/SLOT_RULES!$E$14)+1)*SLOT_RULES!$E$14</f>
        <v>46350</v>
      </c>
      <c r="P40" s="25">
        <f>SLOT_RULES!$D$15+IF($A40&lt;=SLOT_RULES!$D$15,0,INT(($A40-SLOT_RULES!$D$15-1)/SLOT_RULES!$E$15)+1)*SLOT_RULES!$E$15</f>
        <v>46422</v>
      </c>
      <c r="Q40" s="26">
        <f t="shared" si="4"/>
        <v>5</v>
      </c>
      <c r="R40" s="26">
        <f t="shared" si="5"/>
        <v>119</v>
      </c>
      <c r="S40" s="27" t="str">
        <f t="shared" si="6"/>
        <v>PASS</v>
      </c>
      <c r="T40" s="27" t="str">
        <f>IF((COUNTIF(LOCAL_REFERENCE!$D40:$O40,E40)+COUNTIF(LOCAL_REFERENCE!$D40:$O40,H40)+COUNTIF(LOCAL_REFERENCE!$D40:$O40,I40)+COUNTIF(LOCAL_REFERENCE!$D40:$O40,J40)+COUNTIF(LOCAL_REFERENCE!$D40:$O40,K40)+COUNTIF(LOCAL_REFERENCE!$D40:$O40,L40)+COUNTIF(LOCAL_REFERENCE!$D40:$O40,M40)+COUNTIF(LOCAL_REFERENCE!$D40:$O40,N40)+COUNTIF(LOCAL_REFERENCE!$D40:$O40,O40)+COUNTIF(LOCAL_REFERENCE!$D40:$O40,P40))=0,"PASS","FAIL")</f>
        <v>PASS</v>
      </c>
      <c r="U40" s="27" t="str">
        <f>IF((COUNTIF(VPS_REFERENCE!$D40:$H40,E40)+COUNTIF(VPS_REFERENCE!$D40:$H40,H40)+COUNTIF(VPS_REFERENCE!$D40:$H40,I40)+COUNTIF(VPS_REFERENCE!$D40:$H40,J40)+COUNTIF(VPS_REFERENCE!$D40:$H40,K40)+COUNTIF(VPS_REFERENCE!$D40:$H40,L40)+COUNTIF(VPS_REFERENCE!$D40:$H40,M40)+COUNTIF(VPS_REFERENCE!$D40:$H40,N40)+COUNTIF(VPS_REFERENCE!$D40:$H40,O40)+COUNTIF(VPS_REFERENCE!$D40:$H40,P40))=0,"PASS","FAIL")</f>
        <v>PASS</v>
      </c>
      <c r="V40" s="27" t="str">
        <f t="shared" si="7"/>
        <v>PASS</v>
      </c>
      <c r="W40" s="28" t="str">
        <f>CRAWL_LOG!B40</f>
        <v>Chưa chạy</v>
      </c>
      <c r="X40" s="36" t="s">
        <v>57</v>
      </c>
    </row>
    <row r="41" spans="1:24">
      <c r="A41" s="23">
        <v>46304</v>
      </c>
      <c r="B41" s="24" t="s">
        <v>58</v>
      </c>
      <c r="C41" s="24" t="s">
        <v>54</v>
      </c>
      <c r="D41" s="24" t="s">
        <v>10</v>
      </c>
      <c r="E41" s="25">
        <f>SLOT_RULES!$D$4+IF($A41&lt;=SLOT_RULES!$D$4,0,INT(($A41-SLOT_RULES!$D$4-1)/SLOT_RULES!$E$4)+1)*SLOT_RULES!$E$4</f>
        <v>46325</v>
      </c>
      <c r="F41" s="63"/>
      <c r="G41" s="63"/>
      <c r="H41" s="25">
        <f>SLOT_RULES!$D$7+IF($A41&lt;=SLOT_RULES!$D$7,0,INT(($A41-SLOT_RULES!$D$7-1)/SLOT_RULES!$E$7)+1)*SLOT_RULES!$E$7</f>
        <v>46318</v>
      </c>
      <c r="I41" s="25">
        <f>SLOT_RULES!$D$8+IF($A41&lt;=SLOT_RULES!$D$8,0,INT(($A41-SLOT_RULES!$D$8-1)/SLOT_RULES!$E$8)+1)*SLOT_RULES!$E$8</f>
        <v>46328</v>
      </c>
      <c r="J41" s="25">
        <f>SLOT_RULES!$D$9+IF($A41&lt;=SLOT_RULES!$D$9,0,INT(($A41-SLOT_RULES!$D$9-1)/SLOT_RULES!$E$9)+1)*SLOT_RULES!$E$9</f>
        <v>46314</v>
      </c>
      <c r="K41" s="25">
        <f>SLOT_RULES!$D$10+IF($A41&lt;=SLOT_RULES!$D$10,0,INT(($A41-SLOT_RULES!$D$10-1)/SLOT_RULES!$E$10)+1)*SLOT_RULES!$E$10</f>
        <v>46329</v>
      </c>
      <c r="L41" s="25">
        <f>SLOT_RULES!$D$11+IF($A41&lt;=SLOT_RULES!$D$11,0,INT(($A41-SLOT_RULES!$D$11-1)/SLOT_RULES!$E$11)+1)*SLOT_RULES!$E$11</f>
        <v>46308</v>
      </c>
      <c r="M41" s="25">
        <f>SLOT_RULES!$D$12+IF($A41&lt;=SLOT_RULES!$D$12,0,INT(($A41-SLOT_RULES!$D$12-1)/SLOT_RULES!$E$12)+1)*SLOT_RULES!$E$12</f>
        <v>46313</v>
      </c>
      <c r="N41" s="25">
        <f>SLOT_RULES!$D$13+IF($A41&lt;=SLOT_RULES!$D$13,0,INT(($A41-SLOT_RULES!$D$13-1)/SLOT_RULES!$E$13)+1)*SLOT_RULES!$E$13</f>
        <v>46321</v>
      </c>
      <c r="O41" s="25">
        <f>SLOT_RULES!$D$14+IF($A41&lt;=SLOT_RULES!$D$14,0,INT(($A41-SLOT_RULES!$D$14-1)/SLOT_RULES!$E$14)+1)*SLOT_RULES!$E$14</f>
        <v>46350</v>
      </c>
      <c r="P41" s="25">
        <f>SLOT_RULES!$D$15+IF($A41&lt;=SLOT_RULES!$D$15,0,INT(($A41-SLOT_RULES!$D$15-1)/SLOT_RULES!$E$15)+1)*SLOT_RULES!$E$15</f>
        <v>46422</v>
      </c>
      <c r="Q41" s="26">
        <f t="shared" si="4"/>
        <v>4</v>
      </c>
      <c r="R41" s="26">
        <f t="shared" si="5"/>
        <v>118</v>
      </c>
      <c r="S41" s="27" t="str">
        <f t="shared" si="6"/>
        <v>PASS</v>
      </c>
      <c r="T41" s="27" t="str">
        <f>IF((COUNTIF(LOCAL_REFERENCE!$D41:$O41,E41)+COUNTIF(LOCAL_REFERENCE!$D41:$O41,H41)+COUNTIF(LOCAL_REFERENCE!$D41:$O41,I41)+COUNTIF(LOCAL_REFERENCE!$D41:$O41,J41)+COUNTIF(LOCAL_REFERENCE!$D41:$O41,K41)+COUNTIF(LOCAL_REFERENCE!$D41:$O41,L41)+COUNTIF(LOCAL_REFERENCE!$D41:$O41,M41)+COUNTIF(LOCAL_REFERENCE!$D41:$O41,N41)+COUNTIF(LOCAL_REFERENCE!$D41:$O41,O41)+COUNTIF(LOCAL_REFERENCE!$D41:$O41,P41))=0,"PASS","FAIL")</f>
        <v>PASS</v>
      </c>
      <c r="U41" s="27" t="str">
        <f>IF((COUNTIF(VPS_REFERENCE!$D41:$H41,E41)+COUNTIF(VPS_REFERENCE!$D41:$H41,H41)+COUNTIF(VPS_REFERENCE!$D41:$H41,I41)+COUNTIF(VPS_REFERENCE!$D41:$H41,J41)+COUNTIF(VPS_REFERENCE!$D41:$H41,K41)+COUNTIF(VPS_REFERENCE!$D41:$H41,L41)+COUNTIF(VPS_REFERENCE!$D41:$H41,M41)+COUNTIF(VPS_REFERENCE!$D41:$H41,N41)+COUNTIF(VPS_REFERENCE!$D41:$H41,O41)+COUNTIF(VPS_REFERENCE!$D41:$H41,P41))=0,"PASS","FAIL")</f>
        <v>PASS</v>
      </c>
      <c r="V41" s="27" t="str">
        <f t="shared" si="7"/>
        <v>PASS</v>
      </c>
      <c r="W41" s="28" t="str">
        <f>CRAWL_LOG!B41</f>
        <v>Chưa chạy</v>
      </c>
      <c r="X41" s="36" t="s">
        <v>57</v>
      </c>
    </row>
    <row r="42" spans="1:24">
      <c r="A42" s="23">
        <v>46305</v>
      </c>
      <c r="B42" s="24" t="s">
        <v>59</v>
      </c>
      <c r="C42" s="24" t="s">
        <v>54</v>
      </c>
      <c r="D42" s="24" t="s">
        <v>10</v>
      </c>
      <c r="E42" s="25">
        <f>SLOT_RULES!$D$4+IF($A42&lt;=SLOT_RULES!$D$4,0,INT(($A42-SLOT_RULES!$D$4-1)/SLOT_RULES!$E$4)+1)*SLOT_RULES!$E$4</f>
        <v>46325</v>
      </c>
      <c r="F42" s="63"/>
      <c r="G42" s="63"/>
      <c r="H42" s="25">
        <f>SLOT_RULES!$D$7+IF($A42&lt;=SLOT_RULES!$D$7,0,INT(($A42-SLOT_RULES!$D$7-1)/SLOT_RULES!$E$7)+1)*SLOT_RULES!$E$7</f>
        <v>46318</v>
      </c>
      <c r="I42" s="25">
        <f>SLOT_RULES!$D$8+IF($A42&lt;=SLOT_RULES!$D$8,0,INT(($A42-SLOT_RULES!$D$8-1)/SLOT_RULES!$E$8)+1)*SLOT_RULES!$E$8</f>
        <v>46328</v>
      </c>
      <c r="J42" s="25">
        <f>SLOT_RULES!$D$9+IF($A42&lt;=SLOT_RULES!$D$9,0,INT(($A42-SLOT_RULES!$D$9-1)/SLOT_RULES!$E$9)+1)*SLOT_RULES!$E$9</f>
        <v>46314</v>
      </c>
      <c r="K42" s="25">
        <f>SLOT_RULES!$D$10+IF($A42&lt;=SLOT_RULES!$D$10,0,INT(($A42-SLOT_RULES!$D$10-1)/SLOT_RULES!$E$10)+1)*SLOT_RULES!$E$10</f>
        <v>46329</v>
      </c>
      <c r="L42" s="25">
        <f>SLOT_RULES!$D$11+IF($A42&lt;=SLOT_RULES!$D$11,0,INT(($A42-SLOT_RULES!$D$11-1)/SLOT_RULES!$E$11)+1)*SLOT_RULES!$E$11</f>
        <v>46308</v>
      </c>
      <c r="M42" s="25">
        <f>SLOT_RULES!$D$12+IF($A42&lt;=SLOT_RULES!$D$12,0,INT(($A42-SLOT_RULES!$D$12-1)/SLOT_RULES!$E$12)+1)*SLOT_RULES!$E$12</f>
        <v>46313</v>
      </c>
      <c r="N42" s="25">
        <f>SLOT_RULES!$D$13+IF($A42&lt;=SLOT_RULES!$D$13,0,INT(($A42-SLOT_RULES!$D$13-1)/SLOT_RULES!$E$13)+1)*SLOT_RULES!$E$13</f>
        <v>46321</v>
      </c>
      <c r="O42" s="25">
        <f>SLOT_RULES!$D$14+IF($A42&lt;=SLOT_RULES!$D$14,0,INT(($A42-SLOT_RULES!$D$14-1)/SLOT_RULES!$E$14)+1)*SLOT_RULES!$E$14</f>
        <v>46350</v>
      </c>
      <c r="P42" s="25">
        <f>SLOT_RULES!$D$15+IF($A42&lt;=SLOT_RULES!$D$15,0,INT(($A42-SLOT_RULES!$D$15-1)/SLOT_RULES!$E$15)+1)*SLOT_RULES!$E$15</f>
        <v>46422</v>
      </c>
      <c r="Q42" s="26">
        <f t="shared" si="4"/>
        <v>3</v>
      </c>
      <c r="R42" s="26">
        <f t="shared" si="5"/>
        <v>117</v>
      </c>
      <c r="S42" s="27" t="str">
        <f t="shared" si="6"/>
        <v>PASS</v>
      </c>
      <c r="T42" s="27" t="str">
        <f>IF((COUNTIF(LOCAL_REFERENCE!$D42:$O42,E42)+COUNTIF(LOCAL_REFERENCE!$D42:$O42,H42)+COUNTIF(LOCAL_REFERENCE!$D42:$O42,I42)+COUNTIF(LOCAL_REFERENCE!$D42:$O42,J42)+COUNTIF(LOCAL_REFERENCE!$D42:$O42,K42)+COUNTIF(LOCAL_REFERENCE!$D42:$O42,L42)+COUNTIF(LOCAL_REFERENCE!$D42:$O42,M42)+COUNTIF(LOCAL_REFERENCE!$D42:$O42,N42)+COUNTIF(LOCAL_REFERENCE!$D42:$O42,O42)+COUNTIF(LOCAL_REFERENCE!$D42:$O42,P42))=0,"PASS","FAIL")</f>
        <v>PASS</v>
      </c>
      <c r="U42" s="27" t="str">
        <f>IF((COUNTIF(VPS_REFERENCE!$D42:$H42,E42)+COUNTIF(VPS_REFERENCE!$D42:$H42,H42)+COUNTIF(VPS_REFERENCE!$D42:$H42,I42)+COUNTIF(VPS_REFERENCE!$D42:$H42,J42)+COUNTIF(VPS_REFERENCE!$D42:$H42,K42)+COUNTIF(VPS_REFERENCE!$D42:$H42,L42)+COUNTIF(VPS_REFERENCE!$D42:$H42,M42)+COUNTIF(VPS_REFERENCE!$D42:$H42,N42)+COUNTIF(VPS_REFERENCE!$D42:$H42,O42)+COUNTIF(VPS_REFERENCE!$D42:$H42,P42))=0,"PASS","FAIL")</f>
        <v>PASS</v>
      </c>
      <c r="V42" s="27" t="str">
        <f t="shared" si="7"/>
        <v>PASS</v>
      </c>
      <c r="W42" s="28" t="str">
        <f>CRAWL_LOG!B42</f>
        <v>Chưa chạy</v>
      </c>
      <c r="X42" s="36" t="s">
        <v>57</v>
      </c>
    </row>
    <row r="43" spans="1:24">
      <c r="A43" s="23">
        <v>46306</v>
      </c>
      <c r="B43" s="24" t="s">
        <v>60</v>
      </c>
      <c r="C43" s="24" t="s">
        <v>54</v>
      </c>
      <c r="D43" s="24" t="s">
        <v>10</v>
      </c>
      <c r="E43" s="25">
        <f>SLOT_RULES!$D$4+IF($A43&lt;=SLOT_RULES!$D$4,0,INT(($A43-SLOT_RULES!$D$4-1)/SLOT_RULES!$E$4)+1)*SLOT_RULES!$E$4</f>
        <v>46325</v>
      </c>
      <c r="F43" s="63"/>
      <c r="G43" s="63"/>
      <c r="H43" s="25">
        <f>SLOT_RULES!$D$7+IF($A43&lt;=SLOT_RULES!$D$7,0,INT(($A43-SLOT_RULES!$D$7-1)/SLOT_RULES!$E$7)+1)*SLOT_RULES!$E$7</f>
        <v>46318</v>
      </c>
      <c r="I43" s="25">
        <f>SLOT_RULES!$D$8+IF($A43&lt;=SLOT_RULES!$D$8,0,INT(($A43-SLOT_RULES!$D$8-1)/SLOT_RULES!$E$8)+1)*SLOT_RULES!$E$8</f>
        <v>46328</v>
      </c>
      <c r="J43" s="25">
        <f>SLOT_RULES!$D$9+IF($A43&lt;=SLOT_RULES!$D$9,0,INT(($A43-SLOT_RULES!$D$9-1)/SLOT_RULES!$E$9)+1)*SLOT_RULES!$E$9</f>
        <v>46314</v>
      </c>
      <c r="K43" s="25">
        <f>SLOT_RULES!$D$10+IF($A43&lt;=SLOT_RULES!$D$10,0,INT(($A43-SLOT_RULES!$D$10-1)/SLOT_RULES!$E$10)+1)*SLOT_RULES!$E$10</f>
        <v>46329</v>
      </c>
      <c r="L43" s="25">
        <f>SLOT_RULES!$D$11+IF($A43&lt;=SLOT_RULES!$D$11,0,INT(($A43-SLOT_RULES!$D$11-1)/SLOT_RULES!$E$11)+1)*SLOT_RULES!$E$11</f>
        <v>46308</v>
      </c>
      <c r="M43" s="25">
        <f>SLOT_RULES!$D$12+IF($A43&lt;=SLOT_RULES!$D$12,0,INT(($A43-SLOT_RULES!$D$12-1)/SLOT_RULES!$E$12)+1)*SLOT_RULES!$E$12</f>
        <v>46313</v>
      </c>
      <c r="N43" s="25">
        <f>SLOT_RULES!$D$13+IF($A43&lt;=SLOT_RULES!$D$13,0,INT(($A43-SLOT_RULES!$D$13-1)/SLOT_RULES!$E$13)+1)*SLOT_RULES!$E$13</f>
        <v>46321</v>
      </c>
      <c r="O43" s="25">
        <f>SLOT_RULES!$D$14+IF($A43&lt;=SLOT_RULES!$D$14,0,INT(($A43-SLOT_RULES!$D$14-1)/SLOT_RULES!$E$14)+1)*SLOT_RULES!$E$14</f>
        <v>46350</v>
      </c>
      <c r="P43" s="25">
        <f>SLOT_RULES!$D$15+IF($A43&lt;=SLOT_RULES!$D$15,0,INT(($A43-SLOT_RULES!$D$15-1)/SLOT_RULES!$E$15)+1)*SLOT_RULES!$E$15</f>
        <v>46422</v>
      </c>
      <c r="Q43" s="26">
        <f t="shared" si="4"/>
        <v>2</v>
      </c>
      <c r="R43" s="26">
        <f t="shared" si="5"/>
        <v>116</v>
      </c>
      <c r="S43" s="27" t="str">
        <f t="shared" si="6"/>
        <v>PASS</v>
      </c>
      <c r="T43" s="27" t="str">
        <f>IF((COUNTIF(LOCAL_REFERENCE!$D43:$O43,E43)+COUNTIF(LOCAL_REFERENCE!$D43:$O43,H43)+COUNTIF(LOCAL_REFERENCE!$D43:$O43,I43)+COUNTIF(LOCAL_REFERENCE!$D43:$O43,J43)+COUNTIF(LOCAL_REFERENCE!$D43:$O43,K43)+COUNTIF(LOCAL_REFERENCE!$D43:$O43,L43)+COUNTIF(LOCAL_REFERENCE!$D43:$O43,M43)+COUNTIF(LOCAL_REFERENCE!$D43:$O43,N43)+COUNTIF(LOCAL_REFERENCE!$D43:$O43,O43)+COUNTIF(LOCAL_REFERENCE!$D43:$O43,P43))=0,"PASS","FAIL")</f>
        <v>PASS</v>
      </c>
      <c r="U43" s="27" t="str">
        <f>IF((COUNTIF(VPS_REFERENCE!$D43:$H43,E43)+COUNTIF(VPS_REFERENCE!$D43:$H43,H43)+COUNTIF(VPS_REFERENCE!$D43:$H43,I43)+COUNTIF(VPS_REFERENCE!$D43:$H43,J43)+COUNTIF(VPS_REFERENCE!$D43:$H43,K43)+COUNTIF(VPS_REFERENCE!$D43:$H43,L43)+COUNTIF(VPS_REFERENCE!$D43:$H43,M43)+COUNTIF(VPS_REFERENCE!$D43:$H43,N43)+COUNTIF(VPS_REFERENCE!$D43:$H43,O43)+COUNTIF(VPS_REFERENCE!$D43:$H43,P43))=0,"PASS","FAIL")</f>
        <v>PASS</v>
      </c>
      <c r="V43" s="27" t="str">
        <f t="shared" si="7"/>
        <v>PASS</v>
      </c>
      <c r="W43" s="28" t="str">
        <f>CRAWL_LOG!B43</f>
        <v>Chưa chạy</v>
      </c>
      <c r="X43" s="36" t="s">
        <v>57</v>
      </c>
    </row>
    <row r="44" spans="1:24">
      <c r="A44" s="23">
        <v>46307</v>
      </c>
      <c r="B44" s="24" t="s">
        <v>61</v>
      </c>
      <c r="C44" s="24" t="s">
        <v>54</v>
      </c>
      <c r="D44" s="24" t="s">
        <v>10</v>
      </c>
      <c r="E44" s="25">
        <f>SLOT_RULES!$D$4+IF($A44&lt;=SLOT_RULES!$D$4,0,INT(($A44-SLOT_RULES!$D$4-1)/SLOT_RULES!$E$4)+1)*SLOT_RULES!$E$4</f>
        <v>46325</v>
      </c>
      <c r="F44" s="63"/>
      <c r="G44" s="63"/>
      <c r="H44" s="25">
        <f>SLOT_RULES!$D$7+IF($A44&lt;=SLOT_RULES!$D$7,0,INT(($A44-SLOT_RULES!$D$7-1)/SLOT_RULES!$E$7)+1)*SLOT_RULES!$E$7</f>
        <v>46318</v>
      </c>
      <c r="I44" s="25">
        <f>SLOT_RULES!$D$8+IF($A44&lt;=SLOT_RULES!$D$8,0,INT(($A44-SLOT_RULES!$D$8-1)/SLOT_RULES!$E$8)+1)*SLOT_RULES!$E$8</f>
        <v>46328</v>
      </c>
      <c r="J44" s="25">
        <f>SLOT_RULES!$D$9+IF($A44&lt;=SLOT_RULES!$D$9,0,INT(($A44-SLOT_RULES!$D$9-1)/SLOT_RULES!$E$9)+1)*SLOT_RULES!$E$9</f>
        <v>46314</v>
      </c>
      <c r="K44" s="25">
        <f>SLOT_RULES!$D$10+IF($A44&lt;=SLOT_RULES!$D$10,0,INT(($A44-SLOT_RULES!$D$10-1)/SLOT_RULES!$E$10)+1)*SLOT_RULES!$E$10</f>
        <v>46329</v>
      </c>
      <c r="L44" s="25">
        <f>SLOT_RULES!$D$11+IF($A44&lt;=SLOT_RULES!$D$11,0,INT(($A44-SLOT_RULES!$D$11-1)/SLOT_RULES!$E$11)+1)*SLOT_RULES!$E$11</f>
        <v>46308</v>
      </c>
      <c r="M44" s="25">
        <f>SLOT_RULES!$D$12+IF($A44&lt;=SLOT_RULES!$D$12,0,INT(($A44-SLOT_RULES!$D$12-1)/SLOT_RULES!$E$12)+1)*SLOT_RULES!$E$12</f>
        <v>46313</v>
      </c>
      <c r="N44" s="25">
        <f>SLOT_RULES!$D$13+IF($A44&lt;=SLOT_RULES!$D$13,0,INT(($A44-SLOT_RULES!$D$13-1)/SLOT_RULES!$E$13)+1)*SLOT_RULES!$E$13</f>
        <v>46321</v>
      </c>
      <c r="O44" s="25">
        <f>SLOT_RULES!$D$14+IF($A44&lt;=SLOT_RULES!$D$14,0,INT(($A44-SLOT_RULES!$D$14-1)/SLOT_RULES!$E$14)+1)*SLOT_RULES!$E$14</f>
        <v>46350</v>
      </c>
      <c r="P44" s="25">
        <f>SLOT_RULES!$D$15+IF($A44&lt;=SLOT_RULES!$D$15,0,INT(($A44-SLOT_RULES!$D$15-1)/SLOT_RULES!$E$15)+1)*SLOT_RULES!$E$15</f>
        <v>46422</v>
      </c>
      <c r="Q44" s="26">
        <f t="shared" si="4"/>
        <v>1</v>
      </c>
      <c r="R44" s="26">
        <f t="shared" si="5"/>
        <v>115</v>
      </c>
      <c r="S44" s="27" t="str">
        <f t="shared" si="6"/>
        <v>PASS</v>
      </c>
      <c r="T44" s="27" t="str">
        <f>IF((COUNTIF(LOCAL_REFERENCE!$D44:$O44,E44)+COUNTIF(LOCAL_REFERENCE!$D44:$O44,H44)+COUNTIF(LOCAL_REFERENCE!$D44:$O44,I44)+COUNTIF(LOCAL_REFERENCE!$D44:$O44,J44)+COUNTIF(LOCAL_REFERENCE!$D44:$O44,K44)+COUNTIF(LOCAL_REFERENCE!$D44:$O44,L44)+COUNTIF(LOCAL_REFERENCE!$D44:$O44,M44)+COUNTIF(LOCAL_REFERENCE!$D44:$O44,N44)+COUNTIF(LOCAL_REFERENCE!$D44:$O44,O44)+COUNTIF(LOCAL_REFERENCE!$D44:$O44,P44))=0,"PASS","FAIL")</f>
        <v>PASS</v>
      </c>
      <c r="U44" s="27" t="str">
        <f>IF((COUNTIF(VPS_REFERENCE!$D44:$H44,E44)+COUNTIF(VPS_REFERENCE!$D44:$H44,H44)+COUNTIF(VPS_REFERENCE!$D44:$H44,I44)+COUNTIF(VPS_REFERENCE!$D44:$H44,J44)+COUNTIF(VPS_REFERENCE!$D44:$H44,K44)+COUNTIF(VPS_REFERENCE!$D44:$H44,L44)+COUNTIF(VPS_REFERENCE!$D44:$H44,M44)+COUNTIF(VPS_REFERENCE!$D44:$H44,N44)+COUNTIF(VPS_REFERENCE!$D44:$H44,O44)+COUNTIF(VPS_REFERENCE!$D44:$H44,P44))=0,"PASS","FAIL")</f>
        <v>PASS</v>
      </c>
      <c r="V44" s="27" t="str">
        <f t="shared" si="7"/>
        <v>PASS</v>
      </c>
      <c r="W44" s="28" t="str">
        <f>CRAWL_LOG!B44</f>
        <v>Chưa chạy</v>
      </c>
      <c r="X44" s="36" t="s">
        <v>57</v>
      </c>
    </row>
    <row r="45" spans="1:24">
      <c r="A45" s="23">
        <v>46308</v>
      </c>
      <c r="B45" s="24" t="s">
        <v>62</v>
      </c>
      <c r="C45" s="24" t="s">
        <v>54</v>
      </c>
      <c r="D45" s="24" t="s">
        <v>10</v>
      </c>
      <c r="E45" s="25">
        <f>SLOT_RULES!$D$4+IF($A45&lt;=SLOT_RULES!$D$4,0,INT(($A45-SLOT_RULES!$D$4-1)/SLOT_RULES!$E$4)+1)*SLOT_RULES!$E$4</f>
        <v>46325</v>
      </c>
      <c r="F45" s="63"/>
      <c r="G45" s="63"/>
      <c r="H45" s="25">
        <f>SLOT_RULES!$D$7+IF($A45&lt;=SLOT_RULES!$D$7,0,INT(($A45-SLOT_RULES!$D$7-1)/SLOT_RULES!$E$7)+1)*SLOT_RULES!$E$7</f>
        <v>46318</v>
      </c>
      <c r="I45" s="25">
        <f>SLOT_RULES!$D$8+IF($A45&lt;=SLOT_RULES!$D$8,0,INT(($A45-SLOT_RULES!$D$8-1)/SLOT_RULES!$E$8)+1)*SLOT_RULES!$E$8</f>
        <v>46328</v>
      </c>
      <c r="J45" s="25">
        <f>SLOT_RULES!$D$9+IF($A45&lt;=SLOT_RULES!$D$9,0,INT(($A45-SLOT_RULES!$D$9-1)/SLOT_RULES!$E$9)+1)*SLOT_RULES!$E$9</f>
        <v>46314</v>
      </c>
      <c r="K45" s="25">
        <f>SLOT_RULES!$D$10+IF($A45&lt;=SLOT_RULES!$D$10,0,INT(($A45-SLOT_RULES!$D$10-1)/SLOT_RULES!$E$10)+1)*SLOT_RULES!$E$10</f>
        <v>46329</v>
      </c>
      <c r="L45" s="25">
        <f>SLOT_RULES!$D$11+IF($A45&lt;=SLOT_RULES!$D$11,0,INT(($A45-SLOT_RULES!$D$11-1)/SLOT_RULES!$E$11)+1)*SLOT_RULES!$E$11</f>
        <v>46308</v>
      </c>
      <c r="M45" s="25">
        <f>SLOT_RULES!$D$12+IF($A45&lt;=SLOT_RULES!$D$12,0,INT(($A45-SLOT_RULES!$D$12-1)/SLOT_RULES!$E$12)+1)*SLOT_RULES!$E$12</f>
        <v>46313</v>
      </c>
      <c r="N45" s="25">
        <f>SLOT_RULES!$D$13+IF($A45&lt;=SLOT_RULES!$D$13,0,INT(($A45-SLOT_RULES!$D$13-1)/SLOT_RULES!$E$13)+1)*SLOT_RULES!$E$13</f>
        <v>46321</v>
      </c>
      <c r="O45" s="25">
        <f>SLOT_RULES!$D$14+IF($A45&lt;=SLOT_RULES!$D$14,0,INT(($A45-SLOT_RULES!$D$14-1)/SLOT_RULES!$E$14)+1)*SLOT_RULES!$E$14</f>
        <v>46350</v>
      </c>
      <c r="P45" s="25">
        <f>SLOT_RULES!$D$15+IF($A45&lt;=SLOT_RULES!$D$15,0,INT(($A45-SLOT_RULES!$D$15-1)/SLOT_RULES!$E$15)+1)*SLOT_RULES!$E$15</f>
        <v>46422</v>
      </c>
      <c r="Q45" s="26">
        <f t="shared" si="4"/>
        <v>0</v>
      </c>
      <c r="R45" s="26">
        <f t="shared" si="5"/>
        <v>114</v>
      </c>
      <c r="S45" s="27" t="str">
        <f t="shared" si="6"/>
        <v>PASS</v>
      </c>
      <c r="T45" s="27" t="str">
        <f>IF((COUNTIF(LOCAL_REFERENCE!$D45:$O45,E45)+COUNTIF(LOCAL_REFERENCE!$D45:$O45,H45)+COUNTIF(LOCAL_REFERENCE!$D45:$O45,I45)+COUNTIF(LOCAL_REFERENCE!$D45:$O45,J45)+COUNTIF(LOCAL_REFERENCE!$D45:$O45,K45)+COUNTIF(LOCAL_REFERENCE!$D45:$O45,L45)+COUNTIF(LOCAL_REFERENCE!$D45:$O45,M45)+COUNTIF(LOCAL_REFERENCE!$D45:$O45,N45)+COUNTIF(LOCAL_REFERENCE!$D45:$O45,O45)+COUNTIF(LOCAL_REFERENCE!$D45:$O45,P45))=0,"PASS","FAIL")</f>
        <v>PASS</v>
      </c>
      <c r="U45" s="27" t="str">
        <f>IF((COUNTIF(VPS_REFERENCE!$D45:$H45,E45)+COUNTIF(VPS_REFERENCE!$D45:$H45,H45)+COUNTIF(VPS_REFERENCE!$D45:$H45,I45)+COUNTIF(VPS_REFERENCE!$D45:$H45,J45)+COUNTIF(VPS_REFERENCE!$D45:$H45,K45)+COUNTIF(VPS_REFERENCE!$D45:$H45,L45)+COUNTIF(VPS_REFERENCE!$D45:$H45,M45)+COUNTIF(VPS_REFERENCE!$D45:$H45,N45)+COUNTIF(VPS_REFERENCE!$D45:$H45,O45)+COUNTIF(VPS_REFERENCE!$D45:$H45,P45))=0,"PASS","FAIL")</f>
        <v>PASS</v>
      </c>
      <c r="V45" s="27" t="str">
        <f t="shared" si="7"/>
        <v>PASS</v>
      </c>
      <c r="W45" s="28" t="str">
        <f>CRAWL_LOG!B45</f>
        <v>Chưa chạy</v>
      </c>
      <c r="X45" s="36" t="s">
        <v>57</v>
      </c>
    </row>
    <row r="46" spans="1:24">
      <c r="A46" s="23">
        <v>46309</v>
      </c>
      <c r="B46" s="24" t="s">
        <v>53</v>
      </c>
      <c r="C46" s="24" t="s">
        <v>54</v>
      </c>
      <c r="D46" s="24" t="s">
        <v>10</v>
      </c>
      <c r="E46" s="25">
        <f>SLOT_RULES!$D$4+IF($A46&lt;=SLOT_RULES!$D$4,0,INT(($A46-SLOT_RULES!$D$4-1)/SLOT_RULES!$E$4)+1)*SLOT_RULES!$E$4</f>
        <v>46325</v>
      </c>
      <c r="F46" s="63"/>
      <c r="G46" s="63"/>
      <c r="H46" s="25">
        <f>SLOT_RULES!$D$7+IF($A46&lt;=SLOT_RULES!$D$7,0,INT(($A46-SLOT_RULES!$D$7-1)/SLOT_RULES!$E$7)+1)*SLOT_RULES!$E$7</f>
        <v>46318</v>
      </c>
      <c r="I46" s="25">
        <f>SLOT_RULES!$D$8+IF($A46&lt;=SLOT_RULES!$D$8,0,INT(($A46-SLOT_RULES!$D$8-1)/SLOT_RULES!$E$8)+1)*SLOT_RULES!$E$8</f>
        <v>46328</v>
      </c>
      <c r="J46" s="25">
        <f>SLOT_RULES!$D$9+IF($A46&lt;=SLOT_RULES!$D$9,0,INT(($A46-SLOT_RULES!$D$9-1)/SLOT_RULES!$E$9)+1)*SLOT_RULES!$E$9</f>
        <v>46314</v>
      </c>
      <c r="K46" s="25">
        <f>SLOT_RULES!$D$10+IF($A46&lt;=SLOT_RULES!$D$10,0,INT(($A46-SLOT_RULES!$D$10-1)/SLOT_RULES!$E$10)+1)*SLOT_RULES!$E$10</f>
        <v>46329</v>
      </c>
      <c r="L46" s="25">
        <f>SLOT_RULES!$D$11+IF($A46&lt;=SLOT_RULES!$D$11,0,INT(($A46-SLOT_RULES!$D$11-1)/SLOT_RULES!$E$11)+1)*SLOT_RULES!$E$11</f>
        <v>46336</v>
      </c>
      <c r="M46" s="25">
        <f>SLOT_RULES!$D$12+IF($A46&lt;=SLOT_RULES!$D$12,0,INT(($A46-SLOT_RULES!$D$12-1)/SLOT_RULES!$E$12)+1)*SLOT_RULES!$E$12</f>
        <v>46313</v>
      </c>
      <c r="N46" s="25">
        <f>SLOT_RULES!$D$13+IF($A46&lt;=SLOT_RULES!$D$13,0,INT(($A46-SLOT_RULES!$D$13-1)/SLOT_RULES!$E$13)+1)*SLOT_RULES!$E$13</f>
        <v>46321</v>
      </c>
      <c r="O46" s="25">
        <f>SLOT_RULES!$D$14+IF($A46&lt;=SLOT_RULES!$D$14,0,INT(($A46-SLOT_RULES!$D$14-1)/SLOT_RULES!$E$14)+1)*SLOT_RULES!$E$14</f>
        <v>46350</v>
      </c>
      <c r="P46" s="25">
        <f>SLOT_RULES!$D$15+IF($A46&lt;=SLOT_RULES!$D$15,0,INT(($A46-SLOT_RULES!$D$15-1)/SLOT_RULES!$E$15)+1)*SLOT_RULES!$E$15</f>
        <v>46422</v>
      </c>
      <c r="Q46" s="26">
        <f t="shared" si="4"/>
        <v>4</v>
      </c>
      <c r="R46" s="26">
        <f t="shared" si="5"/>
        <v>113</v>
      </c>
      <c r="S46" s="27" t="str">
        <f t="shared" si="6"/>
        <v>PASS</v>
      </c>
      <c r="T46" s="27" t="str">
        <f>IF((COUNTIF(LOCAL_REFERENCE!$D46:$O46,E46)+COUNTIF(LOCAL_REFERENCE!$D46:$O46,H46)+COUNTIF(LOCAL_REFERENCE!$D46:$O46,I46)+COUNTIF(LOCAL_REFERENCE!$D46:$O46,J46)+COUNTIF(LOCAL_REFERENCE!$D46:$O46,K46)+COUNTIF(LOCAL_REFERENCE!$D46:$O46,L46)+COUNTIF(LOCAL_REFERENCE!$D46:$O46,M46)+COUNTIF(LOCAL_REFERENCE!$D46:$O46,N46)+COUNTIF(LOCAL_REFERENCE!$D46:$O46,O46)+COUNTIF(LOCAL_REFERENCE!$D46:$O46,P46))=0,"PASS","FAIL")</f>
        <v>PASS</v>
      </c>
      <c r="U46" s="27" t="str">
        <f>IF((COUNTIF(VPS_REFERENCE!$D46:$H46,E46)+COUNTIF(VPS_REFERENCE!$D46:$H46,H46)+COUNTIF(VPS_REFERENCE!$D46:$H46,I46)+COUNTIF(VPS_REFERENCE!$D46:$H46,J46)+COUNTIF(VPS_REFERENCE!$D46:$H46,K46)+COUNTIF(VPS_REFERENCE!$D46:$H46,L46)+COUNTIF(VPS_REFERENCE!$D46:$H46,M46)+COUNTIF(VPS_REFERENCE!$D46:$H46,N46)+COUNTIF(VPS_REFERENCE!$D46:$H46,O46)+COUNTIF(VPS_REFERENCE!$D46:$H46,P46))=0,"PASS","FAIL")</f>
        <v>PASS</v>
      </c>
      <c r="V46" s="27" t="str">
        <f t="shared" si="7"/>
        <v>PASS</v>
      </c>
      <c r="W46" s="28" t="str">
        <f>CRAWL_LOG!B46</f>
        <v>Chưa chạy</v>
      </c>
      <c r="X46" s="36" t="s">
        <v>57</v>
      </c>
    </row>
    <row r="47" spans="1:24">
      <c r="A47" s="23">
        <v>46310</v>
      </c>
      <c r="B47" s="24" t="s">
        <v>56</v>
      </c>
      <c r="C47" s="24" t="s">
        <v>54</v>
      </c>
      <c r="D47" s="24" t="s">
        <v>10</v>
      </c>
      <c r="E47" s="25">
        <f>SLOT_RULES!$D$4+IF($A47&lt;=SLOT_RULES!$D$4,0,INT(($A47-SLOT_RULES!$D$4-1)/SLOT_RULES!$E$4)+1)*SLOT_RULES!$E$4</f>
        <v>46325</v>
      </c>
      <c r="F47" s="63"/>
      <c r="G47" s="63"/>
      <c r="H47" s="25">
        <f>SLOT_RULES!$D$7+IF($A47&lt;=SLOT_RULES!$D$7,0,INT(($A47-SLOT_RULES!$D$7-1)/SLOT_RULES!$E$7)+1)*SLOT_RULES!$E$7</f>
        <v>46318</v>
      </c>
      <c r="I47" s="25">
        <f>SLOT_RULES!$D$8+IF($A47&lt;=SLOT_RULES!$D$8,0,INT(($A47-SLOT_RULES!$D$8-1)/SLOT_RULES!$E$8)+1)*SLOT_RULES!$E$8</f>
        <v>46328</v>
      </c>
      <c r="J47" s="25">
        <f>SLOT_RULES!$D$9+IF($A47&lt;=SLOT_RULES!$D$9,0,INT(($A47-SLOT_RULES!$D$9-1)/SLOT_RULES!$E$9)+1)*SLOT_RULES!$E$9</f>
        <v>46314</v>
      </c>
      <c r="K47" s="25">
        <f>SLOT_RULES!$D$10+IF($A47&lt;=SLOT_RULES!$D$10,0,INT(($A47-SLOT_RULES!$D$10-1)/SLOT_RULES!$E$10)+1)*SLOT_RULES!$E$10</f>
        <v>46329</v>
      </c>
      <c r="L47" s="25">
        <f>SLOT_RULES!$D$11+IF($A47&lt;=SLOT_RULES!$D$11,0,INT(($A47-SLOT_RULES!$D$11-1)/SLOT_RULES!$E$11)+1)*SLOT_RULES!$E$11</f>
        <v>46336</v>
      </c>
      <c r="M47" s="25">
        <f>SLOT_RULES!$D$12+IF($A47&lt;=SLOT_RULES!$D$12,0,INT(($A47-SLOT_RULES!$D$12-1)/SLOT_RULES!$E$12)+1)*SLOT_RULES!$E$12</f>
        <v>46313</v>
      </c>
      <c r="N47" s="25">
        <f>SLOT_RULES!$D$13+IF($A47&lt;=SLOT_RULES!$D$13,0,INT(($A47-SLOT_RULES!$D$13-1)/SLOT_RULES!$E$13)+1)*SLOT_RULES!$E$13</f>
        <v>46321</v>
      </c>
      <c r="O47" s="25">
        <f>SLOT_RULES!$D$14+IF($A47&lt;=SLOT_RULES!$D$14,0,INT(($A47-SLOT_RULES!$D$14-1)/SLOT_RULES!$E$14)+1)*SLOT_RULES!$E$14</f>
        <v>46350</v>
      </c>
      <c r="P47" s="25">
        <f>SLOT_RULES!$D$15+IF($A47&lt;=SLOT_RULES!$D$15,0,INT(($A47-SLOT_RULES!$D$15-1)/SLOT_RULES!$E$15)+1)*SLOT_RULES!$E$15</f>
        <v>46422</v>
      </c>
      <c r="Q47" s="26">
        <f t="shared" si="4"/>
        <v>3</v>
      </c>
      <c r="R47" s="26">
        <f t="shared" si="5"/>
        <v>112</v>
      </c>
      <c r="S47" s="27" t="str">
        <f t="shared" si="6"/>
        <v>PASS</v>
      </c>
      <c r="T47" s="27" t="str">
        <f>IF((COUNTIF(LOCAL_REFERENCE!$D47:$O47,E47)+COUNTIF(LOCAL_REFERENCE!$D47:$O47,H47)+COUNTIF(LOCAL_REFERENCE!$D47:$O47,I47)+COUNTIF(LOCAL_REFERENCE!$D47:$O47,J47)+COUNTIF(LOCAL_REFERENCE!$D47:$O47,K47)+COUNTIF(LOCAL_REFERENCE!$D47:$O47,L47)+COUNTIF(LOCAL_REFERENCE!$D47:$O47,M47)+COUNTIF(LOCAL_REFERENCE!$D47:$O47,N47)+COUNTIF(LOCAL_REFERENCE!$D47:$O47,O47)+COUNTIF(LOCAL_REFERENCE!$D47:$O47,P47))=0,"PASS","FAIL")</f>
        <v>PASS</v>
      </c>
      <c r="U47" s="27" t="str">
        <f>IF((COUNTIF(VPS_REFERENCE!$D47:$H47,E47)+COUNTIF(VPS_REFERENCE!$D47:$H47,H47)+COUNTIF(VPS_REFERENCE!$D47:$H47,I47)+COUNTIF(VPS_REFERENCE!$D47:$H47,J47)+COUNTIF(VPS_REFERENCE!$D47:$H47,K47)+COUNTIF(VPS_REFERENCE!$D47:$H47,L47)+COUNTIF(VPS_REFERENCE!$D47:$H47,M47)+COUNTIF(VPS_REFERENCE!$D47:$H47,N47)+COUNTIF(VPS_REFERENCE!$D47:$H47,O47)+COUNTIF(VPS_REFERENCE!$D47:$H47,P47))=0,"PASS","FAIL")</f>
        <v>PASS</v>
      </c>
      <c r="V47" s="27" t="str">
        <f t="shared" si="7"/>
        <v>PASS</v>
      </c>
      <c r="W47" s="28" t="str">
        <f>CRAWL_LOG!B47</f>
        <v>Chưa chạy</v>
      </c>
      <c r="X47" s="36" t="s">
        <v>57</v>
      </c>
    </row>
    <row r="48" spans="1:24">
      <c r="A48" s="23">
        <v>46311</v>
      </c>
      <c r="B48" s="24" t="s">
        <v>58</v>
      </c>
      <c r="C48" s="24" t="s">
        <v>54</v>
      </c>
      <c r="D48" s="24" t="s">
        <v>10</v>
      </c>
      <c r="E48" s="25">
        <f>SLOT_RULES!$D$4+IF($A48&lt;=SLOT_RULES!$D$4,0,INT(($A48-SLOT_RULES!$D$4-1)/SLOT_RULES!$E$4)+1)*SLOT_RULES!$E$4</f>
        <v>46325</v>
      </c>
      <c r="F48" s="63"/>
      <c r="G48" s="63"/>
      <c r="H48" s="25">
        <f>SLOT_RULES!$D$7+IF($A48&lt;=SLOT_RULES!$D$7,0,INT(($A48-SLOT_RULES!$D$7-1)/SLOT_RULES!$E$7)+1)*SLOT_RULES!$E$7</f>
        <v>46318</v>
      </c>
      <c r="I48" s="25">
        <f>SLOT_RULES!$D$8+IF($A48&lt;=SLOT_RULES!$D$8,0,INT(($A48-SLOT_RULES!$D$8-1)/SLOT_RULES!$E$8)+1)*SLOT_RULES!$E$8</f>
        <v>46328</v>
      </c>
      <c r="J48" s="25">
        <f>SLOT_RULES!$D$9+IF($A48&lt;=SLOT_RULES!$D$9,0,INT(($A48-SLOT_RULES!$D$9-1)/SLOT_RULES!$E$9)+1)*SLOT_RULES!$E$9</f>
        <v>46314</v>
      </c>
      <c r="K48" s="25">
        <f>SLOT_RULES!$D$10+IF($A48&lt;=SLOT_RULES!$D$10,0,INT(($A48-SLOT_RULES!$D$10-1)/SLOT_RULES!$E$10)+1)*SLOT_RULES!$E$10</f>
        <v>46329</v>
      </c>
      <c r="L48" s="25">
        <f>SLOT_RULES!$D$11+IF($A48&lt;=SLOT_RULES!$D$11,0,INT(($A48-SLOT_RULES!$D$11-1)/SLOT_RULES!$E$11)+1)*SLOT_RULES!$E$11</f>
        <v>46336</v>
      </c>
      <c r="M48" s="25">
        <f>SLOT_RULES!$D$12+IF($A48&lt;=SLOT_RULES!$D$12,0,INT(($A48-SLOT_RULES!$D$12-1)/SLOT_RULES!$E$12)+1)*SLOT_RULES!$E$12</f>
        <v>46313</v>
      </c>
      <c r="N48" s="25">
        <f>SLOT_RULES!$D$13+IF($A48&lt;=SLOT_RULES!$D$13,0,INT(($A48-SLOT_RULES!$D$13-1)/SLOT_RULES!$E$13)+1)*SLOT_RULES!$E$13</f>
        <v>46321</v>
      </c>
      <c r="O48" s="25">
        <f>SLOT_RULES!$D$14+IF($A48&lt;=SLOT_RULES!$D$14,0,INT(($A48-SLOT_RULES!$D$14-1)/SLOT_RULES!$E$14)+1)*SLOT_RULES!$E$14</f>
        <v>46350</v>
      </c>
      <c r="P48" s="25">
        <f>SLOT_RULES!$D$15+IF($A48&lt;=SLOT_RULES!$D$15,0,INT(($A48-SLOT_RULES!$D$15-1)/SLOT_RULES!$E$15)+1)*SLOT_RULES!$E$15</f>
        <v>46422</v>
      </c>
      <c r="Q48" s="26">
        <f t="shared" si="4"/>
        <v>2</v>
      </c>
      <c r="R48" s="26">
        <f t="shared" si="5"/>
        <v>111</v>
      </c>
      <c r="S48" s="27" t="str">
        <f t="shared" si="6"/>
        <v>PASS</v>
      </c>
      <c r="T48" s="27" t="str">
        <f>IF((COUNTIF(LOCAL_REFERENCE!$D48:$O48,E48)+COUNTIF(LOCAL_REFERENCE!$D48:$O48,H48)+COUNTIF(LOCAL_REFERENCE!$D48:$O48,I48)+COUNTIF(LOCAL_REFERENCE!$D48:$O48,J48)+COUNTIF(LOCAL_REFERENCE!$D48:$O48,K48)+COUNTIF(LOCAL_REFERENCE!$D48:$O48,L48)+COUNTIF(LOCAL_REFERENCE!$D48:$O48,M48)+COUNTIF(LOCAL_REFERENCE!$D48:$O48,N48)+COUNTIF(LOCAL_REFERENCE!$D48:$O48,O48)+COUNTIF(LOCAL_REFERENCE!$D48:$O48,P48))=0,"PASS","FAIL")</f>
        <v>PASS</v>
      </c>
      <c r="U48" s="27" t="str">
        <f>IF((COUNTIF(VPS_REFERENCE!$D48:$H48,E48)+COUNTIF(VPS_REFERENCE!$D48:$H48,H48)+COUNTIF(VPS_REFERENCE!$D48:$H48,I48)+COUNTIF(VPS_REFERENCE!$D48:$H48,J48)+COUNTIF(VPS_REFERENCE!$D48:$H48,K48)+COUNTIF(VPS_REFERENCE!$D48:$H48,L48)+COUNTIF(VPS_REFERENCE!$D48:$H48,M48)+COUNTIF(VPS_REFERENCE!$D48:$H48,N48)+COUNTIF(VPS_REFERENCE!$D48:$H48,O48)+COUNTIF(VPS_REFERENCE!$D48:$H48,P48))=0,"PASS","FAIL")</f>
        <v>PASS</v>
      </c>
      <c r="V48" s="27" t="str">
        <f t="shared" si="7"/>
        <v>PASS</v>
      </c>
      <c r="W48" s="28" t="str">
        <f>CRAWL_LOG!B48</f>
        <v>Chưa chạy</v>
      </c>
      <c r="X48" s="36" t="s">
        <v>57</v>
      </c>
    </row>
    <row r="49" spans="1:24">
      <c r="A49" s="23">
        <v>46312</v>
      </c>
      <c r="B49" s="24" t="s">
        <v>59</v>
      </c>
      <c r="C49" s="24" t="s">
        <v>54</v>
      </c>
      <c r="D49" s="24" t="s">
        <v>10</v>
      </c>
      <c r="E49" s="25">
        <f>SLOT_RULES!$D$4+IF($A49&lt;=SLOT_RULES!$D$4,0,INT(($A49-SLOT_RULES!$D$4-1)/SLOT_RULES!$E$4)+1)*SLOT_RULES!$E$4</f>
        <v>46325</v>
      </c>
      <c r="F49" s="63"/>
      <c r="G49" s="63"/>
      <c r="H49" s="25">
        <f>SLOT_RULES!$D$7+IF($A49&lt;=SLOT_RULES!$D$7,0,INT(($A49-SLOT_RULES!$D$7-1)/SLOT_RULES!$E$7)+1)*SLOT_RULES!$E$7</f>
        <v>46318</v>
      </c>
      <c r="I49" s="25">
        <f>SLOT_RULES!$D$8+IF($A49&lt;=SLOT_RULES!$D$8,0,INT(($A49-SLOT_RULES!$D$8-1)/SLOT_RULES!$E$8)+1)*SLOT_RULES!$E$8</f>
        <v>46328</v>
      </c>
      <c r="J49" s="25">
        <f>SLOT_RULES!$D$9+IF($A49&lt;=SLOT_RULES!$D$9,0,INT(($A49-SLOT_RULES!$D$9-1)/SLOT_RULES!$E$9)+1)*SLOT_RULES!$E$9</f>
        <v>46314</v>
      </c>
      <c r="K49" s="25">
        <f>SLOT_RULES!$D$10+IF($A49&lt;=SLOT_RULES!$D$10,0,INT(($A49-SLOT_RULES!$D$10-1)/SLOT_RULES!$E$10)+1)*SLOT_RULES!$E$10</f>
        <v>46329</v>
      </c>
      <c r="L49" s="25">
        <f>SLOT_RULES!$D$11+IF($A49&lt;=SLOT_RULES!$D$11,0,INT(($A49-SLOT_RULES!$D$11-1)/SLOT_RULES!$E$11)+1)*SLOT_RULES!$E$11</f>
        <v>46336</v>
      </c>
      <c r="M49" s="25">
        <f>SLOT_RULES!$D$12+IF($A49&lt;=SLOT_RULES!$D$12,0,INT(($A49-SLOT_RULES!$D$12-1)/SLOT_RULES!$E$12)+1)*SLOT_RULES!$E$12</f>
        <v>46313</v>
      </c>
      <c r="N49" s="25">
        <f>SLOT_RULES!$D$13+IF($A49&lt;=SLOT_RULES!$D$13,0,INT(($A49-SLOT_RULES!$D$13-1)/SLOT_RULES!$E$13)+1)*SLOT_RULES!$E$13</f>
        <v>46321</v>
      </c>
      <c r="O49" s="25">
        <f>SLOT_RULES!$D$14+IF($A49&lt;=SLOT_RULES!$D$14,0,INT(($A49-SLOT_RULES!$D$14-1)/SLOT_RULES!$E$14)+1)*SLOT_RULES!$E$14</f>
        <v>46350</v>
      </c>
      <c r="P49" s="25">
        <f>SLOT_RULES!$D$15+IF($A49&lt;=SLOT_RULES!$D$15,0,INT(($A49-SLOT_RULES!$D$15-1)/SLOT_RULES!$E$15)+1)*SLOT_RULES!$E$15</f>
        <v>46422</v>
      </c>
      <c r="Q49" s="26">
        <f t="shared" si="4"/>
        <v>1</v>
      </c>
      <c r="R49" s="26">
        <f t="shared" si="5"/>
        <v>110</v>
      </c>
      <c r="S49" s="27" t="str">
        <f t="shared" si="6"/>
        <v>PASS</v>
      </c>
      <c r="T49" s="27" t="str">
        <f>IF((COUNTIF(LOCAL_REFERENCE!$D49:$O49,E49)+COUNTIF(LOCAL_REFERENCE!$D49:$O49,H49)+COUNTIF(LOCAL_REFERENCE!$D49:$O49,I49)+COUNTIF(LOCAL_REFERENCE!$D49:$O49,J49)+COUNTIF(LOCAL_REFERENCE!$D49:$O49,K49)+COUNTIF(LOCAL_REFERENCE!$D49:$O49,L49)+COUNTIF(LOCAL_REFERENCE!$D49:$O49,M49)+COUNTIF(LOCAL_REFERENCE!$D49:$O49,N49)+COUNTIF(LOCAL_REFERENCE!$D49:$O49,O49)+COUNTIF(LOCAL_REFERENCE!$D49:$O49,P49))=0,"PASS","FAIL")</f>
        <v>PASS</v>
      </c>
      <c r="U49" s="27" t="str">
        <f>IF((COUNTIF(VPS_REFERENCE!$D49:$H49,E49)+COUNTIF(VPS_REFERENCE!$D49:$H49,H49)+COUNTIF(VPS_REFERENCE!$D49:$H49,I49)+COUNTIF(VPS_REFERENCE!$D49:$H49,J49)+COUNTIF(VPS_REFERENCE!$D49:$H49,K49)+COUNTIF(VPS_REFERENCE!$D49:$H49,L49)+COUNTIF(VPS_REFERENCE!$D49:$H49,M49)+COUNTIF(VPS_REFERENCE!$D49:$H49,N49)+COUNTIF(VPS_REFERENCE!$D49:$H49,O49)+COUNTIF(VPS_REFERENCE!$D49:$H49,P49))=0,"PASS","FAIL")</f>
        <v>PASS</v>
      </c>
      <c r="V49" s="27" t="str">
        <f t="shared" si="7"/>
        <v>PASS</v>
      </c>
      <c r="W49" s="28" t="str">
        <f>CRAWL_LOG!B49</f>
        <v>Chưa chạy</v>
      </c>
      <c r="X49" s="36" t="s">
        <v>57</v>
      </c>
    </row>
    <row r="50" spans="1:24">
      <c r="A50" s="23">
        <v>46313</v>
      </c>
      <c r="B50" s="24" t="s">
        <v>60</v>
      </c>
      <c r="C50" s="24" t="s">
        <v>54</v>
      </c>
      <c r="D50" s="24" t="s">
        <v>10</v>
      </c>
      <c r="E50" s="25">
        <f>SLOT_RULES!$D$4+IF($A50&lt;=SLOT_RULES!$D$4,0,INT(($A50-SLOT_RULES!$D$4-1)/SLOT_RULES!$E$4)+1)*SLOT_RULES!$E$4</f>
        <v>46325</v>
      </c>
      <c r="F50" s="63"/>
      <c r="G50" s="63"/>
      <c r="H50" s="25">
        <f>SLOT_RULES!$D$7+IF($A50&lt;=SLOT_RULES!$D$7,0,INT(($A50-SLOT_RULES!$D$7-1)/SLOT_RULES!$E$7)+1)*SLOT_RULES!$E$7</f>
        <v>46318</v>
      </c>
      <c r="I50" s="25">
        <f>SLOT_RULES!$D$8+IF($A50&lt;=SLOT_RULES!$D$8,0,INT(($A50-SLOT_RULES!$D$8-1)/SLOT_RULES!$E$8)+1)*SLOT_RULES!$E$8</f>
        <v>46328</v>
      </c>
      <c r="J50" s="25">
        <f>SLOT_RULES!$D$9+IF($A50&lt;=SLOT_RULES!$D$9,0,INT(($A50-SLOT_RULES!$D$9-1)/SLOT_RULES!$E$9)+1)*SLOT_RULES!$E$9</f>
        <v>46314</v>
      </c>
      <c r="K50" s="25">
        <f>SLOT_RULES!$D$10+IF($A50&lt;=SLOT_RULES!$D$10,0,INT(($A50-SLOT_RULES!$D$10-1)/SLOT_RULES!$E$10)+1)*SLOT_RULES!$E$10</f>
        <v>46329</v>
      </c>
      <c r="L50" s="25">
        <f>SLOT_RULES!$D$11+IF($A50&lt;=SLOT_RULES!$D$11,0,INT(($A50-SLOT_RULES!$D$11-1)/SLOT_RULES!$E$11)+1)*SLOT_RULES!$E$11</f>
        <v>46336</v>
      </c>
      <c r="M50" s="25">
        <f>SLOT_RULES!$D$12+IF($A50&lt;=SLOT_RULES!$D$12,0,INT(($A50-SLOT_RULES!$D$12-1)/SLOT_RULES!$E$12)+1)*SLOT_RULES!$E$12</f>
        <v>46313</v>
      </c>
      <c r="N50" s="25">
        <f>SLOT_RULES!$D$13+IF($A50&lt;=SLOT_RULES!$D$13,0,INT(($A50-SLOT_RULES!$D$13-1)/SLOT_RULES!$E$13)+1)*SLOT_RULES!$E$13</f>
        <v>46321</v>
      </c>
      <c r="O50" s="25">
        <f>SLOT_RULES!$D$14+IF($A50&lt;=SLOT_RULES!$D$14,0,INT(($A50-SLOT_RULES!$D$14-1)/SLOT_RULES!$E$14)+1)*SLOT_RULES!$E$14</f>
        <v>46350</v>
      </c>
      <c r="P50" s="25">
        <f>SLOT_RULES!$D$15+IF($A50&lt;=SLOT_RULES!$D$15,0,INT(($A50-SLOT_RULES!$D$15-1)/SLOT_RULES!$E$15)+1)*SLOT_RULES!$E$15</f>
        <v>46422</v>
      </c>
      <c r="Q50" s="26">
        <f t="shared" si="4"/>
        <v>0</v>
      </c>
      <c r="R50" s="26">
        <f t="shared" si="5"/>
        <v>109</v>
      </c>
      <c r="S50" s="27" t="str">
        <f t="shared" si="6"/>
        <v>PASS</v>
      </c>
      <c r="T50" s="27" t="str">
        <f>IF((COUNTIF(LOCAL_REFERENCE!$D50:$O50,E50)+COUNTIF(LOCAL_REFERENCE!$D50:$O50,H50)+COUNTIF(LOCAL_REFERENCE!$D50:$O50,I50)+COUNTIF(LOCAL_REFERENCE!$D50:$O50,J50)+COUNTIF(LOCAL_REFERENCE!$D50:$O50,K50)+COUNTIF(LOCAL_REFERENCE!$D50:$O50,L50)+COUNTIF(LOCAL_REFERENCE!$D50:$O50,M50)+COUNTIF(LOCAL_REFERENCE!$D50:$O50,N50)+COUNTIF(LOCAL_REFERENCE!$D50:$O50,O50)+COUNTIF(LOCAL_REFERENCE!$D50:$O50,P50))=0,"PASS","FAIL")</f>
        <v>PASS</v>
      </c>
      <c r="U50" s="27" t="str">
        <f>IF((COUNTIF(VPS_REFERENCE!$D50:$H50,E50)+COUNTIF(VPS_REFERENCE!$D50:$H50,H50)+COUNTIF(VPS_REFERENCE!$D50:$H50,I50)+COUNTIF(VPS_REFERENCE!$D50:$H50,J50)+COUNTIF(VPS_REFERENCE!$D50:$H50,K50)+COUNTIF(VPS_REFERENCE!$D50:$H50,L50)+COUNTIF(VPS_REFERENCE!$D50:$H50,M50)+COUNTIF(VPS_REFERENCE!$D50:$H50,N50)+COUNTIF(VPS_REFERENCE!$D50:$H50,O50)+COUNTIF(VPS_REFERENCE!$D50:$H50,P50))=0,"PASS","FAIL")</f>
        <v>PASS</v>
      </c>
      <c r="V50" s="27" t="str">
        <f t="shared" si="7"/>
        <v>PASS</v>
      </c>
      <c r="W50" s="28" t="str">
        <f>CRAWL_LOG!B50</f>
        <v>Chưa chạy</v>
      </c>
      <c r="X50" s="36" t="s">
        <v>57</v>
      </c>
    </row>
    <row r="51" spans="1:24">
      <c r="A51" s="23">
        <v>46314</v>
      </c>
      <c r="B51" s="24" t="s">
        <v>61</v>
      </c>
      <c r="C51" s="24" t="s">
        <v>54</v>
      </c>
      <c r="D51" s="24" t="s">
        <v>10</v>
      </c>
      <c r="E51" s="25">
        <f>SLOT_RULES!$D$4+IF($A51&lt;=SLOT_RULES!$D$4,0,INT(($A51-SLOT_RULES!$D$4-1)/SLOT_RULES!$E$4)+1)*SLOT_RULES!$E$4</f>
        <v>46325</v>
      </c>
      <c r="F51" s="63"/>
      <c r="G51" s="63"/>
      <c r="H51" s="25">
        <f>SLOT_RULES!$D$7+IF($A51&lt;=SLOT_RULES!$D$7,0,INT(($A51-SLOT_RULES!$D$7-1)/SLOT_RULES!$E$7)+1)*SLOT_RULES!$E$7</f>
        <v>46318</v>
      </c>
      <c r="I51" s="25">
        <f>SLOT_RULES!$D$8+IF($A51&lt;=SLOT_RULES!$D$8,0,INT(($A51-SLOT_RULES!$D$8-1)/SLOT_RULES!$E$8)+1)*SLOT_RULES!$E$8</f>
        <v>46328</v>
      </c>
      <c r="J51" s="25">
        <f>SLOT_RULES!$D$9+IF($A51&lt;=SLOT_RULES!$D$9,0,INT(($A51-SLOT_RULES!$D$9-1)/SLOT_RULES!$E$9)+1)*SLOT_RULES!$E$9</f>
        <v>46314</v>
      </c>
      <c r="K51" s="25">
        <f>SLOT_RULES!$D$10+IF($A51&lt;=SLOT_RULES!$D$10,0,INT(($A51-SLOT_RULES!$D$10-1)/SLOT_RULES!$E$10)+1)*SLOT_RULES!$E$10</f>
        <v>46329</v>
      </c>
      <c r="L51" s="25">
        <f>SLOT_RULES!$D$11+IF($A51&lt;=SLOT_RULES!$D$11,0,INT(($A51-SLOT_RULES!$D$11-1)/SLOT_RULES!$E$11)+1)*SLOT_RULES!$E$11</f>
        <v>46336</v>
      </c>
      <c r="M51" s="25">
        <f>SLOT_RULES!$D$12+IF($A51&lt;=SLOT_RULES!$D$12,0,INT(($A51-SLOT_RULES!$D$12-1)/SLOT_RULES!$E$12)+1)*SLOT_RULES!$E$12</f>
        <v>46341</v>
      </c>
      <c r="N51" s="25">
        <f>SLOT_RULES!$D$13+IF($A51&lt;=SLOT_RULES!$D$13,0,INT(($A51-SLOT_RULES!$D$13-1)/SLOT_RULES!$E$13)+1)*SLOT_RULES!$E$13</f>
        <v>46321</v>
      </c>
      <c r="O51" s="25">
        <f>SLOT_RULES!$D$14+IF($A51&lt;=SLOT_RULES!$D$14,0,INT(($A51-SLOT_RULES!$D$14-1)/SLOT_RULES!$E$14)+1)*SLOT_RULES!$E$14</f>
        <v>46350</v>
      </c>
      <c r="P51" s="25">
        <f>SLOT_RULES!$D$15+IF($A51&lt;=SLOT_RULES!$D$15,0,INT(($A51-SLOT_RULES!$D$15-1)/SLOT_RULES!$E$15)+1)*SLOT_RULES!$E$15</f>
        <v>46422</v>
      </c>
      <c r="Q51" s="26">
        <f t="shared" si="4"/>
        <v>0</v>
      </c>
      <c r="R51" s="26">
        <f t="shared" si="5"/>
        <v>108</v>
      </c>
      <c r="S51" s="27" t="str">
        <f t="shared" si="6"/>
        <v>PASS</v>
      </c>
      <c r="T51" s="27" t="str">
        <f>IF((COUNTIF(LOCAL_REFERENCE!$D51:$O51,E51)+COUNTIF(LOCAL_REFERENCE!$D51:$O51,H51)+COUNTIF(LOCAL_REFERENCE!$D51:$O51,I51)+COUNTIF(LOCAL_REFERENCE!$D51:$O51,J51)+COUNTIF(LOCAL_REFERENCE!$D51:$O51,K51)+COUNTIF(LOCAL_REFERENCE!$D51:$O51,L51)+COUNTIF(LOCAL_REFERENCE!$D51:$O51,M51)+COUNTIF(LOCAL_REFERENCE!$D51:$O51,N51)+COUNTIF(LOCAL_REFERENCE!$D51:$O51,O51)+COUNTIF(LOCAL_REFERENCE!$D51:$O51,P51))=0,"PASS","FAIL")</f>
        <v>PASS</v>
      </c>
      <c r="U51" s="27" t="str">
        <f>IF((COUNTIF(VPS_REFERENCE!$D51:$H51,E51)+COUNTIF(VPS_REFERENCE!$D51:$H51,H51)+COUNTIF(VPS_REFERENCE!$D51:$H51,I51)+COUNTIF(VPS_REFERENCE!$D51:$H51,J51)+COUNTIF(VPS_REFERENCE!$D51:$H51,K51)+COUNTIF(VPS_REFERENCE!$D51:$H51,L51)+COUNTIF(VPS_REFERENCE!$D51:$H51,M51)+COUNTIF(VPS_REFERENCE!$D51:$H51,N51)+COUNTIF(VPS_REFERENCE!$D51:$H51,O51)+COUNTIF(VPS_REFERENCE!$D51:$H51,P51))=0,"PASS","FAIL")</f>
        <v>PASS</v>
      </c>
      <c r="V51" s="27" t="str">
        <f t="shared" si="7"/>
        <v>PASS</v>
      </c>
      <c r="W51" s="28" t="str">
        <f>CRAWL_LOG!B51</f>
        <v>Chưa chạy</v>
      </c>
      <c r="X51" s="36" t="s">
        <v>57</v>
      </c>
    </row>
    <row r="52" spans="1:24">
      <c r="A52" s="23">
        <v>46315</v>
      </c>
      <c r="B52" s="24" t="s">
        <v>62</v>
      </c>
      <c r="C52" s="24" t="s">
        <v>54</v>
      </c>
      <c r="D52" s="24" t="s">
        <v>10</v>
      </c>
      <c r="E52" s="25">
        <f>SLOT_RULES!$D$4+IF($A52&lt;=SLOT_RULES!$D$4,0,INT(($A52-SLOT_RULES!$D$4-1)/SLOT_RULES!$E$4)+1)*SLOT_RULES!$E$4</f>
        <v>46325</v>
      </c>
      <c r="F52" s="63"/>
      <c r="G52" s="63"/>
      <c r="H52" s="25">
        <f>SLOT_RULES!$D$7+IF($A52&lt;=SLOT_RULES!$D$7,0,INT(($A52-SLOT_RULES!$D$7-1)/SLOT_RULES!$E$7)+1)*SLOT_RULES!$E$7</f>
        <v>46318</v>
      </c>
      <c r="I52" s="25">
        <f>SLOT_RULES!$D$8+IF($A52&lt;=SLOT_RULES!$D$8,0,INT(($A52-SLOT_RULES!$D$8-1)/SLOT_RULES!$E$8)+1)*SLOT_RULES!$E$8</f>
        <v>46328</v>
      </c>
      <c r="J52" s="25">
        <f>SLOT_RULES!$D$9+IF($A52&lt;=SLOT_RULES!$D$9,0,INT(($A52-SLOT_RULES!$D$9-1)/SLOT_RULES!$E$9)+1)*SLOT_RULES!$E$9</f>
        <v>46342</v>
      </c>
      <c r="K52" s="25">
        <f>SLOT_RULES!$D$10+IF($A52&lt;=SLOT_RULES!$D$10,0,INT(($A52-SLOT_RULES!$D$10-1)/SLOT_RULES!$E$10)+1)*SLOT_RULES!$E$10</f>
        <v>46329</v>
      </c>
      <c r="L52" s="25">
        <f>SLOT_RULES!$D$11+IF($A52&lt;=SLOT_RULES!$D$11,0,INT(($A52-SLOT_RULES!$D$11-1)/SLOT_RULES!$E$11)+1)*SLOT_RULES!$E$11</f>
        <v>46336</v>
      </c>
      <c r="M52" s="25">
        <f>SLOT_RULES!$D$12+IF($A52&lt;=SLOT_RULES!$D$12,0,INT(($A52-SLOT_RULES!$D$12-1)/SLOT_RULES!$E$12)+1)*SLOT_RULES!$E$12</f>
        <v>46341</v>
      </c>
      <c r="N52" s="25">
        <f>SLOT_RULES!$D$13+IF($A52&lt;=SLOT_RULES!$D$13,0,INT(($A52-SLOT_RULES!$D$13-1)/SLOT_RULES!$E$13)+1)*SLOT_RULES!$E$13</f>
        <v>46321</v>
      </c>
      <c r="O52" s="25">
        <f>SLOT_RULES!$D$14+IF($A52&lt;=SLOT_RULES!$D$14,0,INT(($A52-SLOT_RULES!$D$14-1)/SLOT_RULES!$E$14)+1)*SLOT_RULES!$E$14</f>
        <v>46350</v>
      </c>
      <c r="P52" s="25">
        <f>SLOT_RULES!$D$15+IF($A52&lt;=SLOT_RULES!$D$15,0,INT(($A52-SLOT_RULES!$D$15-1)/SLOT_RULES!$E$15)+1)*SLOT_RULES!$E$15</f>
        <v>46422</v>
      </c>
      <c r="Q52" s="26">
        <f t="shared" si="4"/>
        <v>3</v>
      </c>
      <c r="R52" s="26">
        <f t="shared" si="5"/>
        <v>107</v>
      </c>
      <c r="S52" s="27" t="str">
        <f t="shared" si="6"/>
        <v>PASS</v>
      </c>
      <c r="T52" s="27" t="str">
        <f>IF((COUNTIF(LOCAL_REFERENCE!$D52:$O52,E52)+COUNTIF(LOCAL_REFERENCE!$D52:$O52,H52)+COUNTIF(LOCAL_REFERENCE!$D52:$O52,I52)+COUNTIF(LOCAL_REFERENCE!$D52:$O52,J52)+COUNTIF(LOCAL_REFERENCE!$D52:$O52,K52)+COUNTIF(LOCAL_REFERENCE!$D52:$O52,L52)+COUNTIF(LOCAL_REFERENCE!$D52:$O52,M52)+COUNTIF(LOCAL_REFERENCE!$D52:$O52,N52)+COUNTIF(LOCAL_REFERENCE!$D52:$O52,O52)+COUNTIF(LOCAL_REFERENCE!$D52:$O52,P52))=0,"PASS","FAIL")</f>
        <v>PASS</v>
      </c>
      <c r="U52" s="27" t="str">
        <f>IF((COUNTIF(VPS_REFERENCE!$D52:$H52,E52)+COUNTIF(VPS_REFERENCE!$D52:$H52,H52)+COUNTIF(VPS_REFERENCE!$D52:$H52,I52)+COUNTIF(VPS_REFERENCE!$D52:$H52,J52)+COUNTIF(VPS_REFERENCE!$D52:$H52,K52)+COUNTIF(VPS_REFERENCE!$D52:$H52,L52)+COUNTIF(VPS_REFERENCE!$D52:$H52,M52)+COUNTIF(VPS_REFERENCE!$D52:$H52,N52)+COUNTIF(VPS_REFERENCE!$D52:$H52,O52)+COUNTIF(VPS_REFERENCE!$D52:$H52,P52))=0,"PASS","FAIL")</f>
        <v>PASS</v>
      </c>
      <c r="V52" s="27" t="str">
        <f t="shared" si="7"/>
        <v>PASS</v>
      </c>
      <c r="W52" s="28" t="str">
        <f>CRAWL_LOG!B52</f>
        <v>Chưa chạy</v>
      </c>
      <c r="X52" s="36" t="s">
        <v>57</v>
      </c>
    </row>
    <row r="53" spans="1:24">
      <c r="A53" s="23">
        <v>46316</v>
      </c>
      <c r="B53" s="24" t="s">
        <v>53</v>
      </c>
      <c r="C53" s="24" t="s">
        <v>54</v>
      </c>
      <c r="D53" s="24" t="s">
        <v>10</v>
      </c>
      <c r="E53" s="25">
        <f>SLOT_RULES!$D$4+IF($A53&lt;=SLOT_RULES!$D$4,0,INT(($A53-SLOT_RULES!$D$4-1)/SLOT_RULES!$E$4)+1)*SLOT_RULES!$E$4</f>
        <v>46325</v>
      </c>
      <c r="F53" s="63"/>
      <c r="G53" s="63"/>
      <c r="H53" s="25">
        <f>SLOT_RULES!$D$7+IF($A53&lt;=SLOT_RULES!$D$7,0,INT(($A53-SLOT_RULES!$D$7-1)/SLOT_RULES!$E$7)+1)*SLOT_RULES!$E$7</f>
        <v>46318</v>
      </c>
      <c r="I53" s="25">
        <f>SLOT_RULES!$D$8+IF($A53&lt;=SLOT_RULES!$D$8,0,INT(($A53-SLOT_RULES!$D$8-1)/SLOT_RULES!$E$8)+1)*SLOT_RULES!$E$8</f>
        <v>46328</v>
      </c>
      <c r="J53" s="25">
        <f>SLOT_RULES!$D$9+IF($A53&lt;=SLOT_RULES!$D$9,0,INT(($A53-SLOT_RULES!$D$9-1)/SLOT_RULES!$E$9)+1)*SLOT_RULES!$E$9</f>
        <v>46342</v>
      </c>
      <c r="K53" s="25">
        <f>SLOT_RULES!$D$10+IF($A53&lt;=SLOT_RULES!$D$10,0,INT(($A53-SLOT_RULES!$D$10-1)/SLOT_RULES!$E$10)+1)*SLOT_RULES!$E$10</f>
        <v>46329</v>
      </c>
      <c r="L53" s="25">
        <f>SLOT_RULES!$D$11+IF($A53&lt;=SLOT_RULES!$D$11,0,INT(($A53-SLOT_RULES!$D$11-1)/SLOT_RULES!$E$11)+1)*SLOT_RULES!$E$11</f>
        <v>46336</v>
      </c>
      <c r="M53" s="25">
        <f>SLOT_RULES!$D$12+IF($A53&lt;=SLOT_RULES!$D$12,0,INT(($A53-SLOT_RULES!$D$12-1)/SLOT_RULES!$E$12)+1)*SLOT_RULES!$E$12</f>
        <v>46341</v>
      </c>
      <c r="N53" s="25">
        <f>SLOT_RULES!$D$13+IF($A53&lt;=SLOT_RULES!$D$13,0,INT(($A53-SLOT_RULES!$D$13-1)/SLOT_RULES!$E$13)+1)*SLOT_RULES!$E$13</f>
        <v>46321</v>
      </c>
      <c r="O53" s="25">
        <f>SLOT_RULES!$D$14+IF($A53&lt;=SLOT_RULES!$D$14,0,INT(($A53-SLOT_RULES!$D$14-1)/SLOT_RULES!$E$14)+1)*SLOT_RULES!$E$14</f>
        <v>46350</v>
      </c>
      <c r="P53" s="25">
        <f>SLOT_RULES!$D$15+IF($A53&lt;=SLOT_RULES!$D$15,0,INT(($A53-SLOT_RULES!$D$15-1)/SLOT_RULES!$E$15)+1)*SLOT_RULES!$E$15</f>
        <v>46422</v>
      </c>
      <c r="Q53" s="26">
        <f t="shared" si="4"/>
        <v>2</v>
      </c>
      <c r="R53" s="26">
        <f t="shared" si="5"/>
        <v>106</v>
      </c>
      <c r="S53" s="27" t="str">
        <f t="shared" si="6"/>
        <v>PASS</v>
      </c>
      <c r="T53" s="27" t="str">
        <f>IF((COUNTIF(LOCAL_REFERENCE!$D53:$O53,E53)+COUNTIF(LOCAL_REFERENCE!$D53:$O53,H53)+COUNTIF(LOCAL_REFERENCE!$D53:$O53,I53)+COUNTIF(LOCAL_REFERENCE!$D53:$O53,J53)+COUNTIF(LOCAL_REFERENCE!$D53:$O53,K53)+COUNTIF(LOCAL_REFERENCE!$D53:$O53,L53)+COUNTIF(LOCAL_REFERENCE!$D53:$O53,M53)+COUNTIF(LOCAL_REFERENCE!$D53:$O53,N53)+COUNTIF(LOCAL_REFERENCE!$D53:$O53,O53)+COUNTIF(LOCAL_REFERENCE!$D53:$O53,P53))=0,"PASS","FAIL")</f>
        <v>PASS</v>
      </c>
      <c r="U53" s="27" t="str">
        <f>IF((COUNTIF(VPS_REFERENCE!$D53:$H53,E53)+COUNTIF(VPS_REFERENCE!$D53:$H53,H53)+COUNTIF(VPS_REFERENCE!$D53:$H53,I53)+COUNTIF(VPS_REFERENCE!$D53:$H53,J53)+COUNTIF(VPS_REFERENCE!$D53:$H53,K53)+COUNTIF(VPS_REFERENCE!$D53:$H53,L53)+COUNTIF(VPS_REFERENCE!$D53:$H53,M53)+COUNTIF(VPS_REFERENCE!$D53:$H53,N53)+COUNTIF(VPS_REFERENCE!$D53:$H53,O53)+COUNTIF(VPS_REFERENCE!$D53:$H53,P53))=0,"PASS","FAIL")</f>
        <v>PASS</v>
      </c>
      <c r="V53" s="27" t="str">
        <f t="shared" si="7"/>
        <v>PASS</v>
      </c>
      <c r="W53" s="28" t="str">
        <f>CRAWL_LOG!B53</f>
        <v>Chưa chạy</v>
      </c>
      <c r="X53" s="36" t="s">
        <v>57</v>
      </c>
    </row>
    <row r="54" spans="1:24">
      <c r="A54" s="23">
        <v>46317</v>
      </c>
      <c r="B54" s="24" t="s">
        <v>56</v>
      </c>
      <c r="C54" s="24" t="s">
        <v>54</v>
      </c>
      <c r="D54" s="24" t="s">
        <v>10</v>
      </c>
      <c r="E54" s="25">
        <f>SLOT_RULES!$D$4+IF($A54&lt;=SLOT_RULES!$D$4,0,INT(($A54-SLOT_RULES!$D$4-1)/SLOT_RULES!$E$4)+1)*SLOT_RULES!$E$4</f>
        <v>46325</v>
      </c>
      <c r="F54" s="63"/>
      <c r="G54" s="63"/>
      <c r="H54" s="25">
        <f>SLOT_RULES!$D$7+IF($A54&lt;=SLOT_RULES!$D$7,0,INT(($A54-SLOT_RULES!$D$7-1)/SLOT_RULES!$E$7)+1)*SLOT_RULES!$E$7</f>
        <v>46318</v>
      </c>
      <c r="I54" s="25">
        <f>SLOT_RULES!$D$8+IF($A54&lt;=SLOT_RULES!$D$8,0,INT(($A54-SLOT_RULES!$D$8-1)/SLOT_RULES!$E$8)+1)*SLOT_RULES!$E$8</f>
        <v>46328</v>
      </c>
      <c r="J54" s="25">
        <f>SLOT_RULES!$D$9+IF($A54&lt;=SLOT_RULES!$D$9,0,INT(($A54-SLOT_RULES!$D$9-1)/SLOT_RULES!$E$9)+1)*SLOT_RULES!$E$9</f>
        <v>46342</v>
      </c>
      <c r="K54" s="25">
        <f>SLOT_RULES!$D$10+IF($A54&lt;=SLOT_RULES!$D$10,0,INT(($A54-SLOT_RULES!$D$10-1)/SLOT_RULES!$E$10)+1)*SLOT_RULES!$E$10</f>
        <v>46329</v>
      </c>
      <c r="L54" s="25">
        <f>SLOT_RULES!$D$11+IF($A54&lt;=SLOT_RULES!$D$11,0,INT(($A54-SLOT_RULES!$D$11-1)/SLOT_RULES!$E$11)+1)*SLOT_RULES!$E$11</f>
        <v>46336</v>
      </c>
      <c r="M54" s="25">
        <f>SLOT_RULES!$D$12+IF($A54&lt;=SLOT_RULES!$D$12,0,INT(($A54-SLOT_RULES!$D$12-1)/SLOT_RULES!$E$12)+1)*SLOT_RULES!$E$12</f>
        <v>46341</v>
      </c>
      <c r="N54" s="25">
        <f>SLOT_RULES!$D$13+IF($A54&lt;=SLOT_RULES!$D$13,0,INT(($A54-SLOT_RULES!$D$13-1)/SLOT_RULES!$E$13)+1)*SLOT_RULES!$E$13</f>
        <v>46321</v>
      </c>
      <c r="O54" s="25">
        <f>SLOT_RULES!$D$14+IF($A54&lt;=SLOT_RULES!$D$14,0,INT(($A54-SLOT_RULES!$D$14-1)/SLOT_RULES!$E$14)+1)*SLOT_RULES!$E$14</f>
        <v>46350</v>
      </c>
      <c r="P54" s="25">
        <f>SLOT_RULES!$D$15+IF($A54&lt;=SLOT_RULES!$D$15,0,INT(($A54-SLOT_RULES!$D$15-1)/SLOT_RULES!$E$15)+1)*SLOT_RULES!$E$15</f>
        <v>46422</v>
      </c>
      <c r="Q54" s="26">
        <f t="shared" si="4"/>
        <v>1</v>
      </c>
      <c r="R54" s="26">
        <f t="shared" si="5"/>
        <v>105</v>
      </c>
      <c r="S54" s="27" t="str">
        <f t="shared" si="6"/>
        <v>PASS</v>
      </c>
      <c r="T54" s="27" t="str">
        <f>IF((COUNTIF(LOCAL_REFERENCE!$D54:$O54,E54)+COUNTIF(LOCAL_REFERENCE!$D54:$O54,H54)+COUNTIF(LOCAL_REFERENCE!$D54:$O54,I54)+COUNTIF(LOCAL_REFERENCE!$D54:$O54,J54)+COUNTIF(LOCAL_REFERENCE!$D54:$O54,K54)+COUNTIF(LOCAL_REFERENCE!$D54:$O54,L54)+COUNTIF(LOCAL_REFERENCE!$D54:$O54,M54)+COUNTIF(LOCAL_REFERENCE!$D54:$O54,N54)+COUNTIF(LOCAL_REFERENCE!$D54:$O54,O54)+COUNTIF(LOCAL_REFERENCE!$D54:$O54,P54))=0,"PASS","FAIL")</f>
        <v>PASS</v>
      </c>
      <c r="U54" s="27" t="str">
        <f>IF((COUNTIF(VPS_REFERENCE!$D54:$H54,E54)+COUNTIF(VPS_REFERENCE!$D54:$H54,H54)+COUNTIF(VPS_REFERENCE!$D54:$H54,I54)+COUNTIF(VPS_REFERENCE!$D54:$H54,J54)+COUNTIF(VPS_REFERENCE!$D54:$H54,K54)+COUNTIF(VPS_REFERENCE!$D54:$H54,L54)+COUNTIF(VPS_REFERENCE!$D54:$H54,M54)+COUNTIF(VPS_REFERENCE!$D54:$H54,N54)+COUNTIF(VPS_REFERENCE!$D54:$H54,O54)+COUNTIF(VPS_REFERENCE!$D54:$H54,P54))=0,"PASS","FAIL")</f>
        <v>PASS</v>
      </c>
      <c r="V54" s="27" t="str">
        <f t="shared" si="7"/>
        <v>PASS</v>
      </c>
      <c r="W54" s="28" t="str">
        <f>CRAWL_LOG!B54</f>
        <v>Chưa chạy</v>
      </c>
      <c r="X54" s="36" t="s">
        <v>57</v>
      </c>
    </row>
    <row r="55" spans="1:24">
      <c r="A55" s="23">
        <v>46318</v>
      </c>
      <c r="B55" s="24" t="s">
        <v>58</v>
      </c>
      <c r="C55" s="24" t="s">
        <v>54</v>
      </c>
      <c r="D55" s="24" t="s">
        <v>10</v>
      </c>
      <c r="E55" s="25">
        <f>SLOT_RULES!$D$4+IF($A55&lt;=SLOT_RULES!$D$4,0,INT(($A55-SLOT_RULES!$D$4-1)/SLOT_RULES!$E$4)+1)*SLOT_RULES!$E$4</f>
        <v>46325</v>
      </c>
      <c r="F55" s="63"/>
      <c r="G55" s="63"/>
      <c r="H55" s="25">
        <f>SLOT_RULES!$D$7+IF($A55&lt;=SLOT_RULES!$D$7,0,INT(($A55-SLOT_RULES!$D$7-1)/SLOT_RULES!$E$7)+1)*SLOT_RULES!$E$7</f>
        <v>46318</v>
      </c>
      <c r="I55" s="25">
        <f>SLOT_RULES!$D$8+IF($A55&lt;=SLOT_RULES!$D$8,0,INT(($A55-SLOT_RULES!$D$8-1)/SLOT_RULES!$E$8)+1)*SLOT_RULES!$E$8</f>
        <v>46328</v>
      </c>
      <c r="J55" s="25">
        <f>SLOT_RULES!$D$9+IF($A55&lt;=SLOT_RULES!$D$9,0,INT(($A55-SLOT_RULES!$D$9-1)/SLOT_RULES!$E$9)+1)*SLOT_RULES!$E$9</f>
        <v>46342</v>
      </c>
      <c r="K55" s="25">
        <f>SLOT_RULES!$D$10+IF($A55&lt;=SLOT_RULES!$D$10,0,INT(($A55-SLOT_RULES!$D$10-1)/SLOT_RULES!$E$10)+1)*SLOT_RULES!$E$10</f>
        <v>46329</v>
      </c>
      <c r="L55" s="25">
        <f>SLOT_RULES!$D$11+IF($A55&lt;=SLOT_RULES!$D$11,0,INT(($A55-SLOT_RULES!$D$11-1)/SLOT_RULES!$E$11)+1)*SLOT_RULES!$E$11</f>
        <v>46336</v>
      </c>
      <c r="M55" s="25">
        <f>SLOT_RULES!$D$12+IF($A55&lt;=SLOT_RULES!$D$12,0,INT(($A55-SLOT_RULES!$D$12-1)/SLOT_RULES!$E$12)+1)*SLOT_RULES!$E$12</f>
        <v>46341</v>
      </c>
      <c r="N55" s="25">
        <f>SLOT_RULES!$D$13+IF($A55&lt;=SLOT_RULES!$D$13,0,INT(($A55-SLOT_RULES!$D$13-1)/SLOT_RULES!$E$13)+1)*SLOT_RULES!$E$13</f>
        <v>46321</v>
      </c>
      <c r="O55" s="25">
        <f>SLOT_RULES!$D$14+IF($A55&lt;=SLOT_RULES!$D$14,0,INT(($A55-SLOT_RULES!$D$14-1)/SLOT_RULES!$E$14)+1)*SLOT_RULES!$E$14</f>
        <v>46350</v>
      </c>
      <c r="P55" s="25">
        <f>SLOT_RULES!$D$15+IF($A55&lt;=SLOT_RULES!$D$15,0,INT(($A55-SLOT_RULES!$D$15-1)/SLOT_RULES!$E$15)+1)*SLOT_RULES!$E$15</f>
        <v>46422</v>
      </c>
      <c r="Q55" s="26">
        <f t="shared" si="4"/>
        <v>0</v>
      </c>
      <c r="R55" s="26">
        <f t="shared" si="5"/>
        <v>104</v>
      </c>
      <c r="S55" s="27" t="str">
        <f t="shared" si="6"/>
        <v>PASS</v>
      </c>
      <c r="T55" s="27" t="str">
        <f>IF((COUNTIF(LOCAL_REFERENCE!$D55:$O55,E55)+COUNTIF(LOCAL_REFERENCE!$D55:$O55,H55)+COUNTIF(LOCAL_REFERENCE!$D55:$O55,I55)+COUNTIF(LOCAL_REFERENCE!$D55:$O55,J55)+COUNTIF(LOCAL_REFERENCE!$D55:$O55,K55)+COUNTIF(LOCAL_REFERENCE!$D55:$O55,L55)+COUNTIF(LOCAL_REFERENCE!$D55:$O55,M55)+COUNTIF(LOCAL_REFERENCE!$D55:$O55,N55)+COUNTIF(LOCAL_REFERENCE!$D55:$O55,O55)+COUNTIF(LOCAL_REFERENCE!$D55:$O55,P55))=0,"PASS","FAIL")</f>
        <v>PASS</v>
      </c>
      <c r="U55" s="27" t="str">
        <f>IF((COUNTIF(VPS_REFERENCE!$D55:$H55,E55)+COUNTIF(VPS_REFERENCE!$D55:$H55,H55)+COUNTIF(VPS_REFERENCE!$D55:$H55,I55)+COUNTIF(VPS_REFERENCE!$D55:$H55,J55)+COUNTIF(VPS_REFERENCE!$D55:$H55,K55)+COUNTIF(VPS_REFERENCE!$D55:$H55,L55)+COUNTIF(VPS_REFERENCE!$D55:$H55,M55)+COUNTIF(VPS_REFERENCE!$D55:$H55,N55)+COUNTIF(VPS_REFERENCE!$D55:$H55,O55)+COUNTIF(VPS_REFERENCE!$D55:$H55,P55))=0,"PASS","FAIL")</f>
        <v>PASS</v>
      </c>
      <c r="V55" s="27" t="str">
        <f t="shared" si="7"/>
        <v>PASS</v>
      </c>
      <c r="W55" s="28" t="str">
        <f>CRAWL_LOG!B55</f>
        <v>Chưa chạy</v>
      </c>
      <c r="X55" s="36" t="s">
        <v>57</v>
      </c>
    </row>
    <row r="56" spans="1:24">
      <c r="A56" s="23">
        <v>46319</v>
      </c>
      <c r="B56" s="24" t="s">
        <v>59</v>
      </c>
      <c r="C56" s="24" t="s">
        <v>54</v>
      </c>
      <c r="D56" s="24" t="s">
        <v>10</v>
      </c>
      <c r="E56" s="25">
        <f>SLOT_RULES!$D$4+IF($A56&lt;=SLOT_RULES!$D$4,0,INT(($A56-SLOT_RULES!$D$4-1)/SLOT_RULES!$E$4)+1)*SLOT_RULES!$E$4</f>
        <v>46325</v>
      </c>
      <c r="F56" s="63"/>
      <c r="G56" s="63"/>
      <c r="H56" s="25">
        <f>SLOT_RULES!$D$7+IF($A56&lt;=SLOT_RULES!$D$7,0,INT(($A56-SLOT_RULES!$D$7-1)/SLOT_RULES!$E$7)+1)*SLOT_RULES!$E$7</f>
        <v>46346</v>
      </c>
      <c r="I56" s="25">
        <f>SLOT_RULES!$D$8+IF($A56&lt;=SLOT_RULES!$D$8,0,INT(($A56-SLOT_RULES!$D$8-1)/SLOT_RULES!$E$8)+1)*SLOT_RULES!$E$8</f>
        <v>46328</v>
      </c>
      <c r="J56" s="25">
        <f>SLOT_RULES!$D$9+IF($A56&lt;=SLOT_RULES!$D$9,0,INT(($A56-SLOT_RULES!$D$9-1)/SLOT_RULES!$E$9)+1)*SLOT_RULES!$E$9</f>
        <v>46342</v>
      </c>
      <c r="K56" s="25">
        <f>SLOT_RULES!$D$10+IF($A56&lt;=SLOT_RULES!$D$10,0,INT(($A56-SLOT_RULES!$D$10-1)/SLOT_RULES!$E$10)+1)*SLOT_RULES!$E$10</f>
        <v>46329</v>
      </c>
      <c r="L56" s="25">
        <f>SLOT_RULES!$D$11+IF($A56&lt;=SLOT_RULES!$D$11,0,INT(($A56-SLOT_RULES!$D$11-1)/SLOT_RULES!$E$11)+1)*SLOT_RULES!$E$11</f>
        <v>46336</v>
      </c>
      <c r="M56" s="25">
        <f>SLOT_RULES!$D$12+IF($A56&lt;=SLOT_RULES!$D$12,0,INT(($A56-SLOT_RULES!$D$12-1)/SLOT_RULES!$E$12)+1)*SLOT_RULES!$E$12</f>
        <v>46341</v>
      </c>
      <c r="N56" s="25">
        <f>SLOT_RULES!$D$13+IF($A56&lt;=SLOT_RULES!$D$13,0,INT(($A56-SLOT_RULES!$D$13-1)/SLOT_RULES!$E$13)+1)*SLOT_RULES!$E$13</f>
        <v>46321</v>
      </c>
      <c r="O56" s="25">
        <f>SLOT_RULES!$D$14+IF($A56&lt;=SLOT_RULES!$D$14,0,INT(($A56-SLOT_RULES!$D$14-1)/SLOT_RULES!$E$14)+1)*SLOT_RULES!$E$14</f>
        <v>46350</v>
      </c>
      <c r="P56" s="25">
        <f>SLOT_RULES!$D$15+IF($A56&lt;=SLOT_RULES!$D$15,0,INT(($A56-SLOT_RULES!$D$15-1)/SLOT_RULES!$E$15)+1)*SLOT_RULES!$E$15</f>
        <v>46422</v>
      </c>
      <c r="Q56" s="26">
        <f t="shared" si="4"/>
        <v>2</v>
      </c>
      <c r="R56" s="26">
        <f t="shared" si="5"/>
        <v>103</v>
      </c>
      <c r="S56" s="27" t="str">
        <f t="shared" si="6"/>
        <v>PASS</v>
      </c>
      <c r="T56" s="27" t="str">
        <f>IF((COUNTIF(LOCAL_REFERENCE!$D56:$O56,E56)+COUNTIF(LOCAL_REFERENCE!$D56:$O56,H56)+COUNTIF(LOCAL_REFERENCE!$D56:$O56,I56)+COUNTIF(LOCAL_REFERENCE!$D56:$O56,J56)+COUNTIF(LOCAL_REFERENCE!$D56:$O56,K56)+COUNTIF(LOCAL_REFERENCE!$D56:$O56,L56)+COUNTIF(LOCAL_REFERENCE!$D56:$O56,M56)+COUNTIF(LOCAL_REFERENCE!$D56:$O56,N56)+COUNTIF(LOCAL_REFERENCE!$D56:$O56,O56)+COUNTIF(LOCAL_REFERENCE!$D56:$O56,P56))=0,"PASS","FAIL")</f>
        <v>PASS</v>
      </c>
      <c r="U56" s="27" t="str">
        <f>IF((COUNTIF(VPS_REFERENCE!$D56:$H56,E56)+COUNTIF(VPS_REFERENCE!$D56:$H56,H56)+COUNTIF(VPS_REFERENCE!$D56:$H56,I56)+COUNTIF(VPS_REFERENCE!$D56:$H56,J56)+COUNTIF(VPS_REFERENCE!$D56:$H56,K56)+COUNTIF(VPS_REFERENCE!$D56:$H56,L56)+COUNTIF(VPS_REFERENCE!$D56:$H56,M56)+COUNTIF(VPS_REFERENCE!$D56:$H56,N56)+COUNTIF(VPS_REFERENCE!$D56:$H56,O56)+COUNTIF(VPS_REFERENCE!$D56:$H56,P56))=0,"PASS","FAIL")</f>
        <v>PASS</v>
      </c>
      <c r="V56" s="27" t="str">
        <f t="shared" si="7"/>
        <v>PASS</v>
      </c>
      <c r="W56" s="28" t="str">
        <f>CRAWL_LOG!B56</f>
        <v>Chưa chạy</v>
      </c>
      <c r="X56" s="36" t="s">
        <v>57</v>
      </c>
    </row>
    <row r="57" spans="1:24">
      <c r="A57" s="23">
        <v>46320</v>
      </c>
      <c r="B57" s="24" t="s">
        <v>60</v>
      </c>
      <c r="C57" s="24" t="s">
        <v>54</v>
      </c>
      <c r="D57" s="24" t="s">
        <v>10</v>
      </c>
      <c r="E57" s="25">
        <f>SLOT_RULES!$D$4+IF($A57&lt;=SLOT_RULES!$D$4,0,INT(($A57-SLOT_RULES!$D$4-1)/SLOT_RULES!$E$4)+1)*SLOT_RULES!$E$4</f>
        <v>46325</v>
      </c>
      <c r="F57" s="63"/>
      <c r="G57" s="63"/>
      <c r="H57" s="25">
        <f>SLOT_RULES!$D$7+IF($A57&lt;=SLOT_RULES!$D$7,0,INT(($A57-SLOT_RULES!$D$7-1)/SLOT_RULES!$E$7)+1)*SLOT_RULES!$E$7</f>
        <v>46346</v>
      </c>
      <c r="I57" s="25">
        <f>SLOT_RULES!$D$8+IF($A57&lt;=SLOT_RULES!$D$8,0,INT(($A57-SLOT_RULES!$D$8-1)/SLOT_RULES!$E$8)+1)*SLOT_RULES!$E$8</f>
        <v>46328</v>
      </c>
      <c r="J57" s="25">
        <f>SLOT_RULES!$D$9+IF($A57&lt;=SLOT_RULES!$D$9,0,INT(($A57-SLOT_RULES!$D$9-1)/SLOT_RULES!$E$9)+1)*SLOT_RULES!$E$9</f>
        <v>46342</v>
      </c>
      <c r="K57" s="25">
        <f>SLOT_RULES!$D$10+IF($A57&lt;=SLOT_RULES!$D$10,0,INT(($A57-SLOT_RULES!$D$10-1)/SLOT_RULES!$E$10)+1)*SLOT_RULES!$E$10</f>
        <v>46329</v>
      </c>
      <c r="L57" s="25">
        <f>SLOT_RULES!$D$11+IF($A57&lt;=SLOT_RULES!$D$11,0,INT(($A57-SLOT_RULES!$D$11-1)/SLOT_RULES!$E$11)+1)*SLOT_RULES!$E$11</f>
        <v>46336</v>
      </c>
      <c r="M57" s="25">
        <f>SLOT_RULES!$D$12+IF($A57&lt;=SLOT_RULES!$D$12,0,INT(($A57-SLOT_RULES!$D$12-1)/SLOT_RULES!$E$12)+1)*SLOT_RULES!$E$12</f>
        <v>46341</v>
      </c>
      <c r="N57" s="25">
        <f>SLOT_RULES!$D$13+IF($A57&lt;=SLOT_RULES!$D$13,0,INT(($A57-SLOT_RULES!$D$13-1)/SLOT_RULES!$E$13)+1)*SLOT_RULES!$E$13</f>
        <v>46321</v>
      </c>
      <c r="O57" s="25">
        <f>SLOT_RULES!$D$14+IF($A57&lt;=SLOT_RULES!$D$14,0,INT(($A57-SLOT_RULES!$D$14-1)/SLOT_RULES!$E$14)+1)*SLOT_RULES!$E$14</f>
        <v>46350</v>
      </c>
      <c r="P57" s="25">
        <f>SLOT_RULES!$D$15+IF($A57&lt;=SLOT_RULES!$D$15,0,INT(($A57-SLOT_RULES!$D$15-1)/SLOT_RULES!$E$15)+1)*SLOT_RULES!$E$15</f>
        <v>46422</v>
      </c>
      <c r="Q57" s="26">
        <f t="shared" si="4"/>
        <v>1</v>
      </c>
      <c r="R57" s="26">
        <f t="shared" si="5"/>
        <v>102</v>
      </c>
      <c r="S57" s="27" t="str">
        <f t="shared" si="6"/>
        <v>PASS</v>
      </c>
      <c r="T57" s="27" t="str">
        <f>IF((COUNTIF(LOCAL_REFERENCE!$D57:$O57,E57)+COUNTIF(LOCAL_REFERENCE!$D57:$O57,H57)+COUNTIF(LOCAL_REFERENCE!$D57:$O57,I57)+COUNTIF(LOCAL_REFERENCE!$D57:$O57,J57)+COUNTIF(LOCAL_REFERENCE!$D57:$O57,K57)+COUNTIF(LOCAL_REFERENCE!$D57:$O57,L57)+COUNTIF(LOCAL_REFERENCE!$D57:$O57,M57)+COUNTIF(LOCAL_REFERENCE!$D57:$O57,N57)+COUNTIF(LOCAL_REFERENCE!$D57:$O57,O57)+COUNTIF(LOCAL_REFERENCE!$D57:$O57,P57))=0,"PASS","FAIL")</f>
        <v>PASS</v>
      </c>
      <c r="U57" s="27" t="str">
        <f>IF((COUNTIF(VPS_REFERENCE!$D57:$H57,E57)+COUNTIF(VPS_REFERENCE!$D57:$H57,H57)+COUNTIF(VPS_REFERENCE!$D57:$H57,I57)+COUNTIF(VPS_REFERENCE!$D57:$H57,J57)+COUNTIF(VPS_REFERENCE!$D57:$H57,K57)+COUNTIF(VPS_REFERENCE!$D57:$H57,L57)+COUNTIF(VPS_REFERENCE!$D57:$H57,M57)+COUNTIF(VPS_REFERENCE!$D57:$H57,N57)+COUNTIF(VPS_REFERENCE!$D57:$H57,O57)+COUNTIF(VPS_REFERENCE!$D57:$H57,P57))=0,"PASS","FAIL")</f>
        <v>PASS</v>
      </c>
      <c r="V57" s="27" t="str">
        <f t="shared" si="7"/>
        <v>PASS</v>
      </c>
      <c r="W57" s="28" t="str">
        <f>CRAWL_LOG!B57</f>
        <v>Chưa chạy</v>
      </c>
      <c r="X57" s="36" t="s">
        <v>57</v>
      </c>
    </row>
    <row r="58" spans="1:24">
      <c r="A58" s="23">
        <v>46321</v>
      </c>
      <c r="B58" s="24" t="s">
        <v>61</v>
      </c>
      <c r="C58" s="24" t="s">
        <v>54</v>
      </c>
      <c r="D58" s="24" t="s">
        <v>10</v>
      </c>
      <c r="E58" s="25">
        <f>SLOT_RULES!$D$4+IF($A58&lt;=SLOT_RULES!$D$4,0,INT(($A58-SLOT_RULES!$D$4-1)/SLOT_RULES!$E$4)+1)*SLOT_RULES!$E$4</f>
        <v>46325</v>
      </c>
      <c r="F58" s="63"/>
      <c r="G58" s="63"/>
      <c r="H58" s="25">
        <f>SLOT_RULES!$D$7+IF($A58&lt;=SLOT_RULES!$D$7,0,INT(($A58-SLOT_RULES!$D$7-1)/SLOT_RULES!$E$7)+1)*SLOT_RULES!$E$7</f>
        <v>46346</v>
      </c>
      <c r="I58" s="25">
        <f>SLOT_RULES!$D$8+IF($A58&lt;=SLOT_RULES!$D$8,0,INT(($A58-SLOT_RULES!$D$8-1)/SLOT_RULES!$E$8)+1)*SLOT_RULES!$E$8</f>
        <v>46328</v>
      </c>
      <c r="J58" s="25">
        <f>SLOT_RULES!$D$9+IF($A58&lt;=SLOT_RULES!$D$9,0,INT(($A58-SLOT_RULES!$D$9-1)/SLOT_RULES!$E$9)+1)*SLOT_RULES!$E$9</f>
        <v>46342</v>
      </c>
      <c r="K58" s="25">
        <f>SLOT_RULES!$D$10+IF($A58&lt;=SLOT_RULES!$D$10,0,INT(($A58-SLOT_RULES!$D$10-1)/SLOT_RULES!$E$10)+1)*SLOT_RULES!$E$10</f>
        <v>46329</v>
      </c>
      <c r="L58" s="25">
        <f>SLOT_RULES!$D$11+IF($A58&lt;=SLOT_RULES!$D$11,0,INT(($A58-SLOT_RULES!$D$11-1)/SLOT_RULES!$E$11)+1)*SLOT_RULES!$E$11</f>
        <v>46336</v>
      </c>
      <c r="M58" s="25">
        <f>SLOT_RULES!$D$12+IF($A58&lt;=SLOT_RULES!$D$12,0,INT(($A58-SLOT_RULES!$D$12-1)/SLOT_RULES!$E$12)+1)*SLOT_RULES!$E$12</f>
        <v>46341</v>
      </c>
      <c r="N58" s="25">
        <f>SLOT_RULES!$D$13+IF($A58&lt;=SLOT_RULES!$D$13,0,INT(($A58-SLOT_RULES!$D$13-1)/SLOT_RULES!$E$13)+1)*SLOT_RULES!$E$13</f>
        <v>46321</v>
      </c>
      <c r="O58" s="25">
        <f>SLOT_RULES!$D$14+IF($A58&lt;=SLOT_RULES!$D$14,0,INT(($A58-SLOT_RULES!$D$14-1)/SLOT_RULES!$E$14)+1)*SLOT_RULES!$E$14</f>
        <v>46350</v>
      </c>
      <c r="P58" s="25">
        <f>SLOT_RULES!$D$15+IF($A58&lt;=SLOT_RULES!$D$15,0,INT(($A58-SLOT_RULES!$D$15-1)/SLOT_RULES!$E$15)+1)*SLOT_RULES!$E$15</f>
        <v>46422</v>
      </c>
      <c r="Q58" s="26">
        <f t="shared" si="4"/>
        <v>0</v>
      </c>
      <c r="R58" s="26">
        <f t="shared" si="5"/>
        <v>101</v>
      </c>
      <c r="S58" s="27" t="str">
        <f t="shared" si="6"/>
        <v>PASS</v>
      </c>
      <c r="T58" s="27" t="str">
        <f>IF((COUNTIF(LOCAL_REFERENCE!$D58:$O58,E58)+COUNTIF(LOCAL_REFERENCE!$D58:$O58,H58)+COUNTIF(LOCAL_REFERENCE!$D58:$O58,I58)+COUNTIF(LOCAL_REFERENCE!$D58:$O58,J58)+COUNTIF(LOCAL_REFERENCE!$D58:$O58,K58)+COUNTIF(LOCAL_REFERENCE!$D58:$O58,L58)+COUNTIF(LOCAL_REFERENCE!$D58:$O58,M58)+COUNTIF(LOCAL_REFERENCE!$D58:$O58,N58)+COUNTIF(LOCAL_REFERENCE!$D58:$O58,O58)+COUNTIF(LOCAL_REFERENCE!$D58:$O58,P58))=0,"PASS","FAIL")</f>
        <v>PASS</v>
      </c>
      <c r="U58" s="27" t="str">
        <f>IF((COUNTIF(VPS_REFERENCE!$D58:$H58,E58)+COUNTIF(VPS_REFERENCE!$D58:$H58,H58)+COUNTIF(VPS_REFERENCE!$D58:$H58,I58)+COUNTIF(VPS_REFERENCE!$D58:$H58,J58)+COUNTIF(VPS_REFERENCE!$D58:$H58,K58)+COUNTIF(VPS_REFERENCE!$D58:$H58,L58)+COUNTIF(VPS_REFERENCE!$D58:$H58,M58)+COUNTIF(VPS_REFERENCE!$D58:$H58,N58)+COUNTIF(VPS_REFERENCE!$D58:$H58,O58)+COUNTIF(VPS_REFERENCE!$D58:$H58,P58))=0,"PASS","FAIL")</f>
        <v>PASS</v>
      </c>
      <c r="V58" s="27" t="str">
        <f t="shared" si="7"/>
        <v>PASS</v>
      </c>
      <c r="W58" s="28" t="str">
        <f>CRAWL_LOG!B58</f>
        <v>Chưa chạy</v>
      </c>
      <c r="X58" s="36" t="s">
        <v>57</v>
      </c>
    </row>
    <row r="59" spans="1:24">
      <c r="A59" s="23">
        <v>46322</v>
      </c>
      <c r="B59" s="24" t="s">
        <v>62</v>
      </c>
      <c r="C59" s="24" t="s">
        <v>54</v>
      </c>
      <c r="D59" s="24" t="s">
        <v>10</v>
      </c>
      <c r="E59" s="25">
        <f>SLOT_RULES!$D$4+IF($A59&lt;=SLOT_RULES!$D$4,0,INT(($A59-SLOT_RULES!$D$4-1)/SLOT_RULES!$E$4)+1)*SLOT_RULES!$E$4</f>
        <v>46325</v>
      </c>
      <c r="F59" s="63"/>
      <c r="G59" s="63"/>
      <c r="H59" s="25">
        <f>SLOT_RULES!$D$7+IF($A59&lt;=SLOT_RULES!$D$7,0,INT(($A59-SLOT_RULES!$D$7-1)/SLOT_RULES!$E$7)+1)*SLOT_RULES!$E$7</f>
        <v>46346</v>
      </c>
      <c r="I59" s="25">
        <f>SLOT_RULES!$D$8+IF($A59&lt;=SLOT_RULES!$D$8,0,INT(($A59-SLOT_RULES!$D$8-1)/SLOT_RULES!$E$8)+1)*SLOT_RULES!$E$8</f>
        <v>46328</v>
      </c>
      <c r="J59" s="25">
        <f>SLOT_RULES!$D$9+IF($A59&lt;=SLOT_RULES!$D$9,0,INT(($A59-SLOT_RULES!$D$9-1)/SLOT_RULES!$E$9)+1)*SLOT_RULES!$E$9</f>
        <v>46342</v>
      </c>
      <c r="K59" s="25">
        <f>SLOT_RULES!$D$10+IF($A59&lt;=SLOT_RULES!$D$10,0,INT(($A59-SLOT_RULES!$D$10-1)/SLOT_RULES!$E$10)+1)*SLOT_RULES!$E$10</f>
        <v>46329</v>
      </c>
      <c r="L59" s="25">
        <f>SLOT_RULES!$D$11+IF($A59&lt;=SLOT_RULES!$D$11,0,INT(($A59-SLOT_RULES!$D$11-1)/SLOT_RULES!$E$11)+1)*SLOT_RULES!$E$11</f>
        <v>46336</v>
      </c>
      <c r="M59" s="25">
        <f>SLOT_RULES!$D$12+IF($A59&lt;=SLOT_RULES!$D$12,0,INT(($A59-SLOT_RULES!$D$12-1)/SLOT_RULES!$E$12)+1)*SLOT_RULES!$E$12</f>
        <v>46341</v>
      </c>
      <c r="N59" s="25">
        <f>SLOT_RULES!$D$13+IF($A59&lt;=SLOT_RULES!$D$13,0,INT(($A59-SLOT_RULES!$D$13-1)/SLOT_RULES!$E$13)+1)*SLOT_RULES!$E$13</f>
        <v>46391</v>
      </c>
      <c r="O59" s="25">
        <f>SLOT_RULES!$D$14+IF($A59&lt;=SLOT_RULES!$D$14,0,INT(($A59-SLOT_RULES!$D$14-1)/SLOT_RULES!$E$14)+1)*SLOT_RULES!$E$14</f>
        <v>46350</v>
      </c>
      <c r="P59" s="25">
        <f>SLOT_RULES!$D$15+IF($A59&lt;=SLOT_RULES!$D$15,0,INT(($A59-SLOT_RULES!$D$15-1)/SLOT_RULES!$E$15)+1)*SLOT_RULES!$E$15</f>
        <v>46422</v>
      </c>
      <c r="Q59" s="26">
        <f t="shared" si="4"/>
        <v>3</v>
      </c>
      <c r="R59" s="26">
        <f t="shared" si="5"/>
        <v>100</v>
      </c>
      <c r="S59" s="27" t="str">
        <f t="shared" si="6"/>
        <v>PASS</v>
      </c>
      <c r="T59" s="27" t="str">
        <f>IF((COUNTIF(LOCAL_REFERENCE!$D59:$O59,E59)+COUNTIF(LOCAL_REFERENCE!$D59:$O59,H59)+COUNTIF(LOCAL_REFERENCE!$D59:$O59,I59)+COUNTIF(LOCAL_REFERENCE!$D59:$O59,J59)+COUNTIF(LOCAL_REFERENCE!$D59:$O59,K59)+COUNTIF(LOCAL_REFERENCE!$D59:$O59,L59)+COUNTIF(LOCAL_REFERENCE!$D59:$O59,M59)+COUNTIF(LOCAL_REFERENCE!$D59:$O59,N59)+COUNTIF(LOCAL_REFERENCE!$D59:$O59,O59)+COUNTIF(LOCAL_REFERENCE!$D59:$O59,P59))=0,"PASS","FAIL")</f>
        <v>PASS</v>
      </c>
      <c r="U59" s="27" t="str">
        <f>IF((COUNTIF(VPS_REFERENCE!$D59:$H59,E59)+COUNTIF(VPS_REFERENCE!$D59:$H59,H59)+COUNTIF(VPS_REFERENCE!$D59:$H59,I59)+COUNTIF(VPS_REFERENCE!$D59:$H59,J59)+COUNTIF(VPS_REFERENCE!$D59:$H59,K59)+COUNTIF(VPS_REFERENCE!$D59:$H59,L59)+COUNTIF(VPS_REFERENCE!$D59:$H59,M59)+COUNTIF(VPS_REFERENCE!$D59:$H59,N59)+COUNTIF(VPS_REFERENCE!$D59:$H59,O59)+COUNTIF(VPS_REFERENCE!$D59:$H59,P59))=0,"PASS","FAIL")</f>
        <v>PASS</v>
      </c>
      <c r="V59" s="27" t="str">
        <f t="shared" si="7"/>
        <v>PASS</v>
      </c>
      <c r="W59" s="28" t="str">
        <f>CRAWL_LOG!B59</f>
        <v>Chưa chạy</v>
      </c>
      <c r="X59" s="36" t="s">
        <v>57</v>
      </c>
    </row>
    <row r="60" spans="1:24">
      <c r="A60" s="23">
        <v>46323</v>
      </c>
      <c r="B60" s="24" t="s">
        <v>53</v>
      </c>
      <c r="C60" s="24" t="s">
        <v>54</v>
      </c>
      <c r="D60" s="24" t="s">
        <v>10</v>
      </c>
      <c r="E60" s="25">
        <f>SLOT_RULES!$D$4+IF($A60&lt;=SLOT_RULES!$D$4,0,INT(($A60-SLOT_RULES!$D$4-1)/SLOT_RULES!$E$4)+1)*SLOT_RULES!$E$4</f>
        <v>46325</v>
      </c>
      <c r="F60" s="63"/>
      <c r="G60" s="63"/>
      <c r="H60" s="25">
        <f>SLOT_RULES!$D$7+IF($A60&lt;=SLOT_RULES!$D$7,0,INT(($A60-SLOT_RULES!$D$7-1)/SLOT_RULES!$E$7)+1)*SLOT_RULES!$E$7</f>
        <v>46346</v>
      </c>
      <c r="I60" s="25">
        <f>SLOT_RULES!$D$8+IF($A60&lt;=SLOT_RULES!$D$8,0,INT(($A60-SLOT_RULES!$D$8-1)/SLOT_RULES!$E$8)+1)*SLOT_RULES!$E$8</f>
        <v>46328</v>
      </c>
      <c r="J60" s="25">
        <f>SLOT_RULES!$D$9+IF($A60&lt;=SLOT_RULES!$D$9,0,INT(($A60-SLOT_RULES!$D$9-1)/SLOT_RULES!$E$9)+1)*SLOT_RULES!$E$9</f>
        <v>46342</v>
      </c>
      <c r="K60" s="25">
        <f>SLOT_RULES!$D$10+IF($A60&lt;=SLOT_RULES!$D$10,0,INT(($A60-SLOT_RULES!$D$10-1)/SLOT_RULES!$E$10)+1)*SLOT_RULES!$E$10</f>
        <v>46329</v>
      </c>
      <c r="L60" s="25">
        <f>SLOT_RULES!$D$11+IF($A60&lt;=SLOT_RULES!$D$11,0,INT(($A60-SLOT_RULES!$D$11-1)/SLOT_RULES!$E$11)+1)*SLOT_RULES!$E$11</f>
        <v>46336</v>
      </c>
      <c r="M60" s="25">
        <f>SLOT_RULES!$D$12+IF($A60&lt;=SLOT_RULES!$D$12,0,INT(($A60-SLOT_RULES!$D$12-1)/SLOT_RULES!$E$12)+1)*SLOT_RULES!$E$12</f>
        <v>46341</v>
      </c>
      <c r="N60" s="25">
        <f>SLOT_RULES!$D$13+IF($A60&lt;=SLOT_RULES!$D$13,0,INT(($A60-SLOT_RULES!$D$13-1)/SLOT_RULES!$E$13)+1)*SLOT_RULES!$E$13</f>
        <v>46391</v>
      </c>
      <c r="O60" s="25">
        <f>SLOT_RULES!$D$14+IF($A60&lt;=SLOT_RULES!$D$14,0,INT(($A60-SLOT_RULES!$D$14-1)/SLOT_RULES!$E$14)+1)*SLOT_RULES!$E$14</f>
        <v>46350</v>
      </c>
      <c r="P60" s="25">
        <f>SLOT_RULES!$D$15+IF($A60&lt;=SLOT_RULES!$D$15,0,INT(($A60-SLOT_RULES!$D$15-1)/SLOT_RULES!$E$15)+1)*SLOT_RULES!$E$15</f>
        <v>46422</v>
      </c>
      <c r="Q60" s="26">
        <f t="shared" si="4"/>
        <v>2</v>
      </c>
      <c r="R60" s="26">
        <f t="shared" si="5"/>
        <v>99</v>
      </c>
      <c r="S60" s="27" t="str">
        <f t="shared" si="6"/>
        <v>PASS</v>
      </c>
      <c r="T60" s="27" t="str">
        <f>IF((COUNTIF(LOCAL_REFERENCE!$D60:$O60,E60)+COUNTIF(LOCAL_REFERENCE!$D60:$O60,H60)+COUNTIF(LOCAL_REFERENCE!$D60:$O60,I60)+COUNTIF(LOCAL_REFERENCE!$D60:$O60,J60)+COUNTIF(LOCAL_REFERENCE!$D60:$O60,K60)+COUNTIF(LOCAL_REFERENCE!$D60:$O60,L60)+COUNTIF(LOCAL_REFERENCE!$D60:$O60,M60)+COUNTIF(LOCAL_REFERENCE!$D60:$O60,N60)+COUNTIF(LOCAL_REFERENCE!$D60:$O60,O60)+COUNTIF(LOCAL_REFERENCE!$D60:$O60,P60))=0,"PASS","FAIL")</f>
        <v>PASS</v>
      </c>
      <c r="U60" s="27" t="str">
        <f>IF((COUNTIF(VPS_REFERENCE!$D60:$H60,E60)+COUNTIF(VPS_REFERENCE!$D60:$H60,H60)+COUNTIF(VPS_REFERENCE!$D60:$H60,I60)+COUNTIF(VPS_REFERENCE!$D60:$H60,J60)+COUNTIF(VPS_REFERENCE!$D60:$H60,K60)+COUNTIF(VPS_REFERENCE!$D60:$H60,L60)+COUNTIF(VPS_REFERENCE!$D60:$H60,M60)+COUNTIF(VPS_REFERENCE!$D60:$H60,N60)+COUNTIF(VPS_REFERENCE!$D60:$H60,O60)+COUNTIF(VPS_REFERENCE!$D60:$H60,P60))=0,"PASS","FAIL")</f>
        <v>PASS</v>
      </c>
      <c r="V60" s="27" t="str">
        <f t="shared" si="7"/>
        <v>PASS</v>
      </c>
      <c r="W60" s="28" t="str">
        <f>CRAWL_LOG!B60</f>
        <v>Chưa chạy</v>
      </c>
      <c r="X60" s="36" t="s">
        <v>57</v>
      </c>
    </row>
    <row r="61" spans="1:24">
      <c r="A61" s="23">
        <v>46324</v>
      </c>
      <c r="B61" s="24" t="s">
        <v>56</v>
      </c>
      <c r="C61" s="24" t="s">
        <v>54</v>
      </c>
      <c r="D61" s="24" t="s">
        <v>10</v>
      </c>
      <c r="E61" s="25">
        <f>SLOT_RULES!$D$4+IF($A61&lt;=SLOT_RULES!$D$4,0,INT(($A61-SLOT_RULES!$D$4-1)/SLOT_RULES!$E$4)+1)*SLOT_RULES!$E$4</f>
        <v>46325</v>
      </c>
      <c r="F61" s="63"/>
      <c r="G61" s="63"/>
      <c r="H61" s="25">
        <f>SLOT_RULES!$D$7+IF($A61&lt;=SLOT_RULES!$D$7,0,INT(($A61-SLOT_RULES!$D$7-1)/SLOT_RULES!$E$7)+1)*SLOT_RULES!$E$7</f>
        <v>46346</v>
      </c>
      <c r="I61" s="25">
        <f>SLOT_RULES!$D$8+IF($A61&lt;=SLOT_RULES!$D$8,0,INT(($A61-SLOT_RULES!$D$8-1)/SLOT_RULES!$E$8)+1)*SLOT_RULES!$E$8</f>
        <v>46328</v>
      </c>
      <c r="J61" s="25">
        <f>SLOT_RULES!$D$9+IF($A61&lt;=SLOT_RULES!$D$9,0,INT(($A61-SLOT_RULES!$D$9-1)/SLOT_RULES!$E$9)+1)*SLOT_RULES!$E$9</f>
        <v>46342</v>
      </c>
      <c r="K61" s="25">
        <f>SLOT_RULES!$D$10+IF($A61&lt;=SLOT_RULES!$D$10,0,INT(($A61-SLOT_RULES!$D$10-1)/SLOT_RULES!$E$10)+1)*SLOT_RULES!$E$10</f>
        <v>46329</v>
      </c>
      <c r="L61" s="25">
        <f>SLOT_RULES!$D$11+IF($A61&lt;=SLOT_RULES!$D$11,0,INT(($A61-SLOT_RULES!$D$11-1)/SLOT_RULES!$E$11)+1)*SLOT_RULES!$E$11</f>
        <v>46336</v>
      </c>
      <c r="M61" s="25">
        <f>SLOT_RULES!$D$12+IF($A61&lt;=SLOT_RULES!$D$12,0,INT(($A61-SLOT_RULES!$D$12-1)/SLOT_RULES!$E$12)+1)*SLOT_RULES!$E$12</f>
        <v>46341</v>
      </c>
      <c r="N61" s="25">
        <f>SLOT_RULES!$D$13+IF($A61&lt;=SLOT_RULES!$D$13,0,INT(($A61-SLOT_RULES!$D$13-1)/SLOT_RULES!$E$13)+1)*SLOT_RULES!$E$13</f>
        <v>46391</v>
      </c>
      <c r="O61" s="25">
        <f>SLOT_RULES!$D$14+IF($A61&lt;=SLOT_RULES!$D$14,0,INT(($A61-SLOT_RULES!$D$14-1)/SLOT_RULES!$E$14)+1)*SLOT_RULES!$E$14</f>
        <v>46350</v>
      </c>
      <c r="P61" s="25">
        <f>SLOT_RULES!$D$15+IF($A61&lt;=SLOT_RULES!$D$15,0,INT(($A61-SLOT_RULES!$D$15-1)/SLOT_RULES!$E$15)+1)*SLOT_RULES!$E$15</f>
        <v>46422</v>
      </c>
      <c r="Q61" s="26">
        <f t="shared" si="4"/>
        <v>1</v>
      </c>
      <c r="R61" s="26">
        <f t="shared" si="5"/>
        <v>98</v>
      </c>
      <c r="S61" s="27" t="str">
        <f t="shared" si="6"/>
        <v>PASS</v>
      </c>
      <c r="T61" s="27" t="str">
        <f>IF((COUNTIF(LOCAL_REFERENCE!$D61:$O61,E61)+COUNTIF(LOCAL_REFERENCE!$D61:$O61,H61)+COUNTIF(LOCAL_REFERENCE!$D61:$O61,I61)+COUNTIF(LOCAL_REFERENCE!$D61:$O61,J61)+COUNTIF(LOCAL_REFERENCE!$D61:$O61,K61)+COUNTIF(LOCAL_REFERENCE!$D61:$O61,L61)+COUNTIF(LOCAL_REFERENCE!$D61:$O61,M61)+COUNTIF(LOCAL_REFERENCE!$D61:$O61,N61)+COUNTIF(LOCAL_REFERENCE!$D61:$O61,O61)+COUNTIF(LOCAL_REFERENCE!$D61:$O61,P61))=0,"PASS","FAIL")</f>
        <v>PASS</v>
      </c>
      <c r="U61" s="27" t="str">
        <f>IF((COUNTIF(VPS_REFERENCE!$D61:$H61,E61)+COUNTIF(VPS_REFERENCE!$D61:$H61,H61)+COUNTIF(VPS_REFERENCE!$D61:$H61,I61)+COUNTIF(VPS_REFERENCE!$D61:$H61,J61)+COUNTIF(VPS_REFERENCE!$D61:$H61,K61)+COUNTIF(VPS_REFERENCE!$D61:$H61,L61)+COUNTIF(VPS_REFERENCE!$D61:$H61,M61)+COUNTIF(VPS_REFERENCE!$D61:$H61,N61)+COUNTIF(VPS_REFERENCE!$D61:$H61,O61)+COUNTIF(VPS_REFERENCE!$D61:$H61,P61))=0,"PASS","FAIL")</f>
        <v>PASS</v>
      </c>
      <c r="V61" s="27" t="str">
        <f t="shared" si="7"/>
        <v>PASS</v>
      </c>
      <c r="W61" s="28" t="str">
        <f>CRAWL_LOG!B61</f>
        <v>Chưa chạy</v>
      </c>
      <c r="X61" s="36" t="s">
        <v>57</v>
      </c>
    </row>
    <row r="62" spans="1:24">
      <c r="A62" s="23">
        <v>46325</v>
      </c>
      <c r="B62" s="24" t="s">
        <v>58</v>
      </c>
      <c r="C62" s="24" t="s">
        <v>54</v>
      </c>
      <c r="D62" s="24" t="s">
        <v>10</v>
      </c>
      <c r="E62" s="25">
        <f>SLOT_RULES!$D$4+IF($A62&lt;=SLOT_RULES!$D$4,0,INT(($A62-SLOT_RULES!$D$4-1)/SLOT_RULES!$E$4)+1)*SLOT_RULES!$E$4</f>
        <v>46325</v>
      </c>
      <c r="F62" s="63"/>
      <c r="G62" s="63"/>
      <c r="H62" s="25">
        <f>SLOT_RULES!$D$7+IF($A62&lt;=SLOT_RULES!$D$7,0,INT(($A62-SLOT_RULES!$D$7-1)/SLOT_RULES!$E$7)+1)*SLOT_RULES!$E$7</f>
        <v>46346</v>
      </c>
      <c r="I62" s="25">
        <f>SLOT_RULES!$D$8+IF($A62&lt;=SLOT_RULES!$D$8,0,INT(($A62-SLOT_RULES!$D$8-1)/SLOT_RULES!$E$8)+1)*SLOT_RULES!$E$8</f>
        <v>46328</v>
      </c>
      <c r="J62" s="25">
        <f>SLOT_RULES!$D$9+IF($A62&lt;=SLOT_RULES!$D$9,0,INT(($A62-SLOT_RULES!$D$9-1)/SLOT_RULES!$E$9)+1)*SLOT_RULES!$E$9</f>
        <v>46342</v>
      </c>
      <c r="K62" s="25">
        <f>SLOT_RULES!$D$10+IF($A62&lt;=SLOT_RULES!$D$10,0,INT(($A62-SLOT_RULES!$D$10-1)/SLOT_RULES!$E$10)+1)*SLOT_RULES!$E$10</f>
        <v>46329</v>
      </c>
      <c r="L62" s="25">
        <f>SLOT_RULES!$D$11+IF($A62&lt;=SLOT_RULES!$D$11,0,INT(($A62-SLOT_RULES!$D$11-1)/SLOT_RULES!$E$11)+1)*SLOT_RULES!$E$11</f>
        <v>46336</v>
      </c>
      <c r="M62" s="25">
        <f>SLOT_RULES!$D$12+IF($A62&lt;=SLOT_RULES!$D$12,0,INT(($A62-SLOT_RULES!$D$12-1)/SLOT_RULES!$E$12)+1)*SLOT_RULES!$E$12</f>
        <v>46341</v>
      </c>
      <c r="N62" s="25">
        <f>SLOT_RULES!$D$13+IF($A62&lt;=SLOT_RULES!$D$13,0,INT(($A62-SLOT_RULES!$D$13-1)/SLOT_RULES!$E$13)+1)*SLOT_RULES!$E$13</f>
        <v>46391</v>
      </c>
      <c r="O62" s="25">
        <f>SLOT_RULES!$D$14+IF($A62&lt;=SLOT_RULES!$D$14,0,INT(($A62-SLOT_RULES!$D$14-1)/SLOT_RULES!$E$14)+1)*SLOT_RULES!$E$14</f>
        <v>46350</v>
      </c>
      <c r="P62" s="25">
        <f>SLOT_RULES!$D$15+IF($A62&lt;=SLOT_RULES!$D$15,0,INT(($A62-SLOT_RULES!$D$15-1)/SLOT_RULES!$E$15)+1)*SLOT_RULES!$E$15</f>
        <v>46422</v>
      </c>
      <c r="Q62" s="26">
        <f t="shared" si="4"/>
        <v>0</v>
      </c>
      <c r="R62" s="26">
        <f t="shared" si="5"/>
        <v>97</v>
      </c>
      <c r="S62" s="27" t="str">
        <f t="shared" si="6"/>
        <v>PASS</v>
      </c>
      <c r="T62" s="27" t="str">
        <f>IF((COUNTIF(LOCAL_REFERENCE!$D62:$O62,E62)+COUNTIF(LOCAL_REFERENCE!$D62:$O62,H62)+COUNTIF(LOCAL_REFERENCE!$D62:$O62,I62)+COUNTIF(LOCAL_REFERENCE!$D62:$O62,J62)+COUNTIF(LOCAL_REFERENCE!$D62:$O62,K62)+COUNTIF(LOCAL_REFERENCE!$D62:$O62,L62)+COUNTIF(LOCAL_REFERENCE!$D62:$O62,M62)+COUNTIF(LOCAL_REFERENCE!$D62:$O62,N62)+COUNTIF(LOCAL_REFERENCE!$D62:$O62,O62)+COUNTIF(LOCAL_REFERENCE!$D62:$O62,P62))=0,"PASS","FAIL")</f>
        <v>PASS</v>
      </c>
      <c r="U62" s="27" t="str">
        <f>IF((COUNTIF(VPS_REFERENCE!$D62:$H62,E62)+COUNTIF(VPS_REFERENCE!$D62:$H62,H62)+COUNTIF(VPS_REFERENCE!$D62:$H62,I62)+COUNTIF(VPS_REFERENCE!$D62:$H62,J62)+COUNTIF(VPS_REFERENCE!$D62:$H62,K62)+COUNTIF(VPS_REFERENCE!$D62:$H62,L62)+COUNTIF(VPS_REFERENCE!$D62:$H62,M62)+COUNTIF(VPS_REFERENCE!$D62:$H62,N62)+COUNTIF(VPS_REFERENCE!$D62:$H62,O62)+COUNTIF(VPS_REFERENCE!$D62:$H62,P62))=0,"PASS","FAIL")</f>
        <v>PASS</v>
      </c>
      <c r="V62" s="27" t="str">
        <f t="shared" si="7"/>
        <v>PASS</v>
      </c>
      <c r="W62" s="28" t="str">
        <f>CRAWL_LOG!B62</f>
        <v>Chưa chạy</v>
      </c>
      <c r="X62" s="36" t="s">
        <v>57</v>
      </c>
    </row>
    <row r="63" spans="1:24">
      <c r="A63" s="23">
        <v>46326</v>
      </c>
      <c r="B63" s="24" t="s">
        <v>59</v>
      </c>
      <c r="C63" s="24" t="s">
        <v>54</v>
      </c>
      <c r="D63" s="24" t="s">
        <v>10</v>
      </c>
      <c r="E63" s="25">
        <f>SLOT_RULES!$D$4+IF($A63&lt;=SLOT_RULES!$D$4,0,INT(($A63-SLOT_RULES!$D$4-1)/SLOT_RULES!$E$4)+1)*SLOT_RULES!$E$4</f>
        <v>46353</v>
      </c>
      <c r="F63" s="63"/>
      <c r="G63" s="63"/>
      <c r="H63" s="25">
        <f>SLOT_RULES!$D$7+IF($A63&lt;=SLOT_RULES!$D$7,0,INT(($A63-SLOT_RULES!$D$7-1)/SLOT_RULES!$E$7)+1)*SLOT_RULES!$E$7</f>
        <v>46346</v>
      </c>
      <c r="I63" s="25">
        <f>SLOT_RULES!$D$8+IF($A63&lt;=SLOT_RULES!$D$8,0,INT(($A63-SLOT_RULES!$D$8-1)/SLOT_RULES!$E$8)+1)*SLOT_RULES!$E$8</f>
        <v>46328</v>
      </c>
      <c r="J63" s="25">
        <f>SLOT_RULES!$D$9+IF($A63&lt;=SLOT_RULES!$D$9,0,INT(($A63-SLOT_RULES!$D$9-1)/SLOT_RULES!$E$9)+1)*SLOT_RULES!$E$9</f>
        <v>46342</v>
      </c>
      <c r="K63" s="25">
        <f>SLOT_RULES!$D$10+IF($A63&lt;=SLOT_RULES!$D$10,0,INT(($A63-SLOT_RULES!$D$10-1)/SLOT_RULES!$E$10)+1)*SLOT_RULES!$E$10</f>
        <v>46329</v>
      </c>
      <c r="L63" s="25">
        <f>SLOT_RULES!$D$11+IF($A63&lt;=SLOT_RULES!$D$11,0,INT(($A63-SLOT_RULES!$D$11-1)/SLOT_RULES!$E$11)+1)*SLOT_RULES!$E$11</f>
        <v>46336</v>
      </c>
      <c r="M63" s="25">
        <f>SLOT_RULES!$D$12+IF($A63&lt;=SLOT_RULES!$D$12,0,INT(($A63-SLOT_RULES!$D$12-1)/SLOT_RULES!$E$12)+1)*SLOT_RULES!$E$12</f>
        <v>46341</v>
      </c>
      <c r="N63" s="25">
        <f>SLOT_RULES!$D$13+IF($A63&lt;=SLOT_RULES!$D$13,0,INT(($A63-SLOT_RULES!$D$13-1)/SLOT_RULES!$E$13)+1)*SLOT_RULES!$E$13</f>
        <v>46391</v>
      </c>
      <c r="O63" s="25">
        <f>SLOT_RULES!$D$14+IF($A63&lt;=SLOT_RULES!$D$14,0,INT(($A63-SLOT_RULES!$D$14-1)/SLOT_RULES!$E$14)+1)*SLOT_RULES!$E$14</f>
        <v>46350</v>
      </c>
      <c r="P63" s="25">
        <f>SLOT_RULES!$D$15+IF($A63&lt;=SLOT_RULES!$D$15,0,INT(($A63-SLOT_RULES!$D$15-1)/SLOT_RULES!$E$15)+1)*SLOT_RULES!$E$15</f>
        <v>46422</v>
      </c>
      <c r="Q63" s="26">
        <f t="shared" si="4"/>
        <v>2</v>
      </c>
      <c r="R63" s="26">
        <f t="shared" si="5"/>
        <v>96</v>
      </c>
      <c r="S63" s="27" t="str">
        <f t="shared" si="6"/>
        <v>PASS</v>
      </c>
      <c r="T63" s="27" t="str">
        <f>IF((COUNTIF(LOCAL_REFERENCE!$D63:$O63,E63)+COUNTIF(LOCAL_REFERENCE!$D63:$O63,H63)+COUNTIF(LOCAL_REFERENCE!$D63:$O63,I63)+COUNTIF(LOCAL_REFERENCE!$D63:$O63,J63)+COUNTIF(LOCAL_REFERENCE!$D63:$O63,K63)+COUNTIF(LOCAL_REFERENCE!$D63:$O63,L63)+COUNTIF(LOCAL_REFERENCE!$D63:$O63,M63)+COUNTIF(LOCAL_REFERENCE!$D63:$O63,N63)+COUNTIF(LOCAL_REFERENCE!$D63:$O63,O63)+COUNTIF(LOCAL_REFERENCE!$D63:$O63,P63))=0,"PASS","FAIL")</f>
        <v>PASS</v>
      </c>
      <c r="U63" s="27" t="str">
        <f>IF((COUNTIF(VPS_REFERENCE!$D63:$H63,E63)+COUNTIF(VPS_REFERENCE!$D63:$H63,H63)+COUNTIF(VPS_REFERENCE!$D63:$H63,I63)+COUNTIF(VPS_REFERENCE!$D63:$H63,J63)+COUNTIF(VPS_REFERENCE!$D63:$H63,K63)+COUNTIF(VPS_REFERENCE!$D63:$H63,L63)+COUNTIF(VPS_REFERENCE!$D63:$H63,M63)+COUNTIF(VPS_REFERENCE!$D63:$H63,N63)+COUNTIF(VPS_REFERENCE!$D63:$H63,O63)+COUNTIF(VPS_REFERENCE!$D63:$H63,P63))=0,"PASS","FAIL")</f>
        <v>PASS</v>
      </c>
      <c r="V63" s="27" t="str">
        <f t="shared" si="7"/>
        <v>PASS</v>
      </c>
      <c r="W63" s="28" t="str">
        <f>CRAWL_LOG!B63</f>
        <v>Chưa chạy</v>
      </c>
      <c r="X63" s="36" t="s">
        <v>57</v>
      </c>
    </row>
    <row r="64" spans="1:24">
      <c r="A64" s="23">
        <v>46327</v>
      </c>
      <c r="B64" s="24" t="s">
        <v>60</v>
      </c>
      <c r="C64" s="24" t="s">
        <v>54</v>
      </c>
      <c r="D64" s="24" t="s">
        <v>10</v>
      </c>
      <c r="E64" s="25">
        <f>SLOT_RULES!$D$4+IF($A64&lt;=SLOT_RULES!$D$4,0,INT(($A64-SLOT_RULES!$D$4-1)/SLOT_RULES!$E$4)+1)*SLOT_RULES!$E$4</f>
        <v>46353</v>
      </c>
      <c r="F64" s="63"/>
      <c r="G64" s="63"/>
      <c r="H64" s="25">
        <f>SLOT_RULES!$D$7+IF($A64&lt;=SLOT_RULES!$D$7,0,INT(($A64-SLOT_RULES!$D$7-1)/SLOT_RULES!$E$7)+1)*SLOT_RULES!$E$7</f>
        <v>46346</v>
      </c>
      <c r="I64" s="25">
        <f>SLOT_RULES!$D$8+IF($A64&lt;=SLOT_RULES!$D$8,0,INT(($A64-SLOT_RULES!$D$8-1)/SLOT_RULES!$E$8)+1)*SLOT_RULES!$E$8</f>
        <v>46328</v>
      </c>
      <c r="J64" s="25">
        <f>SLOT_RULES!$D$9+IF($A64&lt;=SLOT_RULES!$D$9,0,INT(($A64-SLOT_RULES!$D$9-1)/SLOT_RULES!$E$9)+1)*SLOT_RULES!$E$9</f>
        <v>46342</v>
      </c>
      <c r="K64" s="25">
        <f>SLOT_RULES!$D$10+IF($A64&lt;=SLOT_RULES!$D$10,0,INT(($A64-SLOT_RULES!$D$10-1)/SLOT_RULES!$E$10)+1)*SLOT_RULES!$E$10</f>
        <v>46329</v>
      </c>
      <c r="L64" s="25">
        <f>SLOT_RULES!$D$11+IF($A64&lt;=SLOT_RULES!$D$11,0,INT(($A64-SLOT_RULES!$D$11-1)/SLOT_RULES!$E$11)+1)*SLOT_RULES!$E$11</f>
        <v>46336</v>
      </c>
      <c r="M64" s="25">
        <f>SLOT_RULES!$D$12+IF($A64&lt;=SLOT_RULES!$D$12,0,INT(($A64-SLOT_RULES!$D$12-1)/SLOT_RULES!$E$12)+1)*SLOT_RULES!$E$12</f>
        <v>46341</v>
      </c>
      <c r="N64" s="25">
        <f>SLOT_RULES!$D$13+IF($A64&lt;=SLOT_RULES!$D$13,0,INT(($A64-SLOT_RULES!$D$13-1)/SLOT_RULES!$E$13)+1)*SLOT_RULES!$E$13</f>
        <v>46391</v>
      </c>
      <c r="O64" s="25">
        <f>SLOT_RULES!$D$14+IF($A64&lt;=SLOT_RULES!$D$14,0,INT(($A64-SLOT_RULES!$D$14-1)/SLOT_RULES!$E$14)+1)*SLOT_RULES!$E$14</f>
        <v>46350</v>
      </c>
      <c r="P64" s="25">
        <f>SLOT_RULES!$D$15+IF($A64&lt;=SLOT_RULES!$D$15,0,INT(($A64-SLOT_RULES!$D$15-1)/SLOT_RULES!$E$15)+1)*SLOT_RULES!$E$15</f>
        <v>46422</v>
      </c>
      <c r="Q64" s="26">
        <f t="shared" si="4"/>
        <v>1</v>
      </c>
      <c r="R64" s="26">
        <f t="shared" si="5"/>
        <v>95</v>
      </c>
      <c r="S64" s="27" t="str">
        <f t="shared" si="6"/>
        <v>PASS</v>
      </c>
      <c r="T64" s="27" t="str">
        <f>IF((COUNTIF(LOCAL_REFERENCE!$D64:$O64,E64)+COUNTIF(LOCAL_REFERENCE!$D64:$O64,H64)+COUNTIF(LOCAL_REFERENCE!$D64:$O64,I64)+COUNTIF(LOCAL_REFERENCE!$D64:$O64,J64)+COUNTIF(LOCAL_REFERENCE!$D64:$O64,K64)+COUNTIF(LOCAL_REFERENCE!$D64:$O64,L64)+COUNTIF(LOCAL_REFERENCE!$D64:$O64,M64)+COUNTIF(LOCAL_REFERENCE!$D64:$O64,N64)+COUNTIF(LOCAL_REFERENCE!$D64:$O64,O64)+COUNTIF(LOCAL_REFERENCE!$D64:$O64,P64))=0,"PASS","FAIL")</f>
        <v>PASS</v>
      </c>
      <c r="U64" s="27" t="str">
        <f>IF((COUNTIF(VPS_REFERENCE!$D64:$H64,E64)+COUNTIF(VPS_REFERENCE!$D64:$H64,H64)+COUNTIF(VPS_REFERENCE!$D64:$H64,I64)+COUNTIF(VPS_REFERENCE!$D64:$H64,J64)+COUNTIF(VPS_REFERENCE!$D64:$H64,K64)+COUNTIF(VPS_REFERENCE!$D64:$H64,L64)+COUNTIF(VPS_REFERENCE!$D64:$H64,M64)+COUNTIF(VPS_REFERENCE!$D64:$H64,N64)+COUNTIF(VPS_REFERENCE!$D64:$H64,O64)+COUNTIF(VPS_REFERENCE!$D64:$H64,P64))=0,"PASS","FAIL")</f>
        <v>PASS</v>
      </c>
      <c r="V64" s="27" t="str">
        <f t="shared" si="7"/>
        <v>PASS</v>
      </c>
      <c r="W64" s="28" t="str">
        <f>CRAWL_LOG!B64</f>
        <v>Chưa chạy</v>
      </c>
      <c r="X64" s="36" t="s">
        <v>57</v>
      </c>
    </row>
    <row r="65" spans="1:24">
      <c r="A65" s="23">
        <v>46328</v>
      </c>
      <c r="B65" s="24" t="s">
        <v>61</v>
      </c>
      <c r="C65" s="24" t="s">
        <v>54</v>
      </c>
      <c r="D65" s="24" t="s">
        <v>10</v>
      </c>
      <c r="E65" s="25">
        <f>SLOT_RULES!$D$4+IF($A65&lt;=SLOT_RULES!$D$4,0,INT(($A65-SLOT_RULES!$D$4-1)/SLOT_RULES!$E$4)+1)*SLOT_RULES!$E$4</f>
        <v>46353</v>
      </c>
      <c r="F65" s="63"/>
      <c r="G65" s="63"/>
      <c r="H65" s="25">
        <f>SLOT_RULES!$D$7+IF($A65&lt;=SLOT_RULES!$D$7,0,INT(($A65-SLOT_RULES!$D$7-1)/SLOT_RULES!$E$7)+1)*SLOT_RULES!$E$7</f>
        <v>46346</v>
      </c>
      <c r="I65" s="25">
        <f>SLOT_RULES!$D$8+IF($A65&lt;=SLOT_RULES!$D$8,0,INT(($A65-SLOT_RULES!$D$8-1)/SLOT_RULES!$E$8)+1)*SLOT_RULES!$E$8</f>
        <v>46328</v>
      </c>
      <c r="J65" s="25">
        <f>SLOT_RULES!$D$9+IF($A65&lt;=SLOT_RULES!$D$9,0,INT(($A65-SLOT_RULES!$D$9-1)/SLOT_RULES!$E$9)+1)*SLOT_RULES!$E$9</f>
        <v>46342</v>
      </c>
      <c r="K65" s="25">
        <f>SLOT_RULES!$D$10+IF($A65&lt;=SLOT_RULES!$D$10,0,INT(($A65-SLOT_RULES!$D$10-1)/SLOT_RULES!$E$10)+1)*SLOT_RULES!$E$10</f>
        <v>46329</v>
      </c>
      <c r="L65" s="25">
        <f>SLOT_RULES!$D$11+IF($A65&lt;=SLOT_RULES!$D$11,0,INT(($A65-SLOT_RULES!$D$11-1)/SLOT_RULES!$E$11)+1)*SLOT_RULES!$E$11</f>
        <v>46336</v>
      </c>
      <c r="M65" s="25">
        <f>SLOT_RULES!$D$12+IF($A65&lt;=SLOT_RULES!$D$12,0,INT(($A65-SLOT_RULES!$D$12-1)/SLOT_RULES!$E$12)+1)*SLOT_RULES!$E$12</f>
        <v>46341</v>
      </c>
      <c r="N65" s="25">
        <f>SLOT_RULES!$D$13+IF($A65&lt;=SLOT_RULES!$D$13,0,INT(($A65-SLOT_RULES!$D$13-1)/SLOT_RULES!$E$13)+1)*SLOT_RULES!$E$13</f>
        <v>46391</v>
      </c>
      <c r="O65" s="25">
        <f>SLOT_RULES!$D$14+IF($A65&lt;=SLOT_RULES!$D$14,0,INT(($A65-SLOT_RULES!$D$14-1)/SLOT_RULES!$E$14)+1)*SLOT_RULES!$E$14</f>
        <v>46350</v>
      </c>
      <c r="P65" s="25">
        <f>SLOT_RULES!$D$15+IF($A65&lt;=SLOT_RULES!$D$15,0,INT(($A65-SLOT_RULES!$D$15-1)/SLOT_RULES!$E$15)+1)*SLOT_RULES!$E$15</f>
        <v>46422</v>
      </c>
      <c r="Q65" s="26">
        <f t="shared" si="4"/>
        <v>0</v>
      </c>
      <c r="R65" s="26">
        <f t="shared" si="5"/>
        <v>94</v>
      </c>
      <c r="S65" s="27" t="str">
        <f t="shared" si="6"/>
        <v>PASS</v>
      </c>
      <c r="T65" s="27" t="str">
        <f>IF((COUNTIF(LOCAL_REFERENCE!$D65:$O65,E65)+COUNTIF(LOCAL_REFERENCE!$D65:$O65,H65)+COUNTIF(LOCAL_REFERENCE!$D65:$O65,I65)+COUNTIF(LOCAL_REFERENCE!$D65:$O65,J65)+COUNTIF(LOCAL_REFERENCE!$D65:$O65,K65)+COUNTIF(LOCAL_REFERENCE!$D65:$O65,L65)+COUNTIF(LOCAL_REFERENCE!$D65:$O65,M65)+COUNTIF(LOCAL_REFERENCE!$D65:$O65,N65)+COUNTIF(LOCAL_REFERENCE!$D65:$O65,O65)+COUNTIF(LOCAL_REFERENCE!$D65:$O65,P65))=0,"PASS","FAIL")</f>
        <v>PASS</v>
      </c>
      <c r="U65" s="27" t="str">
        <f>IF((COUNTIF(VPS_REFERENCE!$D65:$H65,E65)+COUNTIF(VPS_REFERENCE!$D65:$H65,H65)+COUNTIF(VPS_REFERENCE!$D65:$H65,I65)+COUNTIF(VPS_REFERENCE!$D65:$H65,J65)+COUNTIF(VPS_REFERENCE!$D65:$H65,K65)+COUNTIF(VPS_REFERENCE!$D65:$H65,L65)+COUNTIF(VPS_REFERENCE!$D65:$H65,M65)+COUNTIF(VPS_REFERENCE!$D65:$H65,N65)+COUNTIF(VPS_REFERENCE!$D65:$H65,O65)+COUNTIF(VPS_REFERENCE!$D65:$H65,P65))=0,"PASS","FAIL")</f>
        <v>PASS</v>
      </c>
      <c r="V65" s="27" t="str">
        <f t="shared" si="7"/>
        <v>PASS</v>
      </c>
      <c r="W65" s="28" t="str">
        <f>CRAWL_LOG!B65</f>
        <v>Chưa chạy</v>
      </c>
      <c r="X65" s="36" t="s">
        <v>57</v>
      </c>
    </row>
    <row r="66" spans="1:24">
      <c r="A66" s="23">
        <v>46329</v>
      </c>
      <c r="B66" s="24" t="s">
        <v>62</v>
      </c>
      <c r="C66" s="24" t="s">
        <v>54</v>
      </c>
      <c r="D66" s="24" t="s">
        <v>10</v>
      </c>
      <c r="E66" s="25">
        <f>SLOT_RULES!$D$4+IF($A66&lt;=SLOT_RULES!$D$4,0,INT(($A66-SLOT_RULES!$D$4-1)/SLOT_RULES!$E$4)+1)*SLOT_RULES!$E$4</f>
        <v>46353</v>
      </c>
      <c r="F66" s="63"/>
      <c r="G66" s="63"/>
      <c r="H66" s="25">
        <f>SLOT_RULES!$D$7+IF($A66&lt;=SLOT_RULES!$D$7,0,INT(($A66-SLOT_RULES!$D$7-1)/SLOT_RULES!$E$7)+1)*SLOT_RULES!$E$7</f>
        <v>46346</v>
      </c>
      <c r="I66" s="25">
        <f>SLOT_RULES!$D$8+IF($A66&lt;=SLOT_RULES!$D$8,0,INT(($A66-SLOT_RULES!$D$8-1)/SLOT_RULES!$E$8)+1)*SLOT_RULES!$E$8</f>
        <v>46356</v>
      </c>
      <c r="J66" s="25">
        <f>SLOT_RULES!$D$9+IF($A66&lt;=SLOT_RULES!$D$9,0,INT(($A66-SLOT_RULES!$D$9-1)/SLOT_RULES!$E$9)+1)*SLOT_RULES!$E$9</f>
        <v>46342</v>
      </c>
      <c r="K66" s="25">
        <f>SLOT_RULES!$D$10+IF($A66&lt;=SLOT_RULES!$D$10,0,INT(($A66-SLOT_RULES!$D$10-1)/SLOT_RULES!$E$10)+1)*SLOT_RULES!$E$10</f>
        <v>46329</v>
      </c>
      <c r="L66" s="25">
        <f>SLOT_RULES!$D$11+IF($A66&lt;=SLOT_RULES!$D$11,0,INT(($A66-SLOT_RULES!$D$11-1)/SLOT_RULES!$E$11)+1)*SLOT_RULES!$E$11</f>
        <v>46336</v>
      </c>
      <c r="M66" s="25">
        <f>SLOT_RULES!$D$12+IF($A66&lt;=SLOT_RULES!$D$12,0,INT(($A66-SLOT_RULES!$D$12-1)/SLOT_RULES!$E$12)+1)*SLOT_RULES!$E$12</f>
        <v>46341</v>
      </c>
      <c r="N66" s="25">
        <f>SLOT_RULES!$D$13+IF($A66&lt;=SLOT_RULES!$D$13,0,INT(($A66-SLOT_RULES!$D$13-1)/SLOT_RULES!$E$13)+1)*SLOT_RULES!$E$13</f>
        <v>46391</v>
      </c>
      <c r="O66" s="25">
        <f>SLOT_RULES!$D$14+IF($A66&lt;=SLOT_RULES!$D$14,0,INT(($A66-SLOT_RULES!$D$14-1)/SLOT_RULES!$E$14)+1)*SLOT_RULES!$E$14</f>
        <v>46350</v>
      </c>
      <c r="P66" s="25">
        <f>SLOT_RULES!$D$15+IF($A66&lt;=SLOT_RULES!$D$15,0,INT(($A66-SLOT_RULES!$D$15-1)/SLOT_RULES!$E$15)+1)*SLOT_RULES!$E$15</f>
        <v>46422</v>
      </c>
      <c r="Q66" s="26">
        <f t="shared" si="4"/>
        <v>0</v>
      </c>
      <c r="R66" s="26">
        <f t="shared" si="5"/>
        <v>93</v>
      </c>
      <c r="S66" s="27" t="str">
        <f t="shared" si="6"/>
        <v>PASS</v>
      </c>
      <c r="T66" s="27" t="str">
        <f>IF((COUNTIF(LOCAL_REFERENCE!$D66:$O66,E66)+COUNTIF(LOCAL_REFERENCE!$D66:$O66,H66)+COUNTIF(LOCAL_REFERENCE!$D66:$O66,I66)+COUNTIF(LOCAL_REFERENCE!$D66:$O66,J66)+COUNTIF(LOCAL_REFERENCE!$D66:$O66,K66)+COUNTIF(LOCAL_REFERENCE!$D66:$O66,L66)+COUNTIF(LOCAL_REFERENCE!$D66:$O66,M66)+COUNTIF(LOCAL_REFERENCE!$D66:$O66,N66)+COUNTIF(LOCAL_REFERENCE!$D66:$O66,O66)+COUNTIF(LOCAL_REFERENCE!$D66:$O66,P66))=0,"PASS","FAIL")</f>
        <v>PASS</v>
      </c>
      <c r="U66" s="27" t="str">
        <f>IF((COUNTIF(VPS_REFERENCE!$D66:$H66,E66)+COUNTIF(VPS_REFERENCE!$D66:$H66,H66)+COUNTIF(VPS_REFERENCE!$D66:$H66,I66)+COUNTIF(VPS_REFERENCE!$D66:$H66,J66)+COUNTIF(VPS_REFERENCE!$D66:$H66,K66)+COUNTIF(VPS_REFERENCE!$D66:$H66,L66)+COUNTIF(VPS_REFERENCE!$D66:$H66,M66)+COUNTIF(VPS_REFERENCE!$D66:$H66,N66)+COUNTIF(VPS_REFERENCE!$D66:$H66,O66)+COUNTIF(VPS_REFERENCE!$D66:$H66,P66))=0,"PASS","FAIL")</f>
        <v>PASS</v>
      </c>
      <c r="V66" s="27" t="str">
        <f t="shared" si="7"/>
        <v>PASS</v>
      </c>
      <c r="W66" s="28" t="str">
        <f>CRAWL_LOG!B66</f>
        <v>Chưa chạy</v>
      </c>
      <c r="X66" s="36" t="s">
        <v>57</v>
      </c>
    </row>
    <row r="67" spans="1:24">
      <c r="A67" s="23">
        <v>46330</v>
      </c>
      <c r="B67" s="24" t="s">
        <v>53</v>
      </c>
      <c r="C67" s="24" t="s">
        <v>54</v>
      </c>
      <c r="D67" s="24" t="s">
        <v>10</v>
      </c>
      <c r="E67" s="25">
        <f>SLOT_RULES!$D$4+IF($A67&lt;=SLOT_RULES!$D$4,0,INT(($A67-SLOT_RULES!$D$4-1)/SLOT_RULES!$E$4)+1)*SLOT_RULES!$E$4</f>
        <v>46353</v>
      </c>
      <c r="F67" s="63"/>
      <c r="G67" s="63"/>
      <c r="H67" s="25">
        <f>SLOT_RULES!$D$7+IF($A67&lt;=SLOT_RULES!$D$7,0,INT(($A67-SLOT_RULES!$D$7-1)/SLOT_RULES!$E$7)+1)*SLOT_RULES!$E$7</f>
        <v>46346</v>
      </c>
      <c r="I67" s="25">
        <f>SLOT_RULES!$D$8+IF($A67&lt;=SLOT_RULES!$D$8,0,INT(($A67-SLOT_RULES!$D$8-1)/SLOT_RULES!$E$8)+1)*SLOT_RULES!$E$8</f>
        <v>46356</v>
      </c>
      <c r="J67" s="25">
        <f>SLOT_RULES!$D$9+IF($A67&lt;=SLOT_RULES!$D$9,0,INT(($A67-SLOT_RULES!$D$9-1)/SLOT_RULES!$E$9)+1)*SLOT_RULES!$E$9</f>
        <v>46342</v>
      </c>
      <c r="K67" s="25">
        <f>SLOT_RULES!$D$10+IF($A67&lt;=SLOT_RULES!$D$10,0,INT(($A67-SLOT_RULES!$D$10-1)/SLOT_RULES!$E$10)+1)*SLOT_RULES!$E$10</f>
        <v>46357</v>
      </c>
      <c r="L67" s="25">
        <f>SLOT_RULES!$D$11+IF($A67&lt;=SLOT_RULES!$D$11,0,INT(($A67-SLOT_RULES!$D$11-1)/SLOT_RULES!$E$11)+1)*SLOT_RULES!$E$11</f>
        <v>46336</v>
      </c>
      <c r="M67" s="25">
        <f>SLOT_RULES!$D$12+IF($A67&lt;=SLOT_RULES!$D$12,0,INT(($A67-SLOT_RULES!$D$12-1)/SLOT_RULES!$E$12)+1)*SLOT_RULES!$E$12</f>
        <v>46341</v>
      </c>
      <c r="N67" s="25">
        <f>SLOT_RULES!$D$13+IF($A67&lt;=SLOT_RULES!$D$13,0,INT(($A67-SLOT_RULES!$D$13-1)/SLOT_RULES!$E$13)+1)*SLOT_RULES!$E$13</f>
        <v>46391</v>
      </c>
      <c r="O67" s="25">
        <f>SLOT_RULES!$D$14+IF($A67&lt;=SLOT_RULES!$D$14,0,INT(($A67-SLOT_RULES!$D$14-1)/SLOT_RULES!$E$14)+1)*SLOT_RULES!$E$14</f>
        <v>46350</v>
      </c>
      <c r="P67" s="25">
        <f>SLOT_RULES!$D$15+IF($A67&lt;=SLOT_RULES!$D$15,0,INT(($A67-SLOT_RULES!$D$15-1)/SLOT_RULES!$E$15)+1)*SLOT_RULES!$E$15</f>
        <v>46422</v>
      </c>
      <c r="Q67" s="26">
        <f t="shared" si="4"/>
        <v>6</v>
      </c>
      <c r="R67" s="26">
        <f t="shared" si="5"/>
        <v>92</v>
      </c>
      <c r="S67" s="27" t="str">
        <f t="shared" si="6"/>
        <v>PASS</v>
      </c>
      <c r="T67" s="27" t="str">
        <f>IF((COUNTIF(LOCAL_REFERENCE!$D67:$O67,E67)+COUNTIF(LOCAL_REFERENCE!$D67:$O67,H67)+COUNTIF(LOCAL_REFERENCE!$D67:$O67,I67)+COUNTIF(LOCAL_REFERENCE!$D67:$O67,J67)+COUNTIF(LOCAL_REFERENCE!$D67:$O67,K67)+COUNTIF(LOCAL_REFERENCE!$D67:$O67,L67)+COUNTIF(LOCAL_REFERENCE!$D67:$O67,M67)+COUNTIF(LOCAL_REFERENCE!$D67:$O67,N67)+COUNTIF(LOCAL_REFERENCE!$D67:$O67,O67)+COUNTIF(LOCAL_REFERENCE!$D67:$O67,P67))=0,"PASS","FAIL")</f>
        <v>PASS</v>
      </c>
      <c r="U67" s="27" t="str">
        <f>IF((COUNTIF(VPS_REFERENCE!$D67:$H67,E67)+COUNTIF(VPS_REFERENCE!$D67:$H67,H67)+COUNTIF(VPS_REFERENCE!$D67:$H67,I67)+COUNTIF(VPS_REFERENCE!$D67:$H67,J67)+COUNTIF(VPS_REFERENCE!$D67:$H67,K67)+COUNTIF(VPS_REFERENCE!$D67:$H67,L67)+COUNTIF(VPS_REFERENCE!$D67:$H67,M67)+COUNTIF(VPS_REFERENCE!$D67:$H67,N67)+COUNTIF(VPS_REFERENCE!$D67:$H67,O67)+COUNTIF(VPS_REFERENCE!$D67:$H67,P67))=0,"PASS","FAIL")</f>
        <v>PASS</v>
      </c>
      <c r="V67" s="27" t="str">
        <f t="shared" si="7"/>
        <v>PASS</v>
      </c>
      <c r="W67" s="28" t="str">
        <f>CRAWL_LOG!B67</f>
        <v>Chưa chạy</v>
      </c>
      <c r="X67" s="36" t="s">
        <v>57</v>
      </c>
    </row>
    <row r="68" spans="1:24">
      <c r="A68" s="23">
        <v>46331</v>
      </c>
      <c r="B68" s="24" t="s">
        <v>56</v>
      </c>
      <c r="C68" s="24" t="s">
        <v>54</v>
      </c>
      <c r="D68" s="24" t="s">
        <v>10</v>
      </c>
      <c r="E68" s="25">
        <f>SLOT_RULES!$D$4+IF($A68&lt;=SLOT_RULES!$D$4,0,INT(($A68-SLOT_RULES!$D$4-1)/SLOT_RULES!$E$4)+1)*SLOT_RULES!$E$4</f>
        <v>46353</v>
      </c>
      <c r="F68" s="63"/>
      <c r="G68" s="63"/>
      <c r="H68" s="25">
        <f>SLOT_RULES!$D$7+IF($A68&lt;=SLOT_RULES!$D$7,0,INT(($A68-SLOT_RULES!$D$7-1)/SLOT_RULES!$E$7)+1)*SLOT_RULES!$E$7</f>
        <v>46346</v>
      </c>
      <c r="I68" s="25">
        <f>SLOT_RULES!$D$8+IF($A68&lt;=SLOT_RULES!$D$8,0,INT(($A68-SLOT_RULES!$D$8-1)/SLOT_RULES!$E$8)+1)*SLOT_RULES!$E$8</f>
        <v>46356</v>
      </c>
      <c r="J68" s="25">
        <f>SLOT_RULES!$D$9+IF($A68&lt;=SLOT_RULES!$D$9,0,INT(($A68-SLOT_RULES!$D$9-1)/SLOT_RULES!$E$9)+1)*SLOT_RULES!$E$9</f>
        <v>46342</v>
      </c>
      <c r="K68" s="25">
        <f>SLOT_RULES!$D$10+IF($A68&lt;=SLOT_RULES!$D$10,0,INT(($A68-SLOT_RULES!$D$10-1)/SLOT_RULES!$E$10)+1)*SLOT_RULES!$E$10</f>
        <v>46357</v>
      </c>
      <c r="L68" s="25">
        <f>SLOT_RULES!$D$11+IF($A68&lt;=SLOT_RULES!$D$11,0,INT(($A68-SLOT_RULES!$D$11-1)/SLOT_RULES!$E$11)+1)*SLOT_RULES!$E$11</f>
        <v>46336</v>
      </c>
      <c r="M68" s="25">
        <f>SLOT_RULES!$D$12+IF($A68&lt;=SLOT_RULES!$D$12,0,INT(($A68-SLOT_RULES!$D$12-1)/SLOT_RULES!$E$12)+1)*SLOT_RULES!$E$12</f>
        <v>46341</v>
      </c>
      <c r="N68" s="25">
        <f>SLOT_RULES!$D$13+IF($A68&lt;=SLOT_RULES!$D$13,0,INT(($A68-SLOT_RULES!$D$13-1)/SLOT_RULES!$E$13)+1)*SLOT_RULES!$E$13</f>
        <v>46391</v>
      </c>
      <c r="O68" s="25">
        <f>SLOT_RULES!$D$14+IF($A68&lt;=SLOT_RULES!$D$14,0,INT(($A68-SLOT_RULES!$D$14-1)/SLOT_RULES!$E$14)+1)*SLOT_RULES!$E$14</f>
        <v>46350</v>
      </c>
      <c r="P68" s="25">
        <f>SLOT_RULES!$D$15+IF($A68&lt;=SLOT_RULES!$D$15,0,INT(($A68-SLOT_RULES!$D$15-1)/SLOT_RULES!$E$15)+1)*SLOT_RULES!$E$15</f>
        <v>46422</v>
      </c>
      <c r="Q68" s="26">
        <f t="shared" ref="Q68:Q99" si="8">MIN(E68:P68)-A68</f>
        <v>5</v>
      </c>
      <c r="R68" s="26">
        <f t="shared" ref="R68:R93" si="9">MAX(E68:P68)-A68</f>
        <v>91</v>
      </c>
      <c r="S68" s="27" t="str">
        <f t="shared" si="6"/>
        <v>PASS</v>
      </c>
      <c r="T68" s="27" t="str">
        <f>IF((COUNTIF(LOCAL_REFERENCE!$D68:$O68,E68)+COUNTIF(LOCAL_REFERENCE!$D68:$O68,H68)+COUNTIF(LOCAL_REFERENCE!$D68:$O68,I68)+COUNTIF(LOCAL_REFERENCE!$D68:$O68,J68)+COUNTIF(LOCAL_REFERENCE!$D68:$O68,K68)+COUNTIF(LOCAL_REFERENCE!$D68:$O68,L68)+COUNTIF(LOCAL_REFERENCE!$D68:$O68,M68)+COUNTIF(LOCAL_REFERENCE!$D68:$O68,N68)+COUNTIF(LOCAL_REFERENCE!$D68:$O68,O68)+COUNTIF(LOCAL_REFERENCE!$D68:$O68,P68))=0,"PASS","FAIL")</f>
        <v>PASS</v>
      </c>
      <c r="U68" s="27" t="str">
        <f>IF((COUNTIF(VPS_REFERENCE!$D68:$H68,E68)+COUNTIF(VPS_REFERENCE!$D68:$H68,H68)+COUNTIF(VPS_REFERENCE!$D68:$H68,I68)+COUNTIF(VPS_REFERENCE!$D68:$H68,J68)+COUNTIF(VPS_REFERENCE!$D68:$H68,K68)+COUNTIF(VPS_REFERENCE!$D68:$H68,L68)+COUNTIF(VPS_REFERENCE!$D68:$H68,M68)+COUNTIF(VPS_REFERENCE!$D68:$H68,N68)+COUNTIF(VPS_REFERENCE!$D68:$H68,O68)+COUNTIF(VPS_REFERENCE!$D68:$H68,P68))=0,"PASS","FAIL")</f>
        <v>PASS</v>
      </c>
      <c r="V68" s="27" t="str">
        <f t="shared" si="7"/>
        <v>PASS</v>
      </c>
      <c r="W68" s="28" t="str">
        <f>CRAWL_LOG!B68</f>
        <v>Chưa chạy</v>
      </c>
      <c r="X68" s="36" t="s">
        <v>57</v>
      </c>
    </row>
    <row r="69" spans="1:24">
      <c r="A69" s="23">
        <v>46332</v>
      </c>
      <c r="B69" s="24" t="s">
        <v>58</v>
      </c>
      <c r="C69" s="24" t="s">
        <v>54</v>
      </c>
      <c r="D69" s="24" t="s">
        <v>10</v>
      </c>
      <c r="E69" s="25">
        <f>SLOT_RULES!$D$4+IF($A69&lt;=SLOT_RULES!$D$4,0,INT(($A69-SLOT_RULES!$D$4-1)/SLOT_RULES!$E$4)+1)*SLOT_RULES!$E$4</f>
        <v>46353</v>
      </c>
      <c r="F69" s="63"/>
      <c r="G69" s="63"/>
      <c r="H69" s="25">
        <f>SLOT_RULES!$D$7+IF($A69&lt;=SLOT_RULES!$D$7,0,INT(($A69-SLOT_RULES!$D$7-1)/SLOT_RULES!$E$7)+1)*SLOT_RULES!$E$7</f>
        <v>46346</v>
      </c>
      <c r="I69" s="25">
        <f>SLOT_RULES!$D$8+IF($A69&lt;=SLOT_RULES!$D$8,0,INT(($A69-SLOT_RULES!$D$8-1)/SLOT_RULES!$E$8)+1)*SLOT_RULES!$E$8</f>
        <v>46356</v>
      </c>
      <c r="J69" s="25">
        <f>SLOT_RULES!$D$9+IF($A69&lt;=SLOT_RULES!$D$9,0,INT(($A69-SLOT_RULES!$D$9-1)/SLOT_RULES!$E$9)+1)*SLOT_RULES!$E$9</f>
        <v>46342</v>
      </c>
      <c r="K69" s="25">
        <f>SLOT_RULES!$D$10+IF($A69&lt;=SLOT_RULES!$D$10,0,INT(($A69-SLOT_RULES!$D$10-1)/SLOT_RULES!$E$10)+1)*SLOT_RULES!$E$10</f>
        <v>46357</v>
      </c>
      <c r="L69" s="25">
        <f>SLOT_RULES!$D$11+IF($A69&lt;=SLOT_RULES!$D$11,0,INT(($A69-SLOT_RULES!$D$11-1)/SLOT_RULES!$E$11)+1)*SLOT_RULES!$E$11</f>
        <v>46336</v>
      </c>
      <c r="M69" s="25">
        <f>SLOT_RULES!$D$12+IF($A69&lt;=SLOT_RULES!$D$12,0,INT(($A69-SLOT_RULES!$D$12-1)/SLOT_RULES!$E$12)+1)*SLOT_RULES!$E$12</f>
        <v>46341</v>
      </c>
      <c r="N69" s="25">
        <f>SLOT_RULES!$D$13+IF($A69&lt;=SLOT_RULES!$D$13,0,INT(($A69-SLOT_RULES!$D$13-1)/SLOT_RULES!$E$13)+1)*SLOT_RULES!$E$13</f>
        <v>46391</v>
      </c>
      <c r="O69" s="25">
        <f>SLOT_RULES!$D$14+IF($A69&lt;=SLOT_RULES!$D$14,0,INT(($A69-SLOT_RULES!$D$14-1)/SLOT_RULES!$E$14)+1)*SLOT_RULES!$E$14</f>
        <v>46350</v>
      </c>
      <c r="P69" s="25">
        <f>SLOT_RULES!$D$15+IF($A69&lt;=SLOT_RULES!$D$15,0,INT(($A69-SLOT_RULES!$D$15-1)/SLOT_RULES!$E$15)+1)*SLOT_RULES!$E$15</f>
        <v>46422</v>
      </c>
      <c r="Q69" s="26">
        <f t="shared" si="8"/>
        <v>4</v>
      </c>
      <c r="R69" s="26">
        <f t="shared" si="9"/>
        <v>90</v>
      </c>
      <c r="S69" s="27" t="str">
        <f t="shared" ref="S69:S93" si="10">IF(AND(COUNT(E69:P69)=10,MIN(E69:P69)&gt;=A69),"PASS","FAIL")</f>
        <v>PASS</v>
      </c>
      <c r="T69" s="27" t="str">
        <f>IF((COUNTIF(LOCAL_REFERENCE!$D69:$O69,E69)+COUNTIF(LOCAL_REFERENCE!$D69:$O69,H69)+COUNTIF(LOCAL_REFERENCE!$D69:$O69,I69)+COUNTIF(LOCAL_REFERENCE!$D69:$O69,J69)+COUNTIF(LOCAL_REFERENCE!$D69:$O69,K69)+COUNTIF(LOCAL_REFERENCE!$D69:$O69,L69)+COUNTIF(LOCAL_REFERENCE!$D69:$O69,M69)+COUNTIF(LOCAL_REFERENCE!$D69:$O69,N69)+COUNTIF(LOCAL_REFERENCE!$D69:$O69,O69)+COUNTIF(LOCAL_REFERENCE!$D69:$O69,P69))=0,"PASS","FAIL")</f>
        <v>PASS</v>
      </c>
      <c r="U69" s="27" t="str">
        <f>IF((COUNTIF(VPS_REFERENCE!$D69:$H69,E69)+COUNTIF(VPS_REFERENCE!$D69:$H69,H69)+COUNTIF(VPS_REFERENCE!$D69:$H69,I69)+COUNTIF(VPS_REFERENCE!$D69:$H69,J69)+COUNTIF(VPS_REFERENCE!$D69:$H69,K69)+COUNTIF(VPS_REFERENCE!$D69:$H69,L69)+COUNTIF(VPS_REFERENCE!$D69:$H69,M69)+COUNTIF(VPS_REFERENCE!$D69:$H69,N69)+COUNTIF(VPS_REFERENCE!$D69:$H69,O69)+COUNTIF(VPS_REFERENCE!$D69:$H69,P69))=0,"PASS","FAIL")</f>
        <v>PASS</v>
      </c>
      <c r="V69" s="27" t="str">
        <f t="shared" ref="V69:V93" si="11">IF(OR(E69=H69,E69=I69,E69=J69,E69=K69,E69=L69,E69=M69,E69=N69,E69=O69,E69=P69,H69=I69,H69=J69,H69=K69,H69=L69,H69=M69,H69=N69,H69=O69,H69=P69,I69=J69,I69=K69,I69=L69,I69=M69,I69=N69,I69=O69,I69=P69,J69=K69,J69=L69,J69=M69,J69=N69,J69=O69,J69=P69,K69=L69,K69=M69,K69=N69,K69=O69,K69=P69,L69=M69,L69=N69,L69=O69,L69=P69,M69=N69,M69=O69,M69=P69,N69=O69,N69=P69,O69=P69),"FAIL","PASS")</f>
        <v>PASS</v>
      </c>
      <c r="W69" s="28" t="str">
        <f>CRAWL_LOG!B69</f>
        <v>Chưa chạy</v>
      </c>
      <c r="X69" s="36" t="s">
        <v>57</v>
      </c>
    </row>
    <row r="70" spans="1:24">
      <c r="A70" s="23">
        <v>46333</v>
      </c>
      <c r="B70" s="24" t="s">
        <v>59</v>
      </c>
      <c r="C70" s="24" t="s">
        <v>54</v>
      </c>
      <c r="D70" s="24" t="s">
        <v>10</v>
      </c>
      <c r="E70" s="25">
        <f>SLOT_RULES!$D$4+IF($A70&lt;=SLOT_RULES!$D$4,0,INT(($A70-SLOT_RULES!$D$4-1)/SLOT_RULES!$E$4)+1)*SLOT_RULES!$E$4</f>
        <v>46353</v>
      </c>
      <c r="F70" s="63"/>
      <c r="G70" s="63"/>
      <c r="H70" s="25">
        <f>SLOT_RULES!$D$7+IF($A70&lt;=SLOT_RULES!$D$7,0,INT(($A70-SLOT_RULES!$D$7-1)/SLOT_RULES!$E$7)+1)*SLOT_RULES!$E$7</f>
        <v>46346</v>
      </c>
      <c r="I70" s="25">
        <f>SLOT_RULES!$D$8+IF($A70&lt;=SLOT_RULES!$D$8,0,INT(($A70-SLOT_RULES!$D$8-1)/SLOT_RULES!$E$8)+1)*SLOT_RULES!$E$8</f>
        <v>46356</v>
      </c>
      <c r="J70" s="25">
        <f>SLOT_RULES!$D$9+IF($A70&lt;=SLOT_RULES!$D$9,0,INT(($A70-SLOT_RULES!$D$9-1)/SLOT_RULES!$E$9)+1)*SLOT_RULES!$E$9</f>
        <v>46342</v>
      </c>
      <c r="K70" s="25">
        <f>SLOT_RULES!$D$10+IF($A70&lt;=SLOT_RULES!$D$10,0,INT(($A70-SLOT_RULES!$D$10-1)/SLOT_RULES!$E$10)+1)*SLOT_RULES!$E$10</f>
        <v>46357</v>
      </c>
      <c r="L70" s="25">
        <f>SLOT_RULES!$D$11+IF($A70&lt;=SLOT_RULES!$D$11,0,INT(($A70-SLOT_RULES!$D$11-1)/SLOT_RULES!$E$11)+1)*SLOT_RULES!$E$11</f>
        <v>46336</v>
      </c>
      <c r="M70" s="25">
        <f>SLOT_RULES!$D$12+IF($A70&lt;=SLOT_RULES!$D$12,0,INT(($A70-SLOT_RULES!$D$12-1)/SLOT_RULES!$E$12)+1)*SLOT_RULES!$E$12</f>
        <v>46341</v>
      </c>
      <c r="N70" s="25">
        <f>SLOT_RULES!$D$13+IF($A70&lt;=SLOT_RULES!$D$13,0,INT(($A70-SLOT_RULES!$D$13-1)/SLOT_RULES!$E$13)+1)*SLOT_RULES!$E$13</f>
        <v>46391</v>
      </c>
      <c r="O70" s="25">
        <f>SLOT_RULES!$D$14+IF($A70&lt;=SLOT_RULES!$D$14,0,INT(($A70-SLOT_RULES!$D$14-1)/SLOT_RULES!$E$14)+1)*SLOT_RULES!$E$14</f>
        <v>46350</v>
      </c>
      <c r="P70" s="25">
        <f>SLOT_RULES!$D$15+IF($A70&lt;=SLOT_RULES!$D$15,0,INT(($A70-SLOT_RULES!$D$15-1)/SLOT_RULES!$E$15)+1)*SLOT_RULES!$E$15</f>
        <v>46422</v>
      </c>
      <c r="Q70" s="26">
        <f t="shared" si="8"/>
        <v>3</v>
      </c>
      <c r="R70" s="26">
        <f t="shared" si="9"/>
        <v>89</v>
      </c>
      <c r="S70" s="27" t="str">
        <f t="shared" si="10"/>
        <v>PASS</v>
      </c>
      <c r="T70" s="27" t="str">
        <f>IF((COUNTIF(LOCAL_REFERENCE!$D70:$O70,E70)+COUNTIF(LOCAL_REFERENCE!$D70:$O70,H70)+COUNTIF(LOCAL_REFERENCE!$D70:$O70,I70)+COUNTIF(LOCAL_REFERENCE!$D70:$O70,J70)+COUNTIF(LOCAL_REFERENCE!$D70:$O70,K70)+COUNTIF(LOCAL_REFERENCE!$D70:$O70,L70)+COUNTIF(LOCAL_REFERENCE!$D70:$O70,M70)+COUNTIF(LOCAL_REFERENCE!$D70:$O70,N70)+COUNTIF(LOCAL_REFERENCE!$D70:$O70,O70)+COUNTIF(LOCAL_REFERENCE!$D70:$O70,P70))=0,"PASS","FAIL")</f>
        <v>PASS</v>
      </c>
      <c r="U70" s="27" t="str">
        <f>IF((COUNTIF(VPS_REFERENCE!$D70:$H70,E70)+COUNTIF(VPS_REFERENCE!$D70:$H70,H70)+COUNTIF(VPS_REFERENCE!$D70:$H70,I70)+COUNTIF(VPS_REFERENCE!$D70:$H70,J70)+COUNTIF(VPS_REFERENCE!$D70:$H70,K70)+COUNTIF(VPS_REFERENCE!$D70:$H70,L70)+COUNTIF(VPS_REFERENCE!$D70:$H70,M70)+COUNTIF(VPS_REFERENCE!$D70:$H70,N70)+COUNTIF(VPS_REFERENCE!$D70:$H70,O70)+COUNTIF(VPS_REFERENCE!$D70:$H70,P70))=0,"PASS","FAIL")</f>
        <v>PASS</v>
      </c>
      <c r="V70" s="27" t="str">
        <f t="shared" si="11"/>
        <v>PASS</v>
      </c>
      <c r="W70" s="28" t="str">
        <f>CRAWL_LOG!B70</f>
        <v>Chưa chạy</v>
      </c>
      <c r="X70" s="36" t="s">
        <v>57</v>
      </c>
    </row>
    <row r="71" spans="1:24">
      <c r="A71" s="23">
        <v>46334</v>
      </c>
      <c r="B71" s="24" t="s">
        <v>60</v>
      </c>
      <c r="C71" s="24" t="s">
        <v>54</v>
      </c>
      <c r="D71" s="24" t="s">
        <v>10</v>
      </c>
      <c r="E71" s="25">
        <f>SLOT_RULES!$D$4+IF($A71&lt;=SLOT_RULES!$D$4,0,INT(($A71-SLOT_RULES!$D$4-1)/SLOT_RULES!$E$4)+1)*SLOT_RULES!$E$4</f>
        <v>46353</v>
      </c>
      <c r="F71" s="63"/>
      <c r="G71" s="63"/>
      <c r="H71" s="25">
        <f>SLOT_RULES!$D$7+IF($A71&lt;=SLOT_RULES!$D$7,0,INT(($A71-SLOT_RULES!$D$7-1)/SLOT_RULES!$E$7)+1)*SLOT_RULES!$E$7</f>
        <v>46346</v>
      </c>
      <c r="I71" s="25">
        <f>SLOT_RULES!$D$8+IF($A71&lt;=SLOT_RULES!$D$8,0,INT(($A71-SLOT_RULES!$D$8-1)/SLOT_RULES!$E$8)+1)*SLOT_RULES!$E$8</f>
        <v>46356</v>
      </c>
      <c r="J71" s="25">
        <f>SLOT_RULES!$D$9+IF($A71&lt;=SLOT_RULES!$D$9,0,INT(($A71-SLOT_RULES!$D$9-1)/SLOT_RULES!$E$9)+1)*SLOT_RULES!$E$9</f>
        <v>46342</v>
      </c>
      <c r="K71" s="25">
        <f>SLOT_RULES!$D$10+IF($A71&lt;=SLOT_RULES!$D$10,0,INT(($A71-SLOT_RULES!$D$10-1)/SLOT_RULES!$E$10)+1)*SLOT_RULES!$E$10</f>
        <v>46357</v>
      </c>
      <c r="L71" s="25">
        <f>SLOT_RULES!$D$11+IF($A71&lt;=SLOT_RULES!$D$11,0,INT(($A71-SLOT_RULES!$D$11-1)/SLOT_RULES!$E$11)+1)*SLOT_RULES!$E$11</f>
        <v>46336</v>
      </c>
      <c r="M71" s="25">
        <f>SLOT_RULES!$D$12+IF($A71&lt;=SLOT_RULES!$D$12,0,INT(($A71-SLOT_RULES!$D$12-1)/SLOT_RULES!$E$12)+1)*SLOT_RULES!$E$12</f>
        <v>46341</v>
      </c>
      <c r="N71" s="25">
        <f>SLOT_RULES!$D$13+IF($A71&lt;=SLOT_RULES!$D$13,0,INT(($A71-SLOT_RULES!$D$13-1)/SLOT_RULES!$E$13)+1)*SLOT_RULES!$E$13</f>
        <v>46391</v>
      </c>
      <c r="O71" s="25">
        <f>SLOT_RULES!$D$14+IF($A71&lt;=SLOT_RULES!$D$14,0,INT(($A71-SLOT_RULES!$D$14-1)/SLOT_RULES!$E$14)+1)*SLOT_RULES!$E$14</f>
        <v>46350</v>
      </c>
      <c r="P71" s="25">
        <f>SLOT_RULES!$D$15+IF($A71&lt;=SLOT_RULES!$D$15,0,INT(($A71-SLOT_RULES!$D$15-1)/SLOT_RULES!$E$15)+1)*SLOT_RULES!$E$15</f>
        <v>46422</v>
      </c>
      <c r="Q71" s="26">
        <f t="shared" si="8"/>
        <v>2</v>
      </c>
      <c r="R71" s="26">
        <f t="shared" si="9"/>
        <v>88</v>
      </c>
      <c r="S71" s="27" t="str">
        <f t="shared" si="10"/>
        <v>PASS</v>
      </c>
      <c r="T71" s="27" t="str">
        <f>IF((COUNTIF(LOCAL_REFERENCE!$D71:$O71,E71)+COUNTIF(LOCAL_REFERENCE!$D71:$O71,H71)+COUNTIF(LOCAL_REFERENCE!$D71:$O71,I71)+COUNTIF(LOCAL_REFERENCE!$D71:$O71,J71)+COUNTIF(LOCAL_REFERENCE!$D71:$O71,K71)+COUNTIF(LOCAL_REFERENCE!$D71:$O71,L71)+COUNTIF(LOCAL_REFERENCE!$D71:$O71,M71)+COUNTIF(LOCAL_REFERENCE!$D71:$O71,N71)+COUNTIF(LOCAL_REFERENCE!$D71:$O71,O71)+COUNTIF(LOCAL_REFERENCE!$D71:$O71,P71))=0,"PASS","FAIL")</f>
        <v>PASS</v>
      </c>
      <c r="U71" s="27" t="str">
        <f>IF((COUNTIF(VPS_REFERENCE!$D71:$H71,E71)+COUNTIF(VPS_REFERENCE!$D71:$H71,H71)+COUNTIF(VPS_REFERENCE!$D71:$H71,I71)+COUNTIF(VPS_REFERENCE!$D71:$H71,J71)+COUNTIF(VPS_REFERENCE!$D71:$H71,K71)+COUNTIF(VPS_REFERENCE!$D71:$H71,L71)+COUNTIF(VPS_REFERENCE!$D71:$H71,M71)+COUNTIF(VPS_REFERENCE!$D71:$H71,N71)+COUNTIF(VPS_REFERENCE!$D71:$H71,O71)+COUNTIF(VPS_REFERENCE!$D71:$H71,P71))=0,"PASS","FAIL")</f>
        <v>PASS</v>
      </c>
      <c r="V71" s="27" t="str">
        <f t="shared" si="11"/>
        <v>PASS</v>
      </c>
      <c r="W71" s="28" t="str">
        <f>CRAWL_LOG!B71</f>
        <v>Chưa chạy</v>
      </c>
      <c r="X71" s="36" t="s">
        <v>57</v>
      </c>
    </row>
    <row r="72" spans="1:24">
      <c r="A72" s="23">
        <v>46335</v>
      </c>
      <c r="B72" s="24" t="s">
        <v>61</v>
      </c>
      <c r="C72" s="24" t="s">
        <v>54</v>
      </c>
      <c r="D72" s="24" t="s">
        <v>10</v>
      </c>
      <c r="E72" s="25">
        <f>SLOT_RULES!$D$4+IF($A72&lt;=SLOT_RULES!$D$4,0,INT(($A72-SLOT_RULES!$D$4-1)/SLOT_RULES!$E$4)+1)*SLOT_RULES!$E$4</f>
        <v>46353</v>
      </c>
      <c r="F72" s="63"/>
      <c r="G72" s="63"/>
      <c r="H72" s="25">
        <f>SLOT_RULES!$D$7+IF($A72&lt;=SLOT_RULES!$D$7,0,INT(($A72-SLOT_RULES!$D$7-1)/SLOT_RULES!$E$7)+1)*SLOT_RULES!$E$7</f>
        <v>46346</v>
      </c>
      <c r="I72" s="25">
        <f>SLOT_RULES!$D$8+IF($A72&lt;=SLOT_RULES!$D$8,0,INT(($A72-SLOT_RULES!$D$8-1)/SLOT_RULES!$E$8)+1)*SLOT_RULES!$E$8</f>
        <v>46356</v>
      </c>
      <c r="J72" s="25">
        <f>SLOT_RULES!$D$9+IF($A72&lt;=SLOT_RULES!$D$9,0,INT(($A72-SLOT_RULES!$D$9-1)/SLOT_RULES!$E$9)+1)*SLOT_RULES!$E$9</f>
        <v>46342</v>
      </c>
      <c r="K72" s="25">
        <f>SLOT_RULES!$D$10+IF($A72&lt;=SLOT_RULES!$D$10,0,INT(($A72-SLOT_RULES!$D$10-1)/SLOT_RULES!$E$10)+1)*SLOT_RULES!$E$10</f>
        <v>46357</v>
      </c>
      <c r="L72" s="25">
        <f>SLOT_RULES!$D$11+IF($A72&lt;=SLOT_RULES!$D$11,0,INT(($A72-SLOT_RULES!$D$11-1)/SLOT_RULES!$E$11)+1)*SLOT_RULES!$E$11</f>
        <v>46336</v>
      </c>
      <c r="M72" s="25">
        <f>SLOT_RULES!$D$12+IF($A72&lt;=SLOT_RULES!$D$12,0,INT(($A72-SLOT_RULES!$D$12-1)/SLOT_RULES!$E$12)+1)*SLOT_RULES!$E$12</f>
        <v>46341</v>
      </c>
      <c r="N72" s="25">
        <f>SLOT_RULES!$D$13+IF($A72&lt;=SLOT_RULES!$D$13,0,INT(($A72-SLOT_RULES!$D$13-1)/SLOT_RULES!$E$13)+1)*SLOT_RULES!$E$13</f>
        <v>46391</v>
      </c>
      <c r="O72" s="25">
        <f>SLOT_RULES!$D$14+IF($A72&lt;=SLOT_RULES!$D$14,0,INT(($A72-SLOT_RULES!$D$14-1)/SLOT_RULES!$E$14)+1)*SLOT_RULES!$E$14</f>
        <v>46350</v>
      </c>
      <c r="P72" s="25">
        <f>SLOT_RULES!$D$15+IF($A72&lt;=SLOT_RULES!$D$15,0,INT(($A72-SLOT_RULES!$D$15-1)/SLOT_RULES!$E$15)+1)*SLOT_RULES!$E$15</f>
        <v>46422</v>
      </c>
      <c r="Q72" s="26">
        <f t="shared" si="8"/>
        <v>1</v>
      </c>
      <c r="R72" s="26">
        <f t="shared" si="9"/>
        <v>87</v>
      </c>
      <c r="S72" s="27" t="str">
        <f t="shared" si="10"/>
        <v>PASS</v>
      </c>
      <c r="T72" s="27" t="str">
        <f>IF((COUNTIF(LOCAL_REFERENCE!$D72:$O72,E72)+COUNTIF(LOCAL_REFERENCE!$D72:$O72,H72)+COUNTIF(LOCAL_REFERENCE!$D72:$O72,I72)+COUNTIF(LOCAL_REFERENCE!$D72:$O72,J72)+COUNTIF(LOCAL_REFERENCE!$D72:$O72,K72)+COUNTIF(LOCAL_REFERENCE!$D72:$O72,L72)+COUNTIF(LOCAL_REFERENCE!$D72:$O72,M72)+COUNTIF(LOCAL_REFERENCE!$D72:$O72,N72)+COUNTIF(LOCAL_REFERENCE!$D72:$O72,O72)+COUNTIF(LOCAL_REFERENCE!$D72:$O72,P72))=0,"PASS","FAIL")</f>
        <v>PASS</v>
      </c>
      <c r="U72" s="27" t="str">
        <f>IF((COUNTIF(VPS_REFERENCE!$D72:$H72,E72)+COUNTIF(VPS_REFERENCE!$D72:$H72,H72)+COUNTIF(VPS_REFERENCE!$D72:$H72,I72)+COUNTIF(VPS_REFERENCE!$D72:$H72,J72)+COUNTIF(VPS_REFERENCE!$D72:$H72,K72)+COUNTIF(VPS_REFERENCE!$D72:$H72,L72)+COUNTIF(VPS_REFERENCE!$D72:$H72,M72)+COUNTIF(VPS_REFERENCE!$D72:$H72,N72)+COUNTIF(VPS_REFERENCE!$D72:$H72,O72)+COUNTIF(VPS_REFERENCE!$D72:$H72,P72))=0,"PASS","FAIL")</f>
        <v>PASS</v>
      </c>
      <c r="V72" s="27" t="str">
        <f t="shared" si="11"/>
        <v>PASS</v>
      </c>
      <c r="W72" s="28" t="str">
        <f>CRAWL_LOG!B72</f>
        <v>Chưa chạy</v>
      </c>
      <c r="X72" s="36" t="s">
        <v>57</v>
      </c>
    </row>
    <row r="73" spans="1:24">
      <c r="A73" s="23">
        <v>46336</v>
      </c>
      <c r="B73" s="24" t="s">
        <v>62</v>
      </c>
      <c r="C73" s="24" t="s">
        <v>54</v>
      </c>
      <c r="D73" s="24" t="s">
        <v>10</v>
      </c>
      <c r="E73" s="25">
        <f>SLOT_RULES!$D$4+IF($A73&lt;=SLOT_RULES!$D$4,0,INT(($A73-SLOT_RULES!$D$4-1)/SLOT_RULES!$E$4)+1)*SLOT_RULES!$E$4</f>
        <v>46353</v>
      </c>
      <c r="F73" s="63"/>
      <c r="G73" s="63"/>
      <c r="H73" s="25">
        <f>SLOT_RULES!$D$7+IF($A73&lt;=SLOT_RULES!$D$7,0,INT(($A73-SLOT_RULES!$D$7-1)/SLOT_RULES!$E$7)+1)*SLOT_RULES!$E$7</f>
        <v>46346</v>
      </c>
      <c r="I73" s="25">
        <f>SLOT_RULES!$D$8+IF($A73&lt;=SLOT_RULES!$D$8,0,INT(($A73-SLOT_RULES!$D$8-1)/SLOT_RULES!$E$8)+1)*SLOT_RULES!$E$8</f>
        <v>46356</v>
      </c>
      <c r="J73" s="25">
        <f>SLOT_RULES!$D$9+IF($A73&lt;=SLOT_RULES!$D$9,0,INT(($A73-SLOT_RULES!$D$9-1)/SLOT_RULES!$E$9)+1)*SLOT_RULES!$E$9</f>
        <v>46342</v>
      </c>
      <c r="K73" s="25">
        <f>SLOT_RULES!$D$10+IF($A73&lt;=SLOT_RULES!$D$10,0,INT(($A73-SLOT_RULES!$D$10-1)/SLOT_RULES!$E$10)+1)*SLOT_RULES!$E$10</f>
        <v>46357</v>
      </c>
      <c r="L73" s="25">
        <f>SLOT_RULES!$D$11+IF($A73&lt;=SLOT_RULES!$D$11,0,INT(($A73-SLOT_RULES!$D$11-1)/SLOT_RULES!$E$11)+1)*SLOT_RULES!$E$11</f>
        <v>46336</v>
      </c>
      <c r="M73" s="25">
        <f>SLOT_RULES!$D$12+IF($A73&lt;=SLOT_RULES!$D$12,0,INT(($A73-SLOT_RULES!$D$12-1)/SLOT_RULES!$E$12)+1)*SLOT_RULES!$E$12</f>
        <v>46341</v>
      </c>
      <c r="N73" s="25">
        <f>SLOT_RULES!$D$13+IF($A73&lt;=SLOT_RULES!$D$13,0,INT(($A73-SLOT_RULES!$D$13-1)/SLOT_RULES!$E$13)+1)*SLOT_RULES!$E$13</f>
        <v>46391</v>
      </c>
      <c r="O73" s="25">
        <f>SLOT_RULES!$D$14+IF($A73&lt;=SLOT_RULES!$D$14,0,INT(($A73-SLOT_RULES!$D$14-1)/SLOT_RULES!$E$14)+1)*SLOT_RULES!$E$14</f>
        <v>46350</v>
      </c>
      <c r="P73" s="25">
        <f>SLOT_RULES!$D$15+IF($A73&lt;=SLOT_RULES!$D$15,0,INT(($A73-SLOT_RULES!$D$15-1)/SLOT_RULES!$E$15)+1)*SLOT_RULES!$E$15</f>
        <v>46422</v>
      </c>
      <c r="Q73" s="26">
        <f t="shared" si="8"/>
        <v>0</v>
      </c>
      <c r="R73" s="26">
        <f t="shared" si="9"/>
        <v>86</v>
      </c>
      <c r="S73" s="27" t="str">
        <f t="shared" si="10"/>
        <v>PASS</v>
      </c>
      <c r="T73" s="27" t="str">
        <f>IF((COUNTIF(LOCAL_REFERENCE!$D73:$O73,E73)+COUNTIF(LOCAL_REFERENCE!$D73:$O73,H73)+COUNTIF(LOCAL_REFERENCE!$D73:$O73,I73)+COUNTIF(LOCAL_REFERENCE!$D73:$O73,J73)+COUNTIF(LOCAL_REFERENCE!$D73:$O73,K73)+COUNTIF(LOCAL_REFERENCE!$D73:$O73,L73)+COUNTIF(LOCAL_REFERENCE!$D73:$O73,M73)+COUNTIF(LOCAL_REFERENCE!$D73:$O73,N73)+COUNTIF(LOCAL_REFERENCE!$D73:$O73,O73)+COUNTIF(LOCAL_REFERENCE!$D73:$O73,P73))=0,"PASS","FAIL")</f>
        <v>PASS</v>
      </c>
      <c r="U73" s="27" t="str">
        <f>IF((COUNTIF(VPS_REFERENCE!$D73:$H73,E73)+COUNTIF(VPS_REFERENCE!$D73:$H73,H73)+COUNTIF(VPS_REFERENCE!$D73:$H73,I73)+COUNTIF(VPS_REFERENCE!$D73:$H73,J73)+COUNTIF(VPS_REFERENCE!$D73:$H73,K73)+COUNTIF(VPS_REFERENCE!$D73:$H73,L73)+COUNTIF(VPS_REFERENCE!$D73:$H73,M73)+COUNTIF(VPS_REFERENCE!$D73:$H73,N73)+COUNTIF(VPS_REFERENCE!$D73:$H73,O73)+COUNTIF(VPS_REFERENCE!$D73:$H73,P73))=0,"PASS","FAIL")</f>
        <v>PASS</v>
      </c>
      <c r="V73" s="27" t="str">
        <f t="shared" si="11"/>
        <v>PASS</v>
      </c>
      <c r="W73" s="28" t="str">
        <f>CRAWL_LOG!B73</f>
        <v>Chưa chạy</v>
      </c>
      <c r="X73" s="36" t="s">
        <v>57</v>
      </c>
    </row>
    <row r="74" spans="1:24">
      <c r="A74" s="23">
        <v>46337</v>
      </c>
      <c r="B74" s="24" t="s">
        <v>53</v>
      </c>
      <c r="C74" s="24" t="s">
        <v>54</v>
      </c>
      <c r="D74" s="24" t="s">
        <v>10</v>
      </c>
      <c r="E74" s="25">
        <f>SLOT_RULES!$D$4+IF($A74&lt;=SLOT_RULES!$D$4,0,INT(($A74-SLOT_RULES!$D$4-1)/SLOT_RULES!$E$4)+1)*SLOT_RULES!$E$4</f>
        <v>46353</v>
      </c>
      <c r="F74" s="63"/>
      <c r="G74" s="63"/>
      <c r="H74" s="25">
        <f>SLOT_RULES!$D$7+IF($A74&lt;=SLOT_RULES!$D$7,0,INT(($A74-SLOT_RULES!$D$7-1)/SLOT_RULES!$E$7)+1)*SLOT_RULES!$E$7</f>
        <v>46346</v>
      </c>
      <c r="I74" s="25">
        <f>SLOT_RULES!$D$8+IF($A74&lt;=SLOT_RULES!$D$8,0,INT(($A74-SLOT_RULES!$D$8-1)/SLOT_RULES!$E$8)+1)*SLOT_RULES!$E$8</f>
        <v>46356</v>
      </c>
      <c r="J74" s="25">
        <f>SLOT_RULES!$D$9+IF($A74&lt;=SLOT_RULES!$D$9,0,INT(($A74-SLOT_RULES!$D$9-1)/SLOT_RULES!$E$9)+1)*SLOT_RULES!$E$9</f>
        <v>46342</v>
      </c>
      <c r="K74" s="25">
        <f>SLOT_RULES!$D$10+IF($A74&lt;=SLOT_RULES!$D$10,0,INT(($A74-SLOT_RULES!$D$10-1)/SLOT_RULES!$E$10)+1)*SLOT_RULES!$E$10</f>
        <v>46357</v>
      </c>
      <c r="L74" s="25">
        <f>SLOT_RULES!$D$11+IF($A74&lt;=SLOT_RULES!$D$11,0,INT(($A74-SLOT_RULES!$D$11-1)/SLOT_RULES!$E$11)+1)*SLOT_RULES!$E$11</f>
        <v>46364</v>
      </c>
      <c r="M74" s="25">
        <f>SLOT_RULES!$D$12+IF($A74&lt;=SLOT_RULES!$D$12,0,INT(($A74-SLOT_RULES!$D$12-1)/SLOT_RULES!$E$12)+1)*SLOT_RULES!$E$12</f>
        <v>46341</v>
      </c>
      <c r="N74" s="25">
        <f>SLOT_RULES!$D$13+IF($A74&lt;=SLOT_RULES!$D$13,0,INT(($A74-SLOT_RULES!$D$13-1)/SLOT_RULES!$E$13)+1)*SLOT_RULES!$E$13</f>
        <v>46391</v>
      </c>
      <c r="O74" s="25">
        <f>SLOT_RULES!$D$14+IF($A74&lt;=SLOT_RULES!$D$14,0,INT(($A74-SLOT_RULES!$D$14-1)/SLOT_RULES!$E$14)+1)*SLOT_RULES!$E$14</f>
        <v>46350</v>
      </c>
      <c r="P74" s="25">
        <f>SLOT_RULES!$D$15+IF($A74&lt;=SLOT_RULES!$D$15,0,INT(($A74-SLOT_RULES!$D$15-1)/SLOT_RULES!$E$15)+1)*SLOT_RULES!$E$15</f>
        <v>46422</v>
      </c>
      <c r="Q74" s="26">
        <f t="shared" si="8"/>
        <v>4</v>
      </c>
      <c r="R74" s="26">
        <f t="shared" si="9"/>
        <v>85</v>
      </c>
      <c r="S74" s="27" t="str">
        <f t="shared" si="10"/>
        <v>PASS</v>
      </c>
      <c r="T74" s="27" t="str">
        <f>IF((COUNTIF(LOCAL_REFERENCE!$D74:$O74,E74)+COUNTIF(LOCAL_REFERENCE!$D74:$O74,H74)+COUNTIF(LOCAL_REFERENCE!$D74:$O74,I74)+COUNTIF(LOCAL_REFERENCE!$D74:$O74,J74)+COUNTIF(LOCAL_REFERENCE!$D74:$O74,K74)+COUNTIF(LOCAL_REFERENCE!$D74:$O74,L74)+COUNTIF(LOCAL_REFERENCE!$D74:$O74,M74)+COUNTIF(LOCAL_REFERENCE!$D74:$O74,N74)+COUNTIF(LOCAL_REFERENCE!$D74:$O74,O74)+COUNTIF(LOCAL_REFERENCE!$D74:$O74,P74))=0,"PASS","FAIL")</f>
        <v>PASS</v>
      </c>
      <c r="U74" s="27" t="str">
        <f>IF((COUNTIF(VPS_REFERENCE!$D74:$H74,E74)+COUNTIF(VPS_REFERENCE!$D74:$H74,H74)+COUNTIF(VPS_REFERENCE!$D74:$H74,I74)+COUNTIF(VPS_REFERENCE!$D74:$H74,J74)+COUNTIF(VPS_REFERENCE!$D74:$H74,K74)+COUNTIF(VPS_REFERENCE!$D74:$H74,L74)+COUNTIF(VPS_REFERENCE!$D74:$H74,M74)+COUNTIF(VPS_REFERENCE!$D74:$H74,N74)+COUNTIF(VPS_REFERENCE!$D74:$H74,O74)+COUNTIF(VPS_REFERENCE!$D74:$H74,P74))=0,"PASS","FAIL")</f>
        <v>PASS</v>
      </c>
      <c r="V74" s="27" t="str">
        <f t="shared" si="11"/>
        <v>PASS</v>
      </c>
      <c r="W74" s="28" t="str">
        <f>CRAWL_LOG!B74</f>
        <v>Chưa chạy</v>
      </c>
      <c r="X74" s="36" t="s">
        <v>57</v>
      </c>
    </row>
    <row r="75" spans="1:24">
      <c r="A75" s="23">
        <v>46338</v>
      </c>
      <c r="B75" s="24" t="s">
        <v>56</v>
      </c>
      <c r="C75" s="24" t="s">
        <v>54</v>
      </c>
      <c r="D75" s="24" t="s">
        <v>10</v>
      </c>
      <c r="E75" s="25">
        <f>SLOT_RULES!$D$4+IF($A75&lt;=SLOT_RULES!$D$4,0,INT(($A75-SLOT_RULES!$D$4-1)/SLOT_RULES!$E$4)+1)*SLOT_RULES!$E$4</f>
        <v>46353</v>
      </c>
      <c r="F75" s="63"/>
      <c r="G75" s="63"/>
      <c r="H75" s="25">
        <f>SLOT_RULES!$D$7+IF($A75&lt;=SLOT_RULES!$D$7,0,INT(($A75-SLOT_RULES!$D$7-1)/SLOT_RULES!$E$7)+1)*SLOT_RULES!$E$7</f>
        <v>46346</v>
      </c>
      <c r="I75" s="25">
        <f>SLOT_RULES!$D$8+IF($A75&lt;=SLOT_RULES!$D$8,0,INT(($A75-SLOT_RULES!$D$8-1)/SLOT_RULES!$E$8)+1)*SLOT_RULES!$E$8</f>
        <v>46356</v>
      </c>
      <c r="J75" s="25">
        <f>SLOT_RULES!$D$9+IF($A75&lt;=SLOT_RULES!$D$9,0,INT(($A75-SLOT_RULES!$D$9-1)/SLOT_RULES!$E$9)+1)*SLOT_RULES!$E$9</f>
        <v>46342</v>
      </c>
      <c r="K75" s="25">
        <f>SLOT_RULES!$D$10+IF($A75&lt;=SLOT_RULES!$D$10,0,INT(($A75-SLOT_RULES!$D$10-1)/SLOT_RULES!$E$10)+1)*SLOT_RULES!$E$10</f>
        <v>46357</v>
      </c>
      <c r="L75" s="25">
        <f>SLOT_RULES!$D$11+IF($A75&lt;=SLOT_RULES!$D$11,0,INT(($A75-SLOT_RULES!$D$11-1)/SLOT_RULES!$E$11)+1)*SLOT_RULES!$E$11</f>
        <v>46364</v>
      </c>
      <c r="M75" s="25">
        <f>SLOT_RULES!$D$12+IF($A75&lt;=SLOT_RULES!$D$12,0,INT(($A75-SLOT_RULES!$D$12-1)/SLOT_RULES!$E$12)+1)*SLOT_RULES!$E$12</f>
        <v>46341</v>
      </c>
      <c r="N75" s="25">
        <f>SLOT_RULES!$D$13+IF($A75&lt;=SLOT_RULES!$D$13,0,INT(($A75-SLOT_RULES!$D$13-1)/SLOT_RULES!$E$13)+1)*SLOT_RULES!$E$13</f>
        <v>46391</v>
      </c>
      <c r="O75" s="25">
        <f>SLOT_RULES!$D$14+IF($A75&lt;=SLOT_RULES!$D$14,0,INT(($A75-SLOT_RULES!$D$14-1)/SLOT_RULES!$E$14)+1)*SLOT_RULES!$E$14</f>
        <v>46350</v>
      </c>
      <c r="P75" s="25">
        <f>SLOT_RULES!$D$15+IF($A75&lt;=SLOT_RULES!$D$15,0,INT(($A75-SLOT_RULES!$D$15-1)/SLOT_RULES!$E$15)+1)*SLOT_RULES!$E$15</f>
        <v>46422</v>
      </c>
      <c r="Q75" s="26">
        <f t="shared" si="8"/>
        <v>3</v>
      </c>
      <c r="R75" s="26">
        <f t="shared" si="9"/>
        <v>84</v>
      </c>
      <c r="S75" s="27" t="str">
        <f t="shared" si="10"/>
        <v>PASS</v>
      </c>
      <c r="T75" s="27" t="str">
        <f>IF((COUNTIF(LOCAL_REFERENCE!$D75:$O75,E75)+COUNTIF(LOCAL_REFERENCE!$D75:$O75,H75)+COUNTIF(LOCAL_REFERENCE!$D75:$O75,I75)+COUNTIF(LOCAL_REFERENCE!$D75:$O75,J75)+COUNTIF(LOCAL_REFERENCE!$D75:$O75,K75)+COUNTIF(LOCAL_REFERENCE!$D75:$O75,L75)+COUNTIF(LOCAL_REFERENCE!$D75:$O75,M75)+COUNTIF(LOCAL_REFERENCE!$D75:$O75,N75)+COUNTIF(LOCAL_REFERENCE!$D75:$O75,O75)+COUNTIF(LOCAL_REFERENCE!$D75:$O75,P75))=0,"PASS","FAIL")</f>
        <v>PASS</v>
      </c>
      <c r="U75" s="27" t="str">
        <f>IF((COUNTIF(VPS_REFERENCE!$D75:$H75,E75)+COUNTIF(VPS_REFERENCE!$D75:$H75,H75)+COUNTIF(VPS_REFERENCE!$D75:$H75,I75)+COUNTIF(VPS_REFERENCE!$D75:$H75,J75)+COUNTIF(VPS_REFERENCE!$D75:$H75,K75)+COUNTIF(VPS_REFERENCE!$D75:$H75,L75)+COUNTIF(VPS_REFERENCE!$D75:$H75,M75)+COUNTIF(VPS_REFERENCE!$D75:$H75,N75)+COUNTIF(VPS_REFERENCE!$D75:$H75,O75)+COUNTIF(VPS_REFERENCE!$D75:$H75,P75))=0,"PASS","FAIL")</f>
        <v>PASS</v>
      </c>
      <c r="V75" s="27" t="str">
        <f t="shared" si="11"/>
        <v>PASS</v>
      </c>
      <c r="W75" s="28" t="str">
        <f>CRAWL_LOG!B75</f>
        <v>Chưa chạy</v>
      </c>
      <c r="X75" s="36" t="s">
        <v>57</v>
      </c>
    </row>
    <row r="76" spans="1:24">
      <c r="A76" s="23">
        <v>46339</v>
      </c>
      <c r="B76" s="24" t="s">
        <v>58</v>
      </c>
      <c r="C76" s="24" t="s">
        <v>54</v>
      </c>
      <c r="D76" s="24" t="s">
        <v>10</v>
      </c>
      <c r="E76" s="25">
        <f>SLOT_RULES!$D$4+IF($A76&lt;=SLOT_RULES!$D$4,0,INT(($A76-SLOT_RULES!$D$4-1)/SLOT_RULES!$E$4)+1)*SLOT_RULES!$E$4</f>
        <v>46353</v>
      </c>
      <c r="F76" s="63"/>
      <c r="G76" s="63"/>
      <c r="H76" s="25">
        <f>SLOT_RULES!$D$7+IF($A76&lt;=SLOT_RULES!$D$7,0,INT(($A76-SLOT_RULES!$D$7-1)/SLOT_RULES!$E$7)+1)*SLOT_RULES!$E$7</f>
        <v>46346</v>
      </c>
      <c r="I76" s="25">
        <f>SLOT_RULES!$D$8+IF($A76&lt;=SLOT_RULES!$D$8,0,INT(($A76-SLOT_RULES!$D$8-1)/SLOT_RULES!$E$8)+1)*SLOT_RULES!$E$8</f>
        <v>46356</v>
      </c>
      <c r="J76" s="25">
        <f>SLOT_RULES!$D$9+IF($A76&lt;=SLOT_RULES!$D$9,0,INT(($A76-SLOT_RULES!$D$9-1)/SLOT_RULES!$E$9)+1)*SLOT_RULES!$E$9</f>
        <v>46342</v>
      </c>
      <c r="K76" s="25">
        <f>SLOT_RULES!$D$10+IF($A76&lt;=SLOT_RULES!$D$10,0,INT(($A76-SLOT_RULES!$D$10-1)/SLOT_RULES!$E$10)+1)*SLOT_RULES!$E$10</f>
        <v>46357</v>
      </c>
      <c r="L76" s="25">
        <f>SLOT_RULES!$D$11+IF($A76&lt;=SLOT_RULES!$D$11,0,INT(($A76-SLOT_RULES!$D$11-1)/SLOT_RULES!$E$11)+1)*SLOT_RULES!$E$11</f>
        <v>46364</v>
      </c>
      <c r="M76" s="25">
        <f>SLOT_RULES!$D$12+IF($A76&lt;=SLOT_RULES!$D$12,0,INT(($A76-SLOT_RULES!$D$12-1)/SLOT_RULES!$E$12)+1)*SLOT_RULES!$E$12</f>
        <v>46341</v>
      </c>
      <c r="N76" s="25">
        <f>SLOT_RULES!$D$13+IF($A76&lt;=SLOT_RULES!$D$13,0,INT(($A76-SLOT_RULES!$D$13-1)/SLOT_RULES!$E$13)+1)*SLOT_RULES!$E$13</f>
        <v>46391</v>
      </c>
      <c r="O76" s="25">
        <f>SLOT_RULES!$D$14+IF($A76&lt;=SLOT_RULES!$D$14,0,INT(($A76-SLOT_RULES!$D$14-1)/SLOT_RULES!$E$14)+1)*SLOT_RULES!$E$14</f>
        <v>46350</v>
      </c>
      <c r="P76" s="25">
        <f>SLOT_RULES!$D$15+IF($A76&lt;=SLOT_RULES!$D$15,0,INT(($A76-SLOT_RULES!$D$15-1)/SLOT_RULES!$E$15)+1)*SLOT_RULES!$E$15</f>
        <v>46422</v>
      </c>
      <c r="Q76" s="26">
        <f t="shared" si="8"/>
        <v>2</v>
      </c>
      <c r="R76" s="26">
        <f t="shared" si="9"/>
        <v>83</v>
      </c>
      <c r="S76" s="27" t="str">
        <f t="shared" si="10"/>
        <v>PASS</v>
      </c>
      <c r="T76" s="27" t="str">
        <f>IF((COUNTIF(LOCAL_REFERENCE!$D76:$O76,E76)+COUNTIF(LOCAL_REFERENCE!$D76:$O76,H76)+COUNTIF(LOCAL_REFERENCE!$D76:$O76,I76)+COUNTIF(LOCAL_REFERENCE!$D76:$O76,J76)+COUNTIF(LOCAL_REFERENCE!$D76:$O76,K76)+COUNTIF(LOCAL_REFERENCE!$D76:$O76,L76)+COUNTIF(LOCAL_REFERENCE!$D76:$O76,M76)+COUNTIF(LOCAL_REFERENCE!$D76:$O76,N76)+COUNTIF(LOCAL_REFERENCE!$D76:$O76,O76)+COUNTIF(LOCAL_REFERENCE!$D76:$O76,P76))=0,"PASS","FAIL")</f>
        <v>PASS</v>
      </c>
      <c r="U76" s="27" t="str">
        <f>IF((COUNTIF(VPS_REFERENCE!$D76:$H76,E76)+COUNTIF(VPS_REFERENCE!$D76:$H76,H76)+COUNTIF(VPS_REFERENCE!$D76:$H76,I76)+COUNTIF(VPS_REFERENCE!$D76:$H76,J76)+COUNTIF(VPS_REFERENCE!$D76:$H76,K76)+COUNTIF(VPS_REFERENCE!$D76:$H76,L76)+COUNTIF(VPS_REFERENCE!$D76:$H76,M76)+COUNTIF(VPS_REFERENCE!$D76:$H76,N76)+COUNTIF(VPS_REFERENCE!$D76:$H76,O76)+COUNTIF(VPS_REFERENCE!$D76:$H76,P76))=0,"PASS","FAIL")</f>
        <v>PASS</v>
      </c>
      <c r="V76" s="27" t="str">
        <f t="shared" si="11"/>
        <v>PASS</v>
      </c>
      <c r="W76" s="28" t="str">
        <f>CRAWL_LOG!B76</f>
        <v>Chưa chạy</v>
      </c>
      <c r="X76" s="36" t="s">
        <v>57</v>
      </c>
    </row>
    <row r="77" spans="1:24">
      <c r="A77" s="23">
        <v>46340</v>
      </c>
      <c r="B77" s="24" t="s">
        <v>59</v>
      </c>
      <c r="C77" s="24" t="s">
        <v>54</v>
      </c>
      <c r="D77" s="24" t="s">
        <v>10</v>
      </c>
      <c r="E77" s="25">
        <f>SLOT_RULES!$D$4+IF($A77&lt;=SLOT_RULES!$D$4,0,INT(($A77-SLOT_RULES!$D$4-1)/SLOT_RULES!$E$4)+1)*SLOT_RULES!$E$4</f>
        <v>46353</v>
      </c>
      <c r="F77" s="63"/>
      <c r="G77" s="63"/>
      <c r="H77" s="25">
        <f>SLOT_RULES!$D$7+IF($A77&lt;=SLOT_RULES!$D$7,0,INT(($A77-SLOT_RULES!$D$7-1)/SLOT_RULES!$E$7)+1)*SLOT_RULES!$E$7</f>
        <v>46346</v>
      </c>
      <c r="I77" s="25">
        <f>SLOT_RULES!$D$8+IF($A77&lt;=SLOT_RULES!$D$8,0,INT(($A77-SLOT_RULES!$D$8-1)/SLOT_RULES!$E$8)+1)*SLOT_RULES!$E$8</f>
        <v>46356</v>
      </c>
      <c r="J77" s="25">
        <f>SLOT_RULES!$D$9+IF($A77&lt;=SLOT_RULES!$D$9,0,INT(($A77-SLOT_RULES!$D$9-1)/SLOT_RULES!$E$9)+1)*SLOT_RULES!$E$9</f>
        <v>46342</v>
      </c>
      <c r="K77" s="25">
        <f>SLOT_RULES!$D$10+IF($A77&lt;=SLOT_RULES!$D$10,0,INT(($A77-SLOT_RULES!$D$10-1)/SLOT_RULES!$E$10)+1)*SLOT_RULES!$E$10</f>
        <v>46357</v>
      </c>
      <c r="L77" s="25">
        <f>SLOT_RULES!$D$11+IF($A77&lt;=SLOT_RULES!$D$11,0,INT(($A77-SLOT_RULES!$D$11-1)/SLOT_RULES!$E$11)+1)*SLOT_RULES!$E$11</f>
        <v>46364</v>
      </c>
      <c r="M77" s="25">
        <f>SLOT_RULES!$D$12+IF($A77&lt;=SLOT_RULES!$D$12,0,INT(($A77-SLOT_RULES!$D$12-1)/SLOT_RULES!$E$12)+1)*SLOT_RULES!$E$12</f>
        <v>46341</v>
      </c>
      <c r="N77" s="25">
        <f>SLOT_RULES!$D$13+IF($A77&lt;=SLOT_RULES!$D$13,0,INT(($A77-SLOT_RULES!$D$13-1)/SLOT_RULES!$E$13)+1)*SLOT_RULES!$E$13</f>
        <v>46391</v>
      </c>
      <c r="O77" s="25">
        <f>SLOT_RULES!$D$14+IF($A77&lt;=SLOT_RULES!$D$14,0,INT(($A77-SLOT_RULES!$D$14-1)/SLOT_RULES!$E$14)+1)*SLOT_RULES!$E$14</f>
        <v>46350</v>
      </c>
      <c r="P77" s="25">
        <f>SLOT_RULES!$D$15+IF($A77&lt;=SLOT_RULES!$D$15,0,INT(($A77-SLOT_RULES!$D$15-1)/SLOT_RULES!$E$15)+1)*SLOT_RULES!$E$15</f>
        <v>46422</v>
      </c>
      <c r="Q77" s="26">
        <f t="shared" si="8"/>
        <v>1</v>
      </c>
      <c r="R77" s="26">
        <f t="shared" si="9"/>
        <v>82</v>
      </c>
      <c r="S77" s="27" t="str">
        <f t="shared" si="10"/>
        <v>PASS</v>
      </c>
      <c r="T77" s="27" t="str">
        <f>IF((COUNTIF(LOCAL_REFERENCE!$D77:$O77,E77)+COUNTIF(LOCAL_REFERENCE!$D77:$O77,H77)+COUNTIF(LOCAL_REFERENCE!$D77:$O77,I77)+COUNTIF(LOCAL_REFERENCE!$D77:$O77,J77)+COUNTIF(LOCAL_REFERENCE!$D77:$O77,K77)+COUNTIF(LOCAL_REFERENCE!$D77:$O77,L77)+COUNTIF(LOCAL_REFERENCE!$D77:$O77,M77)+COUNTIF(LOCAL_REFERENCE!$D77:$O77,N77)+COUNTIF(LOCAL_REFERENCE!$D77:$O77,O77)+COUNTIF(LOCAL_REFERENCE!$D77:$O77,P77))=0,"PASS","FAIL")</f>
        <v>PASS</v>
      </c>
      <c r="U77" s="27" t="str">
        <f>IF((COUNTIF(VPS_REFERENCE!$D77:$H77,E77)+COUNTIF(VPS_REFERENCE!$D77:$H77,H77)+COUNTIF(VPS_REFERENCE!$D77:$H77,I77)+COUNTIF(VPS_REFERENCE!$D77:$H77,J77)+COUNTIF(VPS_REFERENCE!$D77:$H77,K77)+COUNTIF(VPS_REFERENCE!$D77:$H77,L77)+COUNTIF(VPS_REFERENCE!$D77:$H77,M77)+COUNTIF(VPS_REFERENCE!$D77:$H77,N77)+COUNTIF(VPS_REFERENCE!$D77:$H77,O77)+COUNTIF(VPS_REFERENCE!$D77:$H77,P77))=0,"PASS","FAIL")</f>
        <v>PASS</v>
      </c>
      <c r="V77" s="27" t="str">
        <f t="shared" si="11"/>
        <v>PASS</v>
      </c>
      <c r="W77" s="28" t="str">
        <f>CRAWL_LOG!B77</f>
        <v>Chưa chạy</v>
      </c>
      <c r="X77" s="36" t="s">
        <v>57</v>
      </c>
    </row>
    <row r="78" spans="1:24">
      <c r="A78" s="23">
        <v>46341</v>
      </c>
      <c r="B78" s="24" t="s">
        <v>60</v>
      </c>
      <c r="C78" s="24" t="s">
        <v>54</v>
      </c>
      <c r="D78" s="24" t="s">
        <v>10</v>
      </c>
      <c r="E78" s="25">
        <f>SLOT_RULES!$D$4+IF($A78&lt;=SLOT_RULES!$D$4,0,INT(($A78-SLOT_RULES!$D$4-1)/SLOT_RULES!$E$4)+1)*SLOT_RULES!$E$4</f>
        <v>46353</v>
      </c>
      <c r="F78" s="63"/>
      <c r="G78" s="63"/>
      <c r="H78" s="25">
        <f>SLOT_RULES!$D$7+IF($A78&lt;=SLOT_RULES!$D$7,0,INT(($A78-SLOT_RULES!$D$7-1)/SLOT_RULES!$E$7)+1)*SLOT_RULES!$E$7</f>
        <v>46346</v>
      </c>
      <c r="I78" s="25">
        <f>SLOT_RULES!$D$8+IF($A78&lt;=SLOT_RULES!$D$8,0,INT(($A78-SLOT_RULES!$D$8-1)/SLOT_RULES!$E$8)+1)*SLOT_RULES!$E$8</f>
        <v>46356</v>
      </c>
      <c r="J78" s="25">
        <f>SLOT_RULES!$D$9+IF($A78&lt;=SLOT_RULES!$D$9,0,INT(($A78-SLOT_RULES!$D$9-1)/SLOT_RULES!$E$9)+1)*SLOT_RULES!$E$9</f>
        <v>46342</v>
      </c>
      <c r="K78" s="25">
        <f>SLOT_RULES!$D$10+IF($A78&lt;=SLOT_RULES!$D$10,0,INT(($A78-SLOT_RULES!$D$10-1)/SLOT_RULES!$E$10)+1)*SLOT_RULES!$E$10</f>
        <v>46357</v>
      </c>
      <c r="L78" s="25">
        <f>SLOT_RULES!$D$11+IF($A78&lt;=SLOT_RULES!$D$11,0,INT(($A78-SLOT_RULES!$D$11-1)/SLOT_RULES!$E$11)+1)*SLOT_RULES!$E$11</f>
        <v>46364</v>
      </c>
      <c r="M78" s="25">
        <f>SLOT_RULES!$D$12+IF($A78&lt;=SLOT_RULES!$D$12,0,INT(($A78-SLOT_RULES!$D$12-1)/SLOT_RULES!$E$12)+1)*SLOT_RULES!$E$12</f>
        <v>46341</v>
      </c>
      <c r="N78" s="25">
        <f>SLOT_RULES!$D$13+IF($A78&lt;=SLOT_RULES!$D$13,0,INT(($A78-SLOT_RULES!$D$13-1)/SLOT_RULES!$E$13)+1)*SLOT_RULES!$E$13</f>
        <v>46391</v>
      </c>
      <c r="O78" s="25">
        <f>SLOT_RULES!$D$14+IF($A78&lt;=SLOT_RULES!$D$14,0,INT(($A78-SLOT_RULES!$D$14-1)/SLOT_RULES!$E$14)+1)*SLOT_RULES!$E$14</f>
        <v>46350</v>
      </c>
      <c r="P78" s="25">
        <f>SLOT_RULES!$D$15+IF($A78&lt;=SLOT_RULES!$D$15,0,INT(($A78-SLOT_RULES!$D$15-1)/SLOT_RULES!$E$15)+1)*SLOT_RULES!$E$15</f>
        <v>46422</v>
      </c>
      <c r="Q78" s="26">
        <f t="shared" si="8"/>
        <v>0</v>
      </c>
      <c r="R78" s="26">
        <f t="shared" si="9"/>
        <v>81</v>
      </c>
      <c r="S78" s="27" t="str">
        <f t="shared" si="10"/>
        <v>PASS</v>
      </c>
      <c r="T78" s="27" t="str">
        <f>IF((COUNTIF(LOCAL_REFERENCE!$D78:$O78,E78)+COUNTIF(LOCAL_REFERENCE!$D78:$O78,H78)+COUNTIF(LOCAL_REFERENCE!$D78:$O78,I78)+COUNTIF(LOCAL_REFERENCE!$D78:$O78,J78)+COUNTIF(LOCAL_REFERENCE!$D78:$O78,K78)+COUNTIF(LOCAL_REFERENCE!$D78:$O78,L78)+COUNTIF(LOCAL_REFERENCE!$D78:$O78,M78)+COUNTIF(LOCAL_REFERENCE!$D78:$O78,N78)+COUNTIF(LOCAL_REFERENCE!$D78:$O78,O78)+COUNTIF(LOCAL_REFERENCE!$D78:$O78,P78))=0,"PASS","FAIL")</f>
        <v>PASS</v>
      </c>
      <c r="U78" s="27" t="str">
        <f>IF((COUNTIF(VPS_REFERENCE!$D78:$H78,E78)+COUNTIF(VPS_REFERENCE!$D78:$H78,H78)+COUNTIF(VPS_REFERENCE!$D78:$H78,I78)+COUNTIF(VPS_REFERENCE!$D78:$H78,J78)+COUNTIF(VPS_REFERENCE!$D78:$H78,K78)+COUNTIF(VPS_REFERENCE!$D78:$H78,L78)+COUNTIF(VPS_REFERENCE!$D78:$H78,M78)+COUNTIF(VPS_REFERENCE!$D78:$H78,N78)+COUNTIF(VPS_REFERENCE!$D78:$H78,O78)+COUNTIF(VPS_REFERENCE!$D78:$H78,P78))=0,"PASS","FAIL")</f>
        <v>PASS</v>
      </c>
      <c r="V78" s="27" t="str">
        <f t="shared" si="11"/>
        <v>PASS</v>
      </c>
      <c r="W78" s="28" t="str">
        <f>CRAWL_LOG!B78</f>
        <v>Chưa chạy</v>
      </c>
      <c r="X78" s="36" t="s">
        <v>57</v>
      </c>
    </row>
    <row r="79" spans="1:24">
      <c r="A79" s="23">
        <v>46342</v>
      </c>
      <c r="B79" s="24" t="s">
        <v>61</v>
      </c>
      <c r="C79" s="24" t="s">
        <v>54</v>
      </c>
      <c r="D79" s="24" t="s">
        <v>10</v>
      </c>
      <c r="E79" s="25">
        <f>SLOT_RULES!$D$4+IF($A79&lt;=SLOT_RULES!$D$4,0,INT(($A79-SLOT_RULES!$D$4-1)/SLOT_RULES!$E$4)+1)*SLOT_RULES!$E$4</f>
        <v>46353</v>
      </c>
      <c r="F79" s="63"/>
      <c r="G79" s="63"/>
      <c r="H79" s="25">
        <f>SLOT_RULES!$D$7+IF($A79&lt;=SLOT_RULES!$D$7,0,INT(($A79-SLOT_RULES!$D$7-1)/SLOT_RULES!$E$7)+1)*SLOT_RULES!$E$7</f>
        <v>46346</v>
      </c>
      <c r="I79" s="25">
        <f>SLOT_RULES!$D$8+IF($A79&lt;=SLOT_RULES!$D$8,0,INT(($A79-SLOT_RULES!$D$8-1)/SLOT_RULES!$E$8)+1)*SLOT_RULES!$E$8</f>
        <v>46356</v>
      </c>
      <c r="J79" s="25">
        <f>SLOT_RULES!$D$9+IF($A79&lt;=SLOT_RULES!$D$9,0,INT(($A79-SLOT_RULES!$D$9-1)/SLOT_RULES!$E$9)+1)*SLOT_RULES!$E$9</f>
        <v>46342</v>
      </c>
      <c r="K79" s="25">
        <f>SLOT_RULES!$D$10+IF($A79&lt;=SLOT_RULES!$D$10,0,INT(($A79-SLOT_RULES!$D$10-1)/SLOT_RULES!$E$10)+1)*SLOT_RULES!$E$10</f>
        <v>46357</v>
      </c>
      <c r="L79" s="25">
        <f>SLOT_RULES!$D$11+IF($A79&lt;=SLOT_RULES!$D$11,0,INT(($A79-SLOT_RULES!$D$11-1)/SLOT_RULES!$E$11)+1)*SLOT_RULES!$E$11</f>
        <v>46364</v>
      </c>
      <c r="M79" s="25">
        <f>SLOT_RULES!$D$12+IF($A79&lt;=SLOT_RULES!$D$12,0,INT(($A79-SLOT_RULES!$D$12-1)/SLOT_RULES!$E$12)+1)*SLOT_RULES!$E$12</f>
        <v>46369</v>
      </c>
      <c r="N79" s="25">
        <f>SLOT_RULES!$D$13+IF($A79&lt;=SLOT_RULES!$D$13,0,INT(($A79-SLOT_RULES!$D$13-1)/SLOT_RULES!$E$13)+1)*SLOT_RULES!$E$13</f>
        <v>46391</v>
      </c>
      <c r="O79" s="25">
        <f>SLOT_RULES!$D$14+IF($A79&lt;=SLOT_RULES!$D$14,0,INT(($A79-SLOT_RULES!$D$14-1)/SLOT_RULES!$E$14)+1)*SLOT_RULES!$E$14</f>
        <v>46350</v>
      </c>
      <c r="P79" s="25">
        <f>SLOT_RULES!$D$15+IF($A79&lt;=SLOT_RULES!$D$15,0,INT(($A79-SLOT_RULES!$D$15-1)/SLOT_RULES!$E$15)+1)*SLOT_RULES!$E$15</f>
        <v>46422</v>
      </c>
      <c r="Q79" s="26">
        <f t="shared" si="8"/>
        <v>0</v>
      </c>
      <c r="R79" s="26">
        <f t="shared" si="9"/>
        <v>80</v>
      </c>
      <c r="S79" s="27" t="str">
        <f t="shared" si="10"/>
        <v>PASS</v>
      </c>
      <c r="T79" s="27" t="str">
        <f>IF((COUNTIF(LOCAL_REFERENCE!$D79:$O79,E79)+COUNTIF(LOCAL_REFERENCE!$D79:$O79,H79)+COUNTIF(LOCAL_REFERENCE!$D79:$O79,I79)+COUNTIF(LOCAL_REFERENCE!$D79:$O79,J79)+COUNTIF(LOCAL_REFERENCE!$D79:$O79,K79)+COUNTIF(LOCAL_REFERENCE!$D79:$O79,L79)+COUNTIF(LOCAL_REFERENCE!$D79:$O79,M79)+COUNTIF(LOCAL_REFERENCE!$D79:$O79,N79)+COUNTIF(LOCAL_REFERENCE!$D79:$O79,O79)+COUNTIF(LOCAL_REFERENCE!$D79:$O79,P79))=0,"PASS","FAIL")</f>
        <v>PASS</v>
      </c>
      <c r="U79" s="27" t="str">
        <f>IF((COUNTIF(VPS_REFERENCE!$D79:$H79,E79)+COUNTIF(VPS_REFERENCE!$D79:$H79,H79)+COUNTIF(VPS_REFERENCE!$D79:$H79,I79)+COUNTIF(VPS_REFERENCE!$D79:$H79,J79)+COUNTIF(VPS_REFERENCE!$D79:$H79,K79)+COUNTIF(VPS_REFERENCE!$D79:$H79,L79)+COUNTIF(VPS_REFERENCE!$D79:$H79,M79)+COUNTIF(VPS_REFERENCE!$D79:$H79,N79)+COUNTIF(VPS_REFERENCE!$D79:$H79,O79)+COUNTIF(VPS_REFERENCE!$D79:$H79,P79))=0,"PASS","FAIL")</f>
        <v>PASS</v>
      </c>
      <c r="V79" s="27" t="str">
        <f t="shared" si="11"/>
        <v>PASS</v>
      </c>
      <c r="W79" s="28" t="str">
        <f>CRAWL_LOG!B79</f>
        <v>Chưa chạy</v>
      </c>
      <c r="X79" s="36" t="s">
        <v>57</v>
      </c>
    </row>
    <row r="80" spans="1:24">
      <c r="A80" s="23">
        <v>46343</v>
      </c>
      <c r="B80" s="24" t="s">
        <v>62</v>
      </c>
      <c r="C80" s="24" t="s">
        <v>54</v>
      </c>
      <c r="D80" s="24" t="s">
        <v>10</v>
      </c>
      <c r="E80" s="25">
        <f>SLOT_RULES!$D$4+IF($A80&lt;=SLOT_RULES!$D$4,0,INT(($A80-SLOT_RULES!$D$4-1)/SLOT_RULES!$E$4)+1)*SLOT_RULES!$E$4</f>
        <v>46353</v>
      </c>
      <c r="F80" s="63"/>
      <c r="G80" s="63"/>
      <c r="H80" s="25">
        <f>SLOT_RULES!$D$7+IF($A80&lt;=SLOT_RULES!$D$7,0,INT(($A80-SLOT_RULES!$D$7-1)/SLOT_RULES!$E$7)+1)*SLOT_RULES!$E$7</f>
        <v>46346</v>
      </c>
      <c r="I80" s="25">
        <f>SLOT_RULES!$D$8+IF($A80&lt;=SLOT_RULES!$D$8,0,INT(($A80-SLOT_RULES!$D$8-1)/SLOT_RULES!$E$8)+1)*SLOT_RULES!$E$8</f>
        <v>46356</v>
      </c>
      <c r="J80" s="25">
        <f>SLOT_RULES!$D$9+IF($A80&lt;=SLOT_RULES!$D$9,0,INT(($A80-SLOT_RULES!$D$9-1)/SLOT_RULES!$E$9)+1)*SLOT_RULES!$E$9</f>
        <v>46370</v>
      </c>
      <c r="K80" s="25">
        <f>SLOT_RULES!$D$10+IF($A80&lt;=SLOT_RULES!$D$10,0,INT(($A80-SLOT_RULES!$D$10-1)/SLOT_RULES!$E$10)+1)*SLOT_RULES!$E$10</f>
        <v>46357</v>
      </c>
      <c r="L80" s="25">
        <f>SLOT_RULES!$D$11+IF($A80&lt;=SLOT_RULES!$D$11,0,INT(($A80-SLOT_RULES!$D$11-1)/SLOT_RULES!$E$11)+1)*SLOT_RULES!$E$11</f>
        <v>46364</v>
      </c>
      <c r="M80" s="25">
        <f>SLOT_RULES!$D$12+IF($A80&lt;=SLOT_RULES!$D$12,0,INT(($A80-SLOT_RULES!$D$12-1)/SLOT_RULES!$E$12)+1)*SLOT_RULES!$E$12</f>
        <v>46369</v>
      </c>
      <c r="N80" s="25">
        <f>SLOT_RULES!$D$13+IF($A80&lt;=SLOT_RULES!$D$13,0,INT(($A80-SLOT_RULES!$D$13-1)/SLOT_RULES!$E$13)+1)*SLOT_RULES!$E$13</f>
        <v>46391</v>
      </c>
      <c r="O80" s="25">
        <f>SLOT_RULES!$D$14+IF($A80&lt;=SLOT_RULES!$D$14,0,INT(($A80-SLOT_RULES!$D$14-1)/SLOT_RULES!$E$14)+1)*SLOT_RULES!$E$14</f>
        <v>46350</v>
      </c>
      <c r="P80" s="25">
        <f>SLOT_RULES!$D$15+IF($A80&lt;=SLOT_RULES!$D$15,0,INT(($A80-SLOT_RULES!$D$15-1)/SLOT_RULES!$E$15)+1)*SLOT_RULES!$E$15</f>
        <v>46422</v>
      </c>
      <c r="Q80" s="26">
        <f t="shared" si="8"/>
        <v>3</v>
      </c>
      <c r="R80" s="26">
        <f t="shared" si="9"/>
        <v>79</v>
      </c>
      <c r="S80" s="27" t="str">
        <f t="shared" si="10"/>
        <v>PASS</v>
      </c>
      <c r="T80" s="27" t="str">
        <f>IF((COUNTIF(LOCAL_REFERENCE!$D80:$O80,E80)+COUNTIF(LOCAL_REFERENCE!$D80:$O80,H80)+COUNTIF(LOCAL_REFERENCE!$D80:$O80,I80)+COUNTIF(LOCAL_REFERENCE!$D80:$O80,J80)+COUNTIF(LOCAL_REFERENCE!$D80:$O80,K80)+COUNTIF(LOCAL_REFERENCE!$D80:$O80,L80)+COUNTIF(LOCAL_REFERENCE!$D80:$O80,M80)+COUNTIF(LOCAL_REFERENCE!$D80:$O80,N80)+COUNTIF(LOCAL_REFERENCE!$D80:$O80,O80)+COUNTIF(LOCAL_REFERENCE!$D80:$O80,P80))=0,"PASS","FAIL")</f>
        <v>PASS</v>
      </c>
      <c r="U80" s="27" t="str">
        <f>IF((COUNTIF(VPS_REFERENCE!$D80:$H80,E80)+COUNTIF(VPS_REFERENCE!$D80:$H80,H80)+COUNTIF(VPS_REFERENCE!$D80:$H80,I80)+COUNTIF(VPS_REFERENCE!$D80:$H80,J80)+COUNTIF(VPS_REFERENCE!$D80:$H80,K80)+COUNTIF(VPS_REFERENCE!$D80:$H80,L80)+COUNTIF(VPS_REFERENCE!$D80:$H80,M80)+COUNTIF(VPS_REFERENCE!$D80:$H80,N80)+COUNTIF(VPS_REFERENCE!$D80:$H80,O80)+COUNTIF(VPS_REFERENCE!$D80:$H80,P80))=0,"PASS","FAIL")</f>
        <v>PASS</v>
      </c>
      <c r="V80" s="27" t="str">
        <f t="shared" si="11"/>
        <v>PASS</v>
      </c>
      <c r="W80" s="28" t="str">
        <f>CRAWL_LOG!B80</f>
        <v>Chưa chạy</v>
      </c>
      <c r="X80" s="36" t="s">
        <v>57</v>
      </c>
    </row>
    <row r="81" spans="1:24">
      <c r="A81" s="23">
        <v>46344</v>
      </c>
      <c r="B81" s="24" t="s">
        <v>53</v>
      </c>
      <c r="C81" s="24" t="s">
        <v>54</v>
      </c>
      <c r="D81" s="24" t="s">
        <v>10</v>
      </c>
      <c r="E81" s="25">
        <f>SLOT_RULES!$D$4+IF($A81&lt;=SLOT_RULES!$D$4,0,INT(($A81-SLOT_RULES!$D$4-1)/SLOT_RULES!$E$4)+1)*SLOT_RULES!$E$4</f>
        <v>46353</v>
      </c>
      <c r="F81" s="63"/>
      <c r="G81" s="63"/>
      <c r="H81" s="25">
        <f>SLOT_RULES!$D$7+IF($A81&lt;=SLOT_RULES!$D$7,0,INT(($A81-SLOT_RULES!$D$7-1)/SLOT_RULES!$E$7)+1)*SLOT_RULES!$E$7</f>
        <v>46346</v>
      </c>
      <c r="I81" s="25">
        <f>SLOT_RULES!$D$8+IF($A81&lt;=SLOT_RULES!$D$8,0,INT(($A81-SLOT_RULES!$D$8-1)/SLOT_RULES!$E$8)+1)*SLOT_RULES!$E$8</f>
        <v>46356</v>
      </c>
      <c r="J81" s="25">
        <f>SLOT_RULES!$D$9+IF($A81&lt;=SLOT_RULES!$D$9,0,INT(($A81-SLOT_RULES!$D$9-1)/SLOT_RULES!$E$9)+1)*SLOT_RULES!$E$9</f>
        <v>46370</v>
      </c>
      <c r="K81" s="25">
        <f>SLOT_RULES!$D$10+IF($A81&lt;=SLOT_RULES!$D$10,0,INT(($A81-SLOT_RULES!$D$10-1)/SLOT_RULES!$E$10)+1)*SLOT_RULES!$E$10</f>
        <v>46357</v>
      </c>
      <c r="L81" s="25">
        <f>SLOT_RULES!$D$11+IF($A81&lt;=SLOT_RULES!$D$11,0,INT(($A81-SLOT_RULES!$D$11-1)/SLOT_RULES!$E$11)+1)*SLOT_RULES!$E$11</f>
        <v>46364</v>
      </c>
      <c r="M81" s="25">
        <f>SLOT_RULES!$D$12+IF($A81&lt;=SLOT_RULES!$D$12,0,INT(($A81-SLOT_RULES!$D$12-1)/SLOT_RULES!$E$12)+1)*SLOT_RULES!$E$12</f>
        <v>46369</v>
      </c>
      <c r="N81" s="25">
        <f>SLOT_RULES!$D$13+IF($A81&lt;=SLOT_RULES!$D$13,0,INT(($A81-SLOT_RULES!$D$13-1)/SLOT_RULES!$E$13)+1)*SLOT_RULES!$E$13</f>
        <v>46391</v>
      </c>
      <c r="O81" s="25">
        <f>SLOT_RULES!$D$14+IF($A81&lt;=SLOT_RULES!$D$14,0,INT(($A81-SLOT_RULES!$D$14-1)/SLOT_RULES!$E$14)+1)*SLOT_RULES!$E$14</f>
        <v>46350</v>
      </c>
      <c r="P81" s="25">
        <f>SLOT_RULES!$D$15+IF($A81&lt;=SLOT_RULES!$D$15,0,INT(($A81-SLOT_RULES!$D$15-1)/SLOT_RULES!$E$15)+1)*SLOT_RULES!$E$15</f>
        <v>46422</v>
      </c>
      <c r="Q81" s="26">
        <f t="shared" si="8"/>
        <v>2</v>
      </c>
      <c r="R81" s="26">
        <f t="shared" si="9"/>
        <v>78</v>
      </c>
      <c r="S81" s="27" t="str">
        <f t="shared" si="10"/>
        <v>PASS</v>
      </c>
      <c r="T81" s="27" t="str">
        <f>IF((COUNTIF(LOCAL_REFERENCE!$D81:$O81,E81)+COUNTIF(LOCAL_REFERENCE!$D81:$O81,H81)+COUNTIF(LOCAL_REFERENCE!$D81:$O81,I81)+COUNTIF(LOCAL_REFERENCE!$D81:$O81,J81)+COUNTIF(LOCAL_REFERENCE!$D81:$O81,K81)+COUNTIF(LOCAL_REFERENCE!$D81:$O81,L81)+COUNTIF(LOCAL_REFERENCE!$D81:$O81,M81)+COUNTIF(LOCAL_REFERENCE!$D81:$O81,N81)+COUNTIF(LOCAL_REFERENCE!$D81:$O81,O81)+COUNTIF(LOCAL_REFERENCE!$D81:$O81,P81))=0,"PASS","FAIL")</f>
        <v>PASS</v>
      </c>
      <c r="U81" s="27" t="str">
        <f>IF((COUNTIF(VPS_REFERENCE!$D81:$H81,E81)+COUNTIF(VPS_REFERENCE!$D81:$H81,H81)+COUNTIF(VPS_REFERENCE!$D81:$H81,I81)+COUNTIF(VPS_REFERENCE!$D81:$H81,J81)+COUNTIF(VPS_REFERENCE!$D81:$H81,K81)+COUNTIF(VPS_REFERENCE!$D81:$H81,L81)+COUNTIF(VPS_REFERENCE!$D81:$H81,M81)+COUNTIF(VPS_REFERENCE!$D81:$H81,N81)+COUNTIF(VPS_REFERENCE!$D81:$H81,O81)+COUNTIF(VPS_REFERENCE!$D81:$H81,P81))=0,"PASS","FAIL")</f>
        <v>PASS</v>
      </c>
      <c r="V81" s="27" t="str">
        <f t="shared" si="11"/>
        <v>PASS</v>
      </c>
      <c r="W81" s="28" t="str">
        <f>CRAWL_LOG!B81</f>
        <v>Chưa chạy</v>
      </c>
      <c r="X81" s="36" t="s">
        <v>57</v>
      </c>
    </row>
    <row r="82" spans="1:24">
      <c r="A82" s="23">
        <v>46345</v>
      </c>
      <c r="B82" s="24" t="s">
        <v>56</v>
      </c>
      <c r="C82" s="24" t="s">
        <v>54</v>
      </c>
      <c r="D82" s="24" t="s">
        <v>10</v>
      </c>
      <c r="E82" s="25">
        <f>SLOT_RULES!$D$4+IF($A82&lt;=SLOT_RULES!$D$4,0,INT(($A82-SLOT_RULES!$D$4-1)/SLOT_RULES!$E$4)+1)*SLOT_RULES!$E$4</f>
        <v>46353</v>
      </c>
      <c r="F82" s="63"/>
      <c r="G82" s="63"/>
      <c r="H82" s="25">
        <f>SLOT_RULES!$D$7+IF($A82&lt;=SLOT_RULES!$D$7,0,INT(($A82-SLOT_RULES!$D$7-1)/SLOT_RULES!$E$7)+1)*SLOT_RULES!$E$7</f>
        <v>46346</v>
      </c>
      <c r="I82" s="25">
        <f>SLOT_RULES!$D$8+IF($A82&lt;=SLOT_RULES!$D$8,0,INT(($A82-SLOT_RULES!$D$8-1)/SLOT_RULES!$E$8)+1)*SLOT_RULES!$E$8</f>
        <v>46356</v>
      </c>
      <c r="J82" s="25">
        <f>SLOT_RULES!$D$9+IF($A82&lt;=SLOT_RULES!$D$9,0,INT(($A82-SLOT_RULES!$D$9-1)/SLOT_RULES!$E$9)+1)*SLOT_RULES!$E$9</f>
        <v>46370</v>
      </c>
      <c r="K82" s="25">
        <f>SLOT_RULES!$D$10+IF($A82&lt;=SLOT_RULES!$D$10,0,INT(($A82-SLOT_RULES!$D$10-1)/SLOT_RULES!$E$10)+1)*SLOT_RULES!$E$10</f>
        <v>46357</v>
      </c>
      <c r="L82" s="25">
        <f>SLOT_RULES!$D$11+IF($A82&lt;=SLOT_RULES!$D$11,0,INT(($A82-SLOT_RULES!$D$11-1)/SLOT_RULES!$E$11)+1)*SLOT_RULES!$E$11</f>
        <v>46364</v>
      </c>
      <c r="M82" s="25">
        <f>SLOT_RULES!$D$12+IF($A82&lt;=SLOT_RULES!$D$12,0,INT(($A82-SLOT_RULES!$D$12-1)/SLOT_RULES!$E$12)+1)*SLOT_RULES!$E$12</f>
        <v>46369</v>
      </c>
      <c r="N82" s="25">
        <f>SLOT_RULES!$D$13+IF($A82&lt;=SLOT_RULES!$D$13,0,INT(($A82-SLOT_RULES!$D$13-1)/SLOT_RULES!$E$13)+1)*SLOT_RULES!$E$13</f>
        <v>46391</v>
      </c>
      <c r="O82" s="25">
        <f>SLOT_RULES!$D$14+IF($A82&lt;=SLOT_RULES!$D$14,0,INT(($A82-SLOT_RULES!$D$14-1)/SLOT_RULES!$E$14)+1)*SLOT_RULES!$E$14</f>
        <v>46350</v>
      </c>
      <c r="P82" s="25">
        <f>SLOT_RULES!$D$15+IF($A82&lt;=SLOT_RULES!$D$15,0,INT(($A82-SLOT_RULES!$D$15-1)/SLOT_RULES!$E$15)+1)*SLOT_RULES!$E$15</f>
        <v>46422</v>
      </c>
      <c r="Q82" s="26">
        <f t="shared" si="8"/>
        <v>1</v>
      </c>
      <c r="R82" s="26">
        <f t="shared" si="9"/>
        <v>77</v>
      </c>
      <c r="S82" s="27" t="str">
        <f t="shared" si="10"/>
        <v>PASS</v>
      </c>
      <c r="T82" s="27" t="str">
        <f>IF((COUNTIF(LOCAL_REFERENCE!$D82:$O82,E82)+COUNTIF(LOCAL_REFERENCE!$D82:$O82,H82)+COUNTIF(LOCAL_REFERENCE!$D82:$O82,I82)+COUNTIF(LOCAL_REFERENCE!$D82:$O82,J82)+COUNTIF(LOCAL_REFERENCE!$D82:$O82,K82)+COUNTIF(LOCAL_REFERENCE!$D82:$O82,L82)+COUNTIF(LOCAL_REFERENCE!$D82:$O82,M82)+COUNTIF(LOCAL_REFERENCE!$D82:$O82,N82)+COUNTIF(LOCAL_REFERENCE!$D82:$O82,O82)+COUNTIF(LOCAL_REFERENCE!$D82:$O82,P82))=0,"PASS","FAIL")</f>
        <v>PASS</v>
      </c>
      <c r="U82" s="27" t="str">
        <f>IF((COUNTIF(VPS_REFERENCE!$D82:$H82,E82)+COUNTIF(VPS_REFERENCE!$D82:$H82,H82)+COUNTIF(VPS_REFERENCE!$D82:$H82,I82)+COUNTIF(VPS_REFERENCE!$D82:$H82,J82)+COUNTIF(VPS_REFERENCE!$D82:$H82,K82)+COUNTIF(VPS_REFERENCE!$D82:$H82,L82)+COUNTIF(VPS_REFERENCE!$D82:$H82,M82)+COUNTIF(VPS_REFERENCE!$D82:$H82,N82)+COUNTIF(VPS_REFERENCE!$D82:$H82,O82)+COUNTIF(VPS_REFERENCE!$D82:$H82,P82))=0,"PASS","FAIL")</f>
        <v>PASS</v>
      </c>
      <c r="V82" s="27" t="str">
        <f t="shared" si="11"/>
        <v>PASS</v>
      </c>
      <c r="W82" s="28" t="str">
        <f>CRAWL_LOG!B82</f>
        <v>Chưa chạy</v>
      </c>
      <c r="X82" s="36" t="s">
        <v>57</v>
      </c>
    </row>
    <row r="83" spans="1:24">
      <c r="A83" s="23">
        <v>46346</v>
      </c>
      <c r="B83" s="24" t="s">
        <v>58</v>
      </c>
      <c r="C83" s="24" t="s">
        <v>54</v>
      </c>
      <c r="D83" s="24" t="s">
        <v>10</v>
      </c>
      <c r="E83" s="25">
        <f>SLOT_RULES!$D$4+IF($A83&lt;=SLOT_RULES!$D$4,0,INT(($A83-SLOT_RULES!$D$4-1)/SLOT_RULES!$E$4)+1)*SLOT_RULES!$E$4</f>
        <v>46353</v>
      </c>
      <c r="F83" s="63"/>
      <c r="G83" s="63"/>
      <c r="H83" s="25">
        <f>SLOT_RULES!$D$7+IF($A83&lt;=SLOT_RULES!$D$7,0,INT(($A83-SLOT_RULES!$D$7-1)/SLOT_RULES!$E$7)+1)*SLOT_RULES!$E$7</f>
        <v>46346</v>
      </c>
      <c r="I83" s="25">
        <f>SLOT_RULES!$D$8+IF($A83&lt;=SLOT_RULES!$D$8,0,INT(($A83-SLOT_RULES!$D$8-1)/SLOT_RULES!$E$8)+1)*SLOT_RULES!$E$8</f>
        <v>46356</v>
      </c>
      <c r="J83" s="25">
        <f>SLOT_RULES!$D$9+IF($A83&lt;=SLOT_RULES!$D$9,0,INT(($A83-SLOT_RULES!$D$9-1)/SLOT_RULES!$E$9)+1)*SLOT_RULES!$E$9</f>
        <v>46370</v>
      </c>
      <c r="K83" s="25">
        <f>SLOT_RULES!$D$10+IF($A83&lt;=SLOT_RULES!$D$10,0,INT(($A83-SLOT_RULES!$D$10-1)/SLOT_RULES!$E$10)+1)*SLOT_RULES!$E$10</f>
        <v>46357</v>
      </c>
      <c r="L83" s="25">
        <f>SLOT_RULES!$D$11+IF($A83&lt;=SLOT_RULES!$D$11,0,INT(($A83-SLOT_RULES!$D$11-1)/SLOT_RULES!$E$11)+1)*SLOT_RULES!$E$11</f>
        <v>46364</v>
      </c>
      <c r="M83" s="25">
        <f>SLOT_RULES!$D$12+IF($A83&lt;=SLOT_RULES!$D$12,0,INT(($A83-SLOT_RULES!$D$12-1)/SLOT_RULES!$E$12)+1)*SLOT_RULES!$E$12</f>
        <v>46369</v>
      </c>
      <c r="N83" s="25">
        <f>SLOT_RULES!$D$13+IF($A83&lt;=SLOT_RULES!$D$13,0,INT(($A83-SLOT_RULES!$D$13-1)/SLOT_RULES!$E$13)+1)*SLOT_RULES!$E$13</f>
        <v>46391</v>
      </c>
      <c r="O83" s="25">
        <f>SLOT_RULES!$D$14+IF($A83&lt;=SLOT_RULES!$D$14,0,INT(($A83-SLOT_RULES!$D$14-1)/SLOT_RULES!$E$14)+1)*SLOT_RULES!$E$14</f>
        <v>46350</v>
      </c>
      <c r="P83" s="25">
        <f>SLOT_RULES!$D$15+IF($A83&lt;=SLOT_RULES!$D$15,0,INT(($A83-SLOT_RULES!$D$15-1)/SLOT_RULES!$E$15)+1)*SLOT_RULES!$E$15</f>
        <v>46422</v>
      </c>
      <c r="Q83" s="26">
        <f t="shared" si="8"/>
        <v>0</v>
      </c>
      <c r="R83" s="26">
        <f t="shared" si="9"/>
        <v>76</v>
      </c>
      <c r="S83" s="27" t="str">
        <f t="shared" si="10"/>
        <v>PASS</v>
      </c>
      <c r="T83" s="27" t="str">
        <f>IF((COUNTIF(LOCAL_REFERENCE!$D83:$O83,E83)+COUNTIF(LOCAL_REFERENCE!$D83:$O83,H83)+COUNTIF(LOCAL_REFERENCE!$D83:$O83,I83)+COUNTIF(LOCAL_REFERENCE!$D83:$O83,J83)+COUNTIF(LOCAL_REFERENCE!$D83:$O83,K83)+COUNTIF(LOCAL_REFERENCE!$D83:$O83,L83)+COUNTIF(LOCAL_REFERENCE!$D83:$O83,M83)+COUNTIF(LOCAL_REFERENCE!$D83:$O83,N83)+COUNTIF(LOCAL_REFERENCE!$D83:$O83,O83)+COUNTIF(LOCAL_REFERENCE!$D83:$O83,P83))=0,"PASS","FAIL")</f>
        <v>PASS</v>
      </c>
      <c r="U83" s="27" t="str">
        <f>IF((COUNTIF(VPS_REFERENCE!$D83:$H83,E83)+COUNTIF(VPS_REFERENCE!$D83:$H83,H83)+COUNTIF(VPS_REFERENCE!$D83:$H83,I83)+COUNTIF(VPS_REFERENCE!$D83:$H83,J83)+COUNTIF(VPS_REFERENCE!$D83:$H83,K83)+COUNTIF(VPS_REFERENCE!$D83:$H83,L83)+COUNTIF(VPS_REFERENCE!$D83:$H83,M83)+COUNTIF(VPS_REFERENCE!$D83:$H83,N83)+COUNTIF(VPS_REFERENCE!$D83:$H83,O83)+COUNTIF(VPS_REFERENCE!$D83:$H83,P83))=0,"PASS","FAIL")</f>
        <v>PASS</v>
      </c>
      <c r="V83" s="27" t="str">
        <f t="shared" si="11"/>
        <v>PASS</v>
      </c>
      <c r="W83" s="28" t="str">
        <f>CRAWL_LOG!B83</f>
        <v>Chưa chạy</v>
      </c>
      <c r="X83" s="36" t="s">
        <v>57</v>
      </c>
    </row>
    <row r="84" spans="1:24">
      <c r="A84" s="23">
        <v>46347</v>
      </c>
      <c r="B84" s="24" t="s">
        <v>59</v>
      </c>
      <c r="C84" s="24" t="s">
        <v>54</v>
      </c>
      <c r="D84" s="24" t="s">
        <v>10</v>
      </c>
      <c r="E84" s="25">
        <f>SLOT_RULES!$D$4+IF($A84&lt;=SLOT_RULES!$D$4,0,INT(($A84-SLOT_RULES!$D$4-1)/SLOT_RULES!$E$4)+1)*SLOT_RULES!$E$4</f>
        <v>46353</v>
      </c>
      <c r="F84" s="63"/>
      <c r="G84" s="63"/>
      <c r="H84" s="25">
        <f>SLOT_RULES!$D$7+IF($A84&lt;=SLOT_RULES!$D$7,0,INT(($A84-SLOT_RULES!$D$7-1)/SLOT_RULES!$E$7)+1)*SLOT_RULES!$E$7</f>
        <v>46374</v>
      </c>
      <c r="I84" s="25">
        <f>SLOT_RULES!$D$8+IF($A84&lt;=SLOT_RULES!$D$8,0,INT(($A84-SLOT_RULES!$D$8-1)/SLOT_RULES!$E$8)+1)*SLOT_RULES!$E$8</f>
        <v>46356</v>
      </c>
      <c r="J84" s="25">
        <f>SLOT_RULES!$D$9+IF($A84&lt;=SLOT_RULES!$D$9,0,INT(($A84-SLOT_RULES!$D$9-1)/SLOT_RULES!$E$9)+1)*SLOT_RULES!$E$9</f>
        <v>46370</v>
      </c>
      <c r="K84" s="25">
        <f>SLOT_RULES!$D$10+IF($A84&lt;=SLOT_RULES!$D$10,0,INT(($A84-SLOT_RULES!$D$10-1)/SLOT_RULES!$E$10)+1)*SLOT_RULES!$E$10</f>
        <v>46357</v>
      </c>
      <c r="L84" s="25">
        <f>SLOT_RULES!$D$11+IF($A84&lt;=SLOT_RULES!$D$11,0,INT(($A84-SLOT_RULES!$D$11-1)/SLOT_RULES!$E$11)+1)*SLOT_RULES!$E$11</f>
        <v>46364</v>
      </c>
      <c r="M84" s="25">
        <f>SLOT_RULES!$D$12+IF($A84&lt;=SLOT_RULES!$D$12,0,INT(($A84-SLOT_RULES!$D$12-1)/SLOT_RULES!$E$12)+1)*SLOT_RULES!$E$12</f>
        <v>46369</v>
      </c>
      <c r="N84" s="25">
        <f>SLOT_RULES!$D$13+IF($A84&lt;=SLOT_RULES!$D$13,0,INT(($A84-SLOT_RULES!$D$13-1)/SLOT_RULES!$E$13)+1)*SLOT_RULES!$E$13</f>
        <v>46391</v>
      </c>
      <c r="O84" s="25">
        <f>SLOT_RULES!$D$14+IF($A84&lt;=SLOT_RULES!$D$14,0,INT(($A84-SLOT_RULES!$D$14-1)/SLOT_RULES!$E$14)+1)*SLOT_RULES!$E$14</f>
        <v>46350</v>
      </c>
      <c r="P84" s="25">
        <f>SLOT_RULES!$D$15+IF($A84&lt;=SLOT_RULES!$D$15,0,INT(($A84-SLOT_RULES!$D$15-1)/SLOT_RULES!$E$15)+1)*SLOT_RULES!$E$15</f>
        <v>46422</v>
      </c>
      <c r="Q84" s="26">
        <f t="shared" si="8"/>
        <v>3</v>
      </c>
      <c r="R84" s="26">
        <f t="shared" si="9"/>
        <v>75</v>
      </c>
      <c r="S84" s="27" t="str">
        <f t="shared" si="10"/>
        <v>PASS</v>
      </c>
      <c r="T84" s="27" t="str">
        <f>IF((COUNTIF(LOCAL_REFERENCE!$D84:$O84,E84)+COUNTIF(LOCAL_REFERENCE!$D84:$O84,H84)+COUNTIF(LOCAL_REFERENCE!$D84:$O84,I84)+COUNTIF(LOCAL_REFERENCE!$D84:$O84,J84)+COUNTIF(LOCAL_REFERENCE!$D84:$O84,K84)+COUNTIF(LOCAL_REFERENCE!$D84:$O84,L84)+COUNTIF(LOCAL_REFERENCE!$D84:$O84,M84)+COUNTIF(LOCAL_REFERENCE!$D84:$O84,N84)+COUNTIF(LOCAL_REFERENCE!$D84:$O84,O84)+COUNTIF(LOCAL_REFERENCE!$D84:$O84,P84))=0,"PASS","FAIL")</f>
        <v>PASS</v>
      </c>
      <c r="U84" s="27" t="str">
        <f>IF((COUNTIF(VPS_REFERENCE!$D84:$H84,E84)+COUNTIF(VPS_REFERENCE!$D84:$H84,H84)+COUNTIF(VPS_REFERENCE!$D84:$H84,I84)+COUNTIF(VPS_REFERENCE!$D84:$H84,J84)+COUNTIF(VPS_REFERENCE!$D84:$H84,K84)+COUNTIF(VPS_REFERENCE!$D84:$H84,L84)+COUNTIF(VPS_REFERENCE!$D84:$H84,M84)+COUNTIF(VPS_REFERENCE!$D84:$H84,N84)+COUNTIF(VPS_REFERENCE!$D84:$H84,O84)+COUNTIF(VPS_REFERENCE!$D84:$H84,P84))=0,"PASS","FAIL")</f>
        <v>PASS</v>
      </c>
      <c r="V84" s="27" t="str">
        <f t="shared" si="11"/>
        <v>PASS</v>
      </c>
      <c r="W84" s="28" t="str">
        <f>CRAWL_LOG!B84</f>
        <v>Chưa chạy</v>
      </c>
      <c r="X84" s="36" t="s">
        <v>57</v>
      </c>
    </row>
    <row r="85" spans="1:24">
      <c r="A85" s="23">
        <v>46348</v>
      </c>
      <c r="B85" s="24" t="s">
        <v>60</v>
      </c>
      <c r="C85" s="24" t="s">
        <v>54</v>
      </c>
      <c r="D85" s="24" t="s">
        <v>10</v>
      </c>
      <c r="E85" s="25">
        <f>SLOT_RULES!$D$4+IF($A85&lt;=SLOT_RULES!$D$4,0,INT(($A85-SLOT_RULES!$D$4-1)/SLOT_RULES!$E$4)+1)*SLOT_RULES!$E$4</f>
        <v>46353</v>
      </c>
      <c r="F85" s="63"/>
      <c r="G85" s="63"/>
      <c r="H85" s="25">
        <f>SLOT_RULES!$D$7+IF($A85&lt;=SLOT_RULES!$D$7,0,INT(($A85-SLOT_RULES!$D$7-1)/SLOT_RULES!$E$7)+1)*SLOT_RULES!$E$7</f>
        <v>46374</v>
      </c>
      <c r="I85" s="25">
        <f>SLOT_RULES!$D$8+IF($A85&lt;=SLOT_RULES!$D$8,0,INT(($A85-SLOT_RULES!$D$8-1)/SLOT_RULES!$E$8)+1)*SLOT_RULES!$E$8</f>
        <v>46356</v>
      </c>
      <c r="J85" s="25">
        <f>SLOT_RULES!$D$9+IF($A85&lt;=SLOT_RULES!$D$9,0,INT(($A85-SLOT_RULES!$D$9-1)/SLOT_RULES!$E$9)+1)*SLOT_RULES!$E$9</f>
        <v>46370</v>
      </c>
      <c r="K85" s="25">
        <f>SLOT_RULES!$D$10+IF($A85&lt;=SLOT_RULES!$D$10,0,INT(($A85-SLOT_RULES!$D$10-1)/SLOT_RULES!$E$10)+1)*SLOT_RULES!$E$10</f>
        <v>46357</v>
      </c>
      <c r="L85" s="25">
        <f>SLOT_RULES!$D$11+IF($A85&lt;=SLOT_RULES!$D$11,0,INT(($A85-SLOT_RULES!$D$11-1)/SLOT_RULES!$E$11)+1)*SLOT_RULES!$E$11</f>
        <v>46364</v>
      </c>
      <c r="M85" s="25">
        <f>SLOT_RULES!$D$12+IF($A85&lt;=SLOT_RULES!$D$12,0,INT(($A85-SLOT_RULES!$D$12-1)/SLOT_RULES!$E$12)+1)*SLOT_RULES!$E$12</f>
        <v>46369</v>
      </c>
      <c r="N85" s="25">
        <f>SLOT_RULES!$D$13+IF($A85&lt;=SLOT_RULES!$D$13,0,INT(($A85-SLOT_RULES!$D$13-1)/SLOT_RULES!$E$13)+1)*SLOT_RULES!$E$13</f>
        <v>46391</v>
      </c>
      <c r="O85" s="25">
        <f>SLOT_RULES!$D$14+IF($A85&lt;=SLOT_RULES!$D$14,0,INT(($A85-SLOT_RULES!$D$14-1)/SLOT_RULES!$E$14)+1)*SLOT_RULES!$E$14</f>
        <v>46350</v>
      </c>
      <c r="P85" s="25">
        <f>SLOT_RULES!$D$15+IF($A85&lt;=SLOT_RULES!$D$15,0,INT(($A85-SLOT_RULES!$D$15-1)/SLOT_RULES!$E$15)+1)*SLOT_RULES!$E$15</f>
        <v>46422</v>
      </c>
      <c r="Q85" s="26">
        <f t="shared" si="8"/>
        <v>2</v>
      </c>
      <c r="R85" s="26">
        <f t="shared" si="9"/>
        <v>74</v>
      </c>
      <c r="S85" s="27" t="str">
        <f t="shared" si="10"/>
        <v>PASS</v>
      </c>
      <c r="T85" s="27" t="str">
        <f>IF((COUNTIF(LOCAL_REFERENCE!$D85:$O85,E85)+COUNTIF(LOCAL_REFERENCE!$D85:$O85,H85)+COUNTIF(LOCAL_REFERENCE!$D85:$O85,I85)+COUNTIF(LOCAL_REFERENCE!$D85:$O85,J85)+COUNTIF(LOCAL_REFERENCE!$D85:$O85,K85)+COUNTIF(LOCAL_REFERENCE!$D85:$O85,L85)+COUNTIF(LOCAL_REFERENCE!$D85:$O85,M85)+COUNTIF(LOCAL_REFERENCE!$D85:$O85,N85)+COUNTIF(LOCAL_REFERENCE!$D85:$O85,O85)+COUNTIF(LOCAL_REFERENCE!$D85:$O85,P85))=0,"PASS","FAIL")</f>
        <v>PASS</v>
      </c>
      <c r="U85" s="27" t="str">
        <f>IF((COUNTIF(VPS_REFERENCE!$D85:$H85,E85)+COUNTIF(VPS_REFERENCE!$D85:$H85,H85)+COUNTIF(VPS_REFERENCE!$D85:$H85,I85)+COUNTIF(VPS_REFERENCE!$D85:$H85,J85)+COUNTIF(VPS_REFERENCE!$D85:$H85,K85)+COUNTIF(VPS_REFERENCE!$D85:$H85,L85)+COUNTIF(VPS_REFERENCE!$D85:$H85,M85)+COUNTIF(VPS_REFERENCE!$D85:$H85,N85)+COUNTIF(VPS_REFERENCE!$D85:$H85,O85)+COUNTIF(VPS_REFERENCE!$D85:$H85,P85))=0,"PASS","FAIL")</f>
        <v>PASS</v>
      </c>
      <c r="V85" s="27" t="str">
        <f t="shared" si="11"/>
        <v>PASS</v>
      </c>
      <c r="W85" s="28" t="str">
        <f>CRAWL_LOG!B85</f>
        <v>Chưa chạy</v>
      </c>
      <c r="X85" s="36" t="s">
        <v>57</v>
      </c>
    </row>
    <row r="86" spans="1:24">
      <c r="A86" s="23">
        <v>46349</v>
      </c>
      <c r="B86" s="24" t="s">
        <v>61</v>
      </c>
      <c r="C86" s="24" t="s">
        <v>54</v>
      </c>
      <c r="D86" s="24" t="s">
        <v>10</v>
      </c>
      <c r="E86" s="25">
        <f>SLOT_RULES!$D$4+IF($A86&lt;=SLOT_RULES!$D$4,0,INT(($A86-SLOT_RULES!$D$4-1)/SLOT_RULES!$E$4)+1)*SLOT_RULES!$E$4</f>
        <v>46353</v>
      </c>
      <c r="F86" s="63"/>
      <c r="G86" s="63"/>
      <c r="H86" s="25">
        <f>SLOT_RULES!$D$7+IF($A86&lt;=SLOT_RULES!$D$7,0,INT(($A86-SLOT_RULES!$D$7-1)/SLOT_RULES!$E$7)+1)*SLOT_RULES!$E$7</f>
        <v>46374</v>
      </c>
      <c r="I86" s="25">
        <f>SLOT_RULES!$D$8+IF($A86&lt;=SLOT_RULES!$D$8,0,INT(($A86-SLOT_RULES!$D$8-1)/SLOT_RULES!$E$8)+1)*SLOT_RULES!$E$8</f>
        <v>46356</v>
      </c>
      <c r="J86" s="25">
        <f>SLOT_RULES!$D$9+IF($A86&lt;=SLOT_RULES!$D$9,0,INT(($A86-SLOT_RULES!$D$9-1)/SLOT_RULES!$E$9)+1)*SLOT_RULES!$E$9</f>
        <v>46370</v>
      </c>
      <c r="K86" s="25">
        <f>SLOT_RULES!$D$10+IF($A86&lt;=SLOT_RULES!$D$10,0,INT(($A86-SLOT_RULES!$D$10-1)/SLOT_RULES!$E$10)+1)*SLOT_RULES!$E$10</f>
        <v>46357</v>
      </c>
      <c r="L86" s="25">
        <f>SLOT_RULES!$D$11+IF($A86&lt;=SLOT_RULES!$D$11,0,INT(($A86-SLOT_RULES!$D$11-1)/SLOT_RULES!$E$11)+1)*SLOT_RULES!$E$11</f>
        <v>46364</v>
      </c>
      <c r="M86" s="25">
        <f>SLOT_RULES!$D$12+IF($A86&lt;=SLOT_RULES!$D$12,0,INT(($A86-SLOT_RULES!$D$12-1)/SLOT_RULES!$E$12)+1)*SLOT_RULES!$E$12</f>
        <v>46369</v>
      </c>
      <c r="N86" s="25">
        <f>SLOT_RULES!$D$13+IF($A86&lt;=SLOT_RULES!$D$13,0,INT(($A86-SLOT_RULES!$D$13-1)/SLOT_RULES!$E$13)+1)*SLOT_RULES!$E$13</f>
        <v>46391</v>
      </c>
      <c r="O86" s="25">
        <f>SLOT_RULES!$D$14+IF($A86&lt;=SLOT_RULES!$D$14,0,INT(($A86-SLOT_RULES!$D$14-1)/SLOT_RULES!$E$14)+1)*SLOT_RULES!$E$14</f>
        <v>46350</v>
      </c>
      <c r="P86" s="25">
        <f>SLOT_RULES!$D$15+IF($A86&lt;=SLOT_RULES!$D$15,0,INT(($A86-SLOT_RULES!$D$15-1)/SLOT_RULES!$E$15)+1)*SLOT_RULES!$E$15</f>
        <v>46422</v>
      </c>
      <c r="Q86" s="26">
        <f t="shared" si="8"/>
        <v>1</v>
      </c>
      <c r="R86" s="26">
        <f t="shared" si="9"/>
        <v>73</v>
      </c>
      <c r="S86" s="27" t="str">
        <f t="shared" si="10"/>
        <v>PASS</v>
      </c>
      <c r="T86" s="27" t="str">
        <f>IF((COUNTIF(LOCAL_REFERENCE!$D86:$O86,E86)+COUNTIF(LOCAL_REFERENCE!$D86:$O86,H86)+COUNTIF(LOCAL_REFERENCE!$D86:$O86,I86)+COUNTIF(LOCAL_REFERENCE!$D86:$O86,J86)+COUNTIF(LOCAL_REFERENCE!$D86:$O86,K86)+COUNTIF(LOCAL_REFERENCE!$D86:$O86,L86)+COUNTIF(LOCAL_REFERENCE!$D86:$O86,M86)+COUNTIF(LOCAL_REFERENCE!$D86:$O86,N86)+COUNTIF(LOCAL_REFERENCE!$D86:$O86,O86)+COUNTIF(LOCAL_REFERENCE!$D86:$O86,P86))=0,"PASS","FAIL")</f>
        <v>PASS</v>
      </c>
      <c r="U86" s="27" t="str">
        <f>IF((COUNTIF(VPS_REFERENCE!$D86:$H86,E86)+COUNTIF(VPS_REFERENCE!$D86:$H86,H86)+COUNTIF(VPS_REFERENCE!$D86:$H86,I86)+COUNTIF(VPS_REFERENCE!$D86:$H86,J86)+COUNTIF(VPS_REFERENCE!$D86:$H86,K86)+COUNTIF(VPS_REFERENCE!$D86:$H86,L86)+COUNTIF(VPS_REFERENCE!$D86:$H86,M86)+COUNTIF(VPS_REFERENCE!$D86:$H86,N86)+COUNTIF(VPS_REFERENCE!$D86:$H86,O86)+COUNTIF(VPS_REFERENCE!$D86:$H86,P86))=0,"PASS","FAIL")</f>
        <v>PASS</v>
      </c>
      <c r="V86" s="27" t="str">
        <f t="shared" si="11"/>
        <v>PASS</v>
      </c>
      <c r="W86" s="28" t="str">
        <f>CRAWL_LOG!B86</f>
        <v>Chưa chạy</v>
      </c>
      <c r="X86" s="36" t="s">
        <v>57</v>
      </c>
    </row>
    <row r="87" spans="1:24">
      <c r="A87" s="23">
        <v>46350</v>
      </c>
      <c r="B87" s="24" t="s">
        <v>62</v>
      </c>
      <c r="C87" s="24" t="s">
        <v>54</v>
      </c>
      <c r="D87" s="24" t="s">
        <v>10</v>
      </c>
      <c r="E87" s="25">
        <f>SLOT_RULES!$D$4+IF($A87&lt;=SLOT_RULES!$D$4,0,INT(($A87-SLOT_RULES!$D$4-1)/SLOT_RULES!$E$4)+1)*SLOT_RULES!$E$4</f>
        <v>46353</v>
      </c>
      <c r="F87" s="63"/>
      <c r="G87" s="63"/>
      <c r="H87" s="25">
        <f>SLOT_RULES!$D$7+IF($A87&lt;=SLOT_RULES!$D$7,0,INT(($A87-SLOT_RULES!$D$7-1)/SLOT_RULES!$E$7)+1)*SLOT_RULES!$E$7</f>
        <v>46374</v>
      </c>
      <c r="I87" s="25">
        <f>SLOT_RULES!$D$8+IF($A87&lt;=SLOT_RULES!$D$8,0,INT(($A87-SLOT_RULES!$D$8-1)/SLOT_RULES!$E$8)+1)*SLOT_RULES!$E$8</f>
        <v>46356</v>
      </c>
      <c r="J87" s="25">
        <f>SLOT_RULES!$D$9+IF($A87&lt;=SLOT_RULES!$D$9,0,INT(($A87-SLOT_RULES!$D$9-1)/SLOT_RULES!$E$9)+1)*SLOT_RULES!$E$9</f>
        <v>46370</v>
      </c>
      <c r="K87" s="25">
        <f>SLOT_RULES!$D$10+IF($A87&lt;=SLOT_RULES!$D$10,0,INT(($A87-SLOT_RULES!$D$10-1)/SLOT_RULES!$E$10)+1)*SLOT_RULES!$E$10</f>
        <v>46357</v>
      </c>
      <c r="L87" s="25">
        <f>SLOT_RULES!$D$11+IF($A87&lt;=SLOT_RULES!$D$11,0,INT(($A87-SLOT_RULES!$D$11-1)/SLOT_RULES!$E$11)+1)*SLOT_RULES!$E$11</f>
        <v>46364</v>
      </c>
      <c r="M87" s="25">
        <f>SLOT_RULES!$D$12+IF($A87&lt;=SLOT_RULES!$D$12,0,INT(($A87-SLOT_RULES!$D$12-1)/SLOT_RULES!$E$12)+1)*SLOT_RULES!$E$12</f>
        <v>46369</v>
      </c>
      <c r="N87" s="25">
        <f>SLOT_RULES!$D$13+IF($A87&lt;=SLOT_RULES!$D$13,0,INT(($A87-SLOT_RULES!$D$13-1)/SLOT_RULES!$E$13)+1)*SLOT_RULES!$E$13</f>
        <v>46391</v>
      </c>
      <c r="O87" s="25">
        <f>SLOT_RULES!$D$14+IF($A87&lt;=SLOT_RULES!$D$14,0,INT(($A87-SLOT_RULES!$D$14-1)/SLOT_RULES!$E$14)+1)*SLOT_RULES!$E$14</f>
        <v>46350</v>
      </c>
      <c r="P87" s="25">
        <f>SLOT_RULES!$D$15+IF($A87&lt;=SLOT_RULES!$D$15,0,INT(($A87-SLOT_RULES!$D$15-1)/SLOT_RULES!$E$15)+1)*SLOT_RULES!$E$15</f>
        <v>46422</v>
      </c>
      <c r="Q87" s="26">
        <f t="shared" si="8"/>
        <v>0</v>
      </c>
      <c r="R87" s="26">
        <f t="shared" si="9"/>
        <v>72</v>
      </c>
      <c r="S87" s="27" t="str">
        <f t="shared" si="10"/>
        <v>PASS</v>
      </c>
      <c r="T87" s="27" t="str">
        <f>IF((COUNTIF(LOCAL_REFERENCE!$D87:$O87,E87)+COUNTIF(LOCAL_REFERENCE!$D87:$O87,H87)+COUNTIF(LOCAL_REFERENCE!$D87:$O87,I87)+COUNTIF(LOCAL_REFERENCE!$D87:$O87,J87)+COUNTIF(LOCAL_REFERENCE!$D87:$O87,K87)+COUNTIF(LOCAL_REFERENCE!$D87:$O87,L87)+COUNTIF(LOCAL_REFERENCE!$D87:$O87,M87)+COUNTIF(LOCAL_REFERENCE!$D87:$O87,N87)+COUNTIF(LOCAL_REFERENCE!$D87:$O87,O87)+COUNTIF(LOCAL_REFERENCE!$D87:$O87,P87))=0,"PASS","FAIL")</f>
        <v>PASS</v>
      </c>
      <c r="U87" s="27" t="str">
        <f>IF((COUNTIF(VPS_REFERENCE!$D87:$H87,E87)+COUNTIF(VPS_REFERENCE!$D87:$H87,H87)+COUNTIF(VPS_REFERENCE!$D87:$H87,I87)+COUNTIF(VPS_REFERENCE!$D87:$H87,J87)+COUNTIF(VPS_REFERENCE!$D87:$H87,K87)+COUNTIF(VPS_REFERENCE!$D87:$H87,L87)+COUNTIF(VPS_REFERENCE!$D87:$H87,M87)+COUNTIF(VPS_REFERENCE!$D87:$H87,N87)+COUNTIF(VPS_REFERENCE!$D87:$H87,O87)+COUNTIF(VPS_REFERENCE!$D87:$H87,P87))=0,"PASS","FAIL")</f>
        <v>PASS</v>
      </c>
      <c r="V87" s="27" t="str">
        <f t="shared" si="11"/>
        <v>PASS</v>
      </c>
      <c r="W87" s="28" t="str">
        <f>CRAWL_LOG!B87</f>
        <v>Chưa chạy</v>
      </c>
      <c r="X87" s="36" t="s">
        <v>57</v>
      </c>
    </row>
    <row r="88" spans="1:24">
      <c r="A88" s="23">
        <v>46351</v>
      </c>
      <c r="B88" s="24" t="s">
        <v>53</v>
      </c>
      <c r="C88" s="24" t="s">
        <v>54</v>
      </c>
      <c r="D88" s="24" t="s">
        <v>10</v>
      </c>
      <c r="E88" s="25">
        <f>SLOT_RULES!$D$4+IF($A88&lt;=SLOT_RULES!$D$4,0,INT(($A88-SLOT_RULES!$D$4-1)/SLOT_RULES!$E$4)+1)*SLOT_RULES!$E$4</f>
        <v>46353</v>
      </c>
      <c r="F88" s="63"/>
      <c r="G88" s="63"/>
      <c r="H88" s="25">
        <f>SLOT_RULES!$D$7+IF($A88&lt;=SLOT_RULES!$D$7,0,INT(($A88-SLOT_RULES!$D$7-1)/SLOT_RULES!$E$7)+1)*SLOT_RULES!$E$7</f>
        <v>46374</v>
      </c>
      <c r="I88" s="25">
        <f>SLOT_RULES!$D$8+IF($A88&lt;=SLOT_RULES!$D$8,0,INT(($A88-SLOT_RULES!$D$8-1)/SLOT_RULES!$E$8)+1)*SLOT_RULES!$E$8</f>
        <v>46356</v>
      </c>
      <c r="J88" s="25">
        <f>SLOT_RULES!$D$9+IF($A88&lt;=SLOT_RULES!$D$9,0,INT(($A88-SLOT_RULES!$D$9-1)/SLOT_RULES!$E$9)+1)*SLOT_RULES!$E$9</f>
        <v>46370</v>
      </c>
      <c r="K88" s="25">
        <f>SLOT_RULES!$D$10+IF($A88&lt;=SLOT_RULES!$D$10,0,INT(($A88-SLOT_RULES!$D$10-1)/SLOT_RULES!$E$10)+1)*SLOT_RULES!$E$10</f>
        <v>46357</v>
      </c>
      <c r="L88" s="25">
        <f>SLOT_RULES!$D$11+IF($A88&lt;=SLOT_RULES!$D$11,0,INT(($A88-SLOT_RULES!$D$11-1)/SLOT_RULES!$E$11)+1)*SLOT_RULES!$E$11</f>
        <v>46364</v>
      </c>
      <c r="M88" s="25">
        <f>SLOT_RULES!$D$12+IF($A88&lt;=SLOT_RULES!$D$12,0,INT(($A88-SLOT_RULES!$D$12-1)/SLOT_RULES!$E$12)+1)*SLOT_RULES!$E$12</f>
        <v>46369</v>
      </c>
      <c r="N88" s="25">
        <f>SLOT_RULES!$D$13+IF($A88&lt;=SLOT_RULES!$D$13,0,INT(($A88-SLOT_RULES!$D$13-1)/SLOT_RULES!$E$13)+1)*SLOT_RULES!$E$13</f>
        <v>46391</v>
      </c>
      <c r="O88" s="25">
        <f>SLOT_RULES!$D$14+IF($A88&lt;=SLOT_RULES!$D$14,0,INT(($A88-SLOT_RULES!$D$14-1)/SLOT_RULES!$E$14)+1)*SLOT_RULES!$E$14</f>
        <v>46448</v>
      </c>
      <c r="P88" s="25">
        <f>SLOT_RULES!$D$15+IF($A88&lt;=SLOT_RULES!$D$15,0,INT(($A88-SLOT_RULES!$D$15-1)/SLOT_RULES!$E$15)+1)*SLOT_RULES!$E$15</f>
        <v>46422</v>
      </c>
      <c r="Q88" s="26">
        <f t="shared" si="8"/>
        <v>2</v>
      </c>
      <c r="R88" s="26">
        <f t="shared" si="9"/>
        <v>97</v>
      </c>
      <c r="S88" s="27" t="str">
        <f t="shared" si="10"/>
        <v>PASS</v>
      </c>
      <c r="T88" s="27" t="str">
        <f>IF((COUNTIF(LOCAL_REFERENCE!$D88:$O88,E88)+COUNTIF(LOCAL_REFERENCE!$D88:$O88,H88)+COUNTIF(LOCAL_REFERENCE!$D88:$O88,I88)+COUNTIF(LOCAL_REFERENCE!$D88:$O88,J88)+COUNTIF(LOCAL_REFERENCE!$D88:$O88,K88)+COUNTIF(LOCAL_REFERENCE!$D88:$O88,L88)+COUNTIF(LOCAL_REFERENCE!$D88:$O88,M88)+COUNTIF(LOCAL_REFERENCE!$D88:$O88,N88)+COUNTIF(LOCAL_REFERENCE!$D88:$O88,O88)+COUNTIF(LOCAL_REFERENCE!$D88:$O88,P88))=0,"PASS","FAIL")</f>
        <v>PASS</v>
      </c>
      <c r="U88" s="27" t="str">
        <f>IF((COUNTIF(VPS_REFERENCE!$D88:$H88,E88)+COUNTIF(VPS_REFERENCE!$D88:$H88,H88)+COUNTIF(VPS_REFERENCE!$D88:$H88,I88)+COUNTIF(VPS_REFERENCE!$D88:$H88,J88)+COUNTIF(VPS_REFERENCE!$D88:$H88,K88)+COUNTIF(VPS_REFERENCE!$D88:$H88,L88)+COUNTIF(VPS_REFERENCE!$D88:$H88,M88)+COUNTIF(VPS_REFERENCE!$D88:$H88,N88)+COUNTIF(VPS_REFERENCE!$D88:$H88,O88)+COUNTIF(VPS_REFERENCE!$D88:$H88,P88))=0,"PASS","FAIL")</f>
        <v>PASS</v>
      </c>
      <c r="V88" s="27" t="str">
        <f t="shared" si="11"/>
        <v>PASS</v>
      </c>
      <c r="W88" s="28" t="str">
        <f>CRAWL_LOG!B88</f>
        <v>Chưa chạy</v>
      </c>
      <c r="X88" s="36" t="s">
        <v>57</v>
      </c>
    </row>
    <row r="89" spans="1:24">
      <c r="A89" s="23">
        <v>46352</v>
      </c>
      <c r="B89" s="24" t="s">
        <v>56</v>
      </c>
      <c r="C89" s="24" t="s">
        <v>54</v>
      </c>
      <c r="D89" s="24" t="s">
        <v>10</v>
      </c>
      <c r="E89" s="25">
        <f>SLOT_RULES!$D$4+IF($A89&lt;=SLOT_RULES!$D$4,0,INT(($A89-SLOT_RULES!$D$4-1)/SLOT_RULES!$E$4)+1)*SLOT_RULES!$E$4</f>
        <v>46353</v>
      </c>
      <c r="F89" s="63"/>
      <c r="G89" s="63"/>
      <c r="H89" s="25">
        <f>SLOT_RULES!$D$7+IF($A89&lt;=SLOT_RULES!$D$7,0,INT(($A89-SLOT_RULES!$D$7-1)/SLOT_RULES!$E$7)+1)*SLOT_RULES!$E$7</f>
        <v>46374</v>
      </c>
      <c r="I89" s="25">
        <f>SLOT_RULES!$D$8+IF($A89&lt;=SLOT_RULES!$D$8,0,INT(($A89-SLOT_RULES!$D$8-1)/SLOT_RULES!$E$8)+1)*SLOT_RULES!$E$8</f>
        <v>46356</v>
      </c>
      <c r="J89" s="25">
        <f>SLOT_RULES!$D$9+IF($A89&lt;=SLOT_RULES!$D$9,0,INT(($A89-SLOT_RULES!$D$9-1)/SLOT_RULES!$E$9)+1)*SLOT_RULES!$E$9</f>
        <v>46370</v>
      </c>
      <c r="K89" s="25">
        <f>SLOT_RULES!$D$10+IF($A89&lt;=SLOT_RULES!$D$10,0,INT(($A89-SLOT_RULES!$D$10-1)/SLOT_RULES!$E$10)+1)*SLOT_RULES!$E$10</f>
        <v>46357</v>
      </c>
      <c r="L89" s="25">
        <f>SLOT_RULES!$D$11+IF($A89&lt;=SLOT_RULES!$D$11,0,INT(($A89-SLOT_RULES!$D$11-1)/SLOT_RULES!$E$11)+1)*SLOT_RULES!$E$11</f>
        <v>46364</v>
      </c>
      <c r="M89" s="25">
        <f>SLOT_RULES!$D$12+IF($A89&lt;=SLOT_RULES!$D$12,0,INT(($A89-SLOT_RULES!$D$12-1)/SLOT_RULES!$E$12)+1)*SLOT_RULES!$E$12</f>
        <v>46369</v>
      </c>
      <c r="N89" s="25">
        <f>SLOT_RULES!$D$13+IF($A89&lt;=SLOT_RULES!$D$13,0,INT(($A89-SLOT_RULES!$D$13-1)/SLOT_RULES!$E$13)+1)*SLOT_RULES!$E$13</f>
        <v>46391</v>
      </c>
      <c r="O89" s="25">
        <f>SLOT_RULES!$D$14+IF($A89&lt;=SLOT_RULES!$D$14,0,INT(($A89-SLOT_RULES!$D$14-1)/SLOT_RULES!$E$14)+1)*SLOT_RULES!$E$14</f>
        <v>46448</v>
      </c>
      <c r="P89" s="25">
        <f>SLOT_RULES!$D$15+IF($A89&lt;=SLOT_RULES!$D$15,0,INT(($A89-SLOT_RULES!$D$15-1)/SLOT_RULES!$E$15)+1)*SLOT_RULES!$E$15</f>
        <v>46422</v>
      </c>
      <c r="Q89" s="26">
        <f t="shared" si="8"/>
        <v>1</v>
      </c>
      <c r="R89" s="26">
        <f t="shared" si="9"/>
        <v>96</v>
      </c>
      <c r="S89" s="27" t="str">
        <f t="shared" si="10"/>
        <v>PASS</v>
      </c>
      <c r="T89" s="27" t="str">
        <f>IF((COUNTIF(LOCAL_REFERENCE!$D89:$O89,E89)+COUNTIF(LOCAL_REFERENCE!$D89:$O89,H89)+COUNTIF(LOCAL_REFERENCE!$D89:$O89,I89)+COUNTIF(LOCAL_REFERENCE!$D89:$O89,J89)+COUNTIF(LOCAL_REFERENCE!$D89:$O89,K89)+COUNTIF(LOCAL_REFERENCE!$D89:$O89,L89)+COUNTIF(LOCAL_REFERENCE!$D89:$O89,M89)+COUNTIF(LOCAL_REFERENCE!$D89:$O89,N89)+COUNTIF(LOCAL_REFERENCE!$D89:$O89,O89)+COUNTIF(LOCAL_REFERENCE!$D89:$O89,P89))=0,"PASS","FAIL")</f>
        <v>PASS</v>
      </c>
      <c r="U89" s="27" t="str">
        <f>IF((COUNTIF(VPS_REFERENCE!$D89:$H89,E89)+COUNTIF(VPS_REFERENCE!$D89:$H89,H89)+COUNTIF(VPS_REFERENCE!$D89:$H89,I89)+COUNTIF(VPS_REFERENCE!$D89:$H89,J89)+COUNTIF(VPS_REFERENCE!$D89:$H89,K89)+COUNTIF(VPS_REFERENCE!$D89:$H89,L89)+COUNTIF(VPS_REFERENCE!$D89:$H89,M89)+COUNTIF(VPS_REFERENCE!$D89:$H89,N89)+COUNTIF(VPS_REFERENCE!$D89:$H89,O89)+COUNTIF(VPS_REFERENCE!$D89:$H89,P89))=0,"PASS","FAIL")</f>
        <v>PASS</v>
      </c>
      <c r="V89" s="27" t="str">
        <f t="shared" si="11"/>
        <v>PASS</v>
      </c>
      <c r="W89" s="28" t="str">
        <f>CRAWL_LOG!B89</f>
        <v>Chưa chạy</v>
      </c>
      <c r="X89" s="36" t="s">
        <v>57</v>
      </c>
    </row>
    <row r="90" spans="1:24">
      <c r="A90" s="23">
        <v>46353</v>
      </c>
      <c r="B90" s="24" t="s">
        <v>58</v>
      </c>
      <c r="C90" s="24" t="s">
        <v>54</v>
      </c>
      <c r="D90" s="24" t="s">
        <v>10</v>
      </c>
      <c r="E90" s="25">
        <f>SLOT_RULES!$D$4+IF($A90&lt;=SLOT_RULES!$D$4,0,INT(($A90-SLOT_RULES!$D$4-1)/SLOT_RULES!$E$4)+1)*SLOT_RULES!$E$4</f>
        <v>46353</v>
      </c>
      <c r="F90" s="63"/>
      <c r="G90" s="63"/>
      <c r="H90" s="25">
        <f>SLOT_RULES!$D$7+IF($A90&lt;=SLOT_RULES!$D$7,0,INT(($A90-SLOT_RULES!$D$7-1)/SLOT_RULES!$E$7)+1)*SLOT_RULES!$E$7</f>
        <v>46374</v>
      </c>
      <c r="I90" s="25">
        <f>SLOT_RULES!$D$8+IF($A90&lt;=SLOT_RULES!$D$8,0,INT(($A90-SLOT_RULES!$D$8-1)/SLOT_RULES!$E$8)+1)*SLOT_RULES!$E$8</f>
        <v>46356</v>
      </c>
      <c r="J90" s="25">
        <f>SLOT_RULES!$D$9+IF($A90&lt;=SLOT_RULES!$D$9,0,INT(($A90-SLOT_RULES!$D$9-1)/SLOT_RULES!$E$9)+1)*SLOT_RULES!$E$9</f>
        <v>46370</v>
      </c>
      <c r="K90" s="25">
        <f>SLOT_RULES!$D$10+IF($A90&lt;=SLOT_RULES!$D$10,0,INT(($A90-SLOT_RULES!$D$10-1)/SLOT_RULES!$E$10)+1)*SLOT_RULES!$E$10</f>
        <v>46357</v>
      </c>
      <c r="L90" s="25">
        <f>SLOT_RULES!$D$11+IF($A90&lt;=SLOT_RULES!$D$11,0,INT(($A90-SLOT_RULES!$D$11-1)/SLOT_RULES!$E$11)+1)*SLOT_RULES!$E$11</f>
        <v>46364</v>
      </c>
      <c r="M90" s="25">
        <f>SLOT_RULES!$D$12+IF($A90&lt;=SLOT_RULES!$D$12,0,INT(($A90-SLOT_RULES!$D$12-1)/SLOT_RULES!$E$12)+1)*SLOT_RULES!$E$12</f>
        <v>46369</v>
      </c>
      <c r="N90" s="25">
        <f>SLOT_RULES!$D$13+IF($A90&lt;=SLOT_RULES!$D$13,0,INT(($A90-SLOT_RULES!$D$13-1)/SLOT_RULES!$E$13)+1)*SLOT_RULES!$E$13</f>
        <v>46391</v>
      </c>
      <c r="O90" s="25">
        <f>SLOT_RULES!$D$14+IF($A90&lt;=SLOT_RULES!$D$14,0,INT(($A90-SLOT_RULES!$D$14-1)/SLOT_RULES!$E$14)+1)*SLOT_RULES!$E$14</f>
        <v>46448</v>
      </c>
      <c r="P90" s="25">
        <f>SLOT_RULES!$D$15+IF($A90&lt;=SLOT_RULES!$D$15,0,INT(($A90-SLOT_RULES!$D$15-1)/SLOT_RULES!$E$15)+1)*SLOT_RULES!$E$15</f>
        <v>46422</v>
      </c>
      <c r="Q90" s="26">
        <f t="shared" si="8"/>
        <v>0</v>
      </c>
      <c r="R90" s="26">
        <f t="shared" si="9"/>
        <v>95</v>
      </c>
      <c r="S90" s="27" t="str">
        <f t="shared" si="10"/>
        <v>PASS</v>
      </c>
      <c r="T90" s="27" t="str">
        <f>IF((COUNTIF(LOCAL_REFERENCE!$D90:$O90,E90)+COUNTIF(LOCAL_REFERENCE!$D90:$O90,H90)+COUNTIF(LOCAL_REFERENCE!$D90:$O90,I90)+COUNTIF(LOCAL_REFERENCE!$D90:$O90,J90)+COUNTIF(LOCAL_REFERENCE!$D90:$O90,K90)+COUNTIF(LOCAL_REFERENCE!$D90:$O90,L90)+COUNTIF(LOCAL_REFERENCE!$D90:$O90,M90)+COUNTIF(LOCAL_REFERENCE!$D90:$O90,N90)+COUNTIF(LOCAL_REFERENCE!$D90:$O90,O90)+COUNTIF(LOCAL_REFERENCE!$D90:$O90,P90))=0,"PASS","FAIL")</f>
        <v>PASS</v>
      </c>
      <c r="U90" s="27" t="str">
        <f>IF((COUNTIF(VPS_REFERENCE!$D90:$H90,E90)+COUNTIF(VPS_REFERENCE!$D90:$H90,H90)+COUNTIF(VPS_REFERENCE!$D90:$H90,I90)+COUNTIF(VPS_REFERENCE!$D90:$H90,J90)+COUNTIF(VPS_REFERENCE!$D90:$H90,K90)+COUNTIF(VPS_REFERENCE!$D90:$H90,L90)+COUNTIF(VPS_REFERENCE!$D90:$H90,M90)+COUNTIF(VPS_REFERENCE!$D90:$H90,N90)+COUNTIF(VPS_REFERENCE!$D90:$H90,O90)+COUNTIF(VPS_REFERENCE!$D90:$H90,P90))=0,"PASS","FAIL")</f>
        <v>PASS</v>
      </c>
      <c r="V90" s="27" t="str">
        <f t="shared" si="11"/>
        <v>PASS</v>
      </c>
      <c r="W90" s="28" t="str">
        <f>CRAWL_LOG!B90</f>
        <v>Chưa chạy</v>
      </c>
      <c r="X90" s="36" t="s">
        <v>57</v>
      </c>
    </row>
    <row r="91" spans="1:24">
      <c r="A91" s="23">
        <v>46354</v>
      </c>
      <c r="B91" s="24" t="s">
        <v>59</v>
      </c>
      <c r="C91" s="24" t="s">
        <v>54</v>
      </c>
      <c r="D91" s="24" t="s">
        <v>10</v>
      </c>
      <c r="E91" s="25">
        <f>SLOT_RULES!$D$4+IF($A91&lt;=SLOT_RULES!$D$4,0,INT(($A91-SLOT_RULES!$D$4-1)/SLOT_RULES!$E$4)+1)*SLOT_RULES!$E$4</f>
        <v>46381</v>
      </c>
      <c r="F91" s="63"/>
      <c r="G91" s="63"/>
      <c r="H91" s="25">
        <f>SLOT_RULES!$D$7+IF($A91&lt;=SLOT_RULES!$D$7,0,INT(($A91-SLOT_RULES!$D$7-1)/SLOT_RULES!$E$7)+1)*SLOT_RULES!$E$7</f>
        <v>46374</v>
      </c>
      <c r="I91" s="25">
        <f>SLOT_RULES!$D$8+IF($A91&lt;=SLOT_RULES!$D$8,0,INT(($A91-SLOT_RULES!$D$8-1)/SLOT_RULES!$E$8)+1)*SLOT_RULES!$E$8</f>
        <v>46356</v>
      </c>
      <c r="J91" s="25">
        <f>SLOT_RULES!$D$9+IF($A91&lt;=SLOT_RULES!$D$9,0,INT(($A91-SLOT_RULES!$D$9-1)/SLOT_RULES!$E$9)+1)*SLOT_RULES!$E$9</f>
        <v>46370</v>
      </c>
      <c r="K91" s="25">
        <f>SLOT_RULES!$D$10+IF($A91&lt;=SLOT_RULES!$D$10,0,INT(($A91-SLOT_RULES!$D$10-1)/SLOT_RULES!$E$10)+1)*SLOT_RULES!$E$10</f>
        <v>46357</v>
      </c>
      <c r="L91" s="25">
        <f>SLOT_RULES!$D$11+IF($A91&lt;=SLOT_RULES!$D$11,0,INT(($A91-SLOT_RULES!$D$11-1)/SLOT_RULES!$E$11)+1)*SLOT_RULES!$E$11</f>
        <v>46364</v>
      </c>
      <c r="M91" s="25">
        <f>SLOT_RULES!$D$12+IF($A91&lt;=SLOT_RULES!$D$12,0,INT(($A91-SLOT_RULES!$D$12-1)/SLOT_RULES!$E$12)+1)*SLOT_RULES!$E$12</f>
        <v>46369</v>
      </c>
      <c r="N91" s="25">
        <f>SLOT_RULES!$D$13+IF($A91&lt;=SLOT_RULES!$D$13,0,INT(($A91-SLOT_RULES!$D$13-1)/SLOT_RULES!$E$13)+1)*SLOT_RULES!$E$13</f>
        <v>46391</v>
      </c>
      <c r="O91" s="25">
        <f>SLOT_RULES!$D$14+IF($A91&lt;=SLOT_RULES!$D$14,0,INT(($A91-SLOT_RULES!$D$14-1)/SLOT_RULES!$E$14)+1)*SLOT_RULES!$E$14</f>
        <v>46448</v>
      </c>
      <c r="P91" s="25">
        <f>SLOT_RULES!$D$15+IF($A91&lt;=SLOT_RULES!$D$15,0,INT(($A91-SLOT_RULES!$D$15-1)/SLOT_RULES!$E$15)+1)*SLOT_RULES!$E$15</f>
        <v>46422</v>
      </c>
      <c r="Q91" s="26">
        <f t="shared" si="8"/>
        <v>2</v>
      </c>
      <c r="R91" s="26">
        <f t="shared" si="9"/>
        <v>94</v>
      </c>
      <c r="S91" s="27" t="str">
        <f t="shared" si="10"/>
        <v>PASS</v>
      </c>
      <c r="T91" s="27" t="str">
        <f>IF((COUNTIF(LOCAL_REFERENCE!$D91:$O91,E91)+COUNTIF(LOCAL_REFERENCE!$D91:$O91,H91)+COUNTIF(LOCAL_REFERENCE!$D91:$O91,I91)+COUNTIF(LOCAL_REFERENCE!$D91:$O91,J91)+COUNTIF(LOCAL_REFERENCE!$D91:$O91,K91)+COUNTIF(LOCAL_REFERENCE!$D91:$O91,L91)+COUNTIF(LOCAL_REFERENCE!$D91:$O91,M91)+COUNTIF(LOCAL_REFERENCE!$D91:$O91,N91)+COUNTIF(LOCAL_REFERENCE!$D91:$O91,O91)+COUNTIF(LOCAL_REFERENCE!$D91:$O91,P91))=0,"PASS","FAIL")</f>
        <v>PASS</v>
      </c>
      <c r="U91" s="27" t="str">
        <f>IF((COUNTIF(VPS_REFERENCE!$D91:$H91,E91)+COUNTIF(VPS_REFERENCE!$D91:$H91,H91)+COUNTIF(VPS_REFERENCE!$D91:$H91,I91)+COUNTIF(VPS_REFERENCE!$D91:$H91,J91)+COUNTIF(VPS_REFERENCE!$D91:$H91,K91)+COUNTIF(VPS_REFERENCE!$D91:$H91,L91)+COUNTIF(VPS_REFERENCE!$D91:$H91,M91)+COUNTIF(VPS_REFERENCE!$D91:$H91,N91)+COUNTIF(VPS_REFERENCE!$D91:$H91,O91)+COUNTIF(VPS_REFERENCE!$D91:$H91,P91))=0,"PASS","FAIL")</f>
        <v>PASS</v>
      </c>
      <c r="V91" s="27" t="str">
        <f t="shared" si="11"/>
        <v>PASS</v>
      </c>
      <c r="W91" s="28" t="str">
        <f>CRAWL_LOG!B91</f>
        <v>Chưa chạy</v>
      </c>
      <c r="X91" s="36" t="s">
        <v>57</v>
      </c>
    </row>
    <row r="92" spans="1:24">
      <c r="A92" s="23">
        <v>46355</v>
      </c>
      <c r="B92" s="24" t="s">
        <v>60</v>
      </c>
      <c r="C92" s="24" t="s">
        <v>54</v>
      </c>
      <c r="D92" s="24" t="s">
        <v>10</v>
      </c>
      <c r="E92" s="25">
        <f>SLOT_RULES!$D$4+IF($A92&lt;=SLOT_RULES!$D$4,0,INT(($A92-SLOT_RULES!$D$4-1)/SLOT_RULES!$E$4)+1)*SLOT_RULES!$E$4</f>
        <v>46381</v>
      </c>
      <c r="F92" s="63"/>
      <c r="G92" s="63"/>
      <c r="H92" s="25">
        <f>SLOT_RULES!$D$7+IF($A92&lt;=SLOT_RULES!$D$7,0,INT(($A92-SLOT_RULES!$D$7-1)/SLOT_RULES!$E$7)+1)*SLOT_RULES!$E$7</f>
        <v>46374</v>
      </c>
      <c r="I92" s="25">
        <f>SLOT_RULES!$D$8+IF($A92&lt;=SLOT_RULES!$D$8,0,INT(($A92-SLOT_RULES!$D$8-1)/SLOT_RULES!$E$8)+1)*SLOT_RULES!$E$8</f>
        <v>46356</v>
      </c>
      <c r="J92" s="25">
        <f>SLOT_RULES!$D$9+IF($A92&lt;=SLOT_RULES!$D$9,0,INT(($A92-SLOT_RULES!$D$9-1)/SLOT_RULES!$E$9)+1)*SLOT_RULES!$E$9</f>
        <v>46370</v>
      </c>
      <c r="K92" s="25">
        <f>SLOT_RULES!$D$10+IF($A92&lt;=SLOT_RULES!$D$10,0,INT(($A92-SLOT_RULES!$D$10-1)/SLOT_RULES!$E$10)+1)*SLOT_RULES!$E$10</f>
        <v>46357</v>
      </c>
      <c r="L92" s="25">
        <f>SLOT_RULES!$D$11+IF($A92&lt;=SLOT_RULES!$D$11,0,INT(($A92-SLOT_RULES!$D$11-1)/SLOT_RULES!$E$11)+1)*SLOT_RULES!$E$11</f>
        <v>46364</v>
      </c>
      <c r="M92" s="25">
        <f>SLOT_RULES!$D$12+IF($A92&lt;=SLOT_RULES!$D$12,0,INT(($A92-SLOT_RULES!$D$12-1)/SLOT_RULES!$E$12)+1)*SLOT_RULES!$E$12</f>
        <v>46369</v>
      </c>
      <c r="N92" s="25">
        <f>SLOT_RULES!$D$13+IF($A92&lt;=SLOT_RULES!$D$13,0,INT(($A92-SLOT_RULES!$D$13-1)/SLOT_RULES!$E$13)+1)*SLOT_RULES!$E$13</f>
        <v>46391</v>
      </c>
      <c r="O92" s="25">
        <f>SLOT_RULES!$D$14+IF($A92&lt;=SLOT_RULES!$D$14,0,INT(($A92-SLOT_RULES!$D$14-1)/SLOT_RULES!$E$14)+1)*SLOT_RULES!$E$14</f>
        <v>46448</v>
      </c>
      <c r="P92" s="25">
        <f>SLOT_RULES!$D$15+IF($A92&lt;=SLOT_RULES!$D$15,0,INT(($A92-SLOT_RULES!$D$15-1)/SLOT_RULES!$E$15)+1)*SLOT_RULES!$E$15</f>
        <v>46422</v>
      </c>
      <c r="Q92" s="26">
        <f t="shared" si="8"/>
        <v>1</v>
      </c>
      <c r="R92" s="26">
        <f t="shared" si="9"/>
        <v>93</v>
      </c>
      <c r="S92" s="27" t="str">
        <f t="shared" si="10"/>
        <v>PASS</v>
      </c>
      <c r="T92" s="27" t="str">
        <f>IF((COUNTIF(LOCAL_REFERENCE!$D92:$O92,E92)+COUNTIF(LOCAL_REFERENCE!$D92:$O92,H92)+COUNTIF(LOCAL_REFERENCE!$D92:$O92,I92)+COUNTIF(LOCAL_REFERENCE!$D92:$O92,J92)+COUNTIF(LOCAL_REFERENCE!$D92:$O92,K92)+COUNTIF(LOCAL_REFERENCE!$D92:$O92,L92)+COUNTIF(LOCAL_REFERENCE!$D92:$O92,M92)+COUNTIF(LOCAL_REFERENCE!$D92:$O92,N92)+COUNTIF(LOCAL_REFERENCE!$D92:$O92,O92)+COUNTIF(LOCAL_REFERENCE!$D92:$O92,P92))=0,"PASS","FAIL")</f>
        <v>PASS</v>
      </c>
      <c r="U92" s="27" t="str">
        <f>IF((COUNTIF(VPS_REFERENCE!$D92:$H92,E92)+COUNTIF(VPS_REFERENCE!$D92:$H92,H92)+COUNTIF(VPS_REFERENCE!$D92:$H92,I92)+COUNTIF(VPS_REFERENCE!$D92:$H92,J92)+COUNTIF(VPS_REFERENCE!$D92:$H92,K92)+COUNTIF(VPS_REFERENCE!$D92:$H92,L92)+COUNTIF(VPS_REFERENCE!$D92:$H92,M92)+COUNTIF(VPS_REFERENCE!$D92:$H92,N92)+COUNTIF(VPS_REFERENCE!$D92:$H92,O92)+COUNTIF(VPS_REFERENCE!$D92:$H92,P92))=0,"PASS","FAIL")</f>
        <v>PASS</v>
      </c>
      <c r="V92" s="27" t="str">
        <f t="shared" si="11"/>
        <v>PASS</v>
      </c>
      <c r="W92" s="28" t="str">
        <f>CRAWL_LOG!B92</f>
        <v>Chưa chạy</v>
      </c>
      <c r="X92" s="36" t="s">
        <v>57</v>
      </c>
    </row>
    <row r="93" spans="1:24">
      <c r="A93" s="29">
        <v>46356</v>
      </c>
      <c r="B93" s="30" t="s">
        <v>61</v>
      </c>
      <c r="C93" s="30" t="s">
        <v>54</v>
      </c>
      <c r="D93" s="30" t="s">
        <v>10</v>
      </c>
      <c r="E93" s="31">
        <f>SLOT_RULES!$D$4+IF($A93&lt;=SLOT_RULES!$D$4,0,INT(($A93-SLOT_RULES!$D$4-1)/SLOT_RULES!$E$4)+1)*SLOT_RULES!$E$4</f>
        <v>46381</v>
      </c>
      <c r="F93" s="64"/>
      <c r="G93" s="64"/>
      <c r="H93" s="31">
        <f>SLOT_RULES!$D$7+IF($A93&lt;=SLOT_RULES!$D$7,0,INT(($A93-SLOT_RULES!$D$7-1)/SLOT_RULES!$E$7)+1)*SLOT_RULES!$E$7</f>
        <v>46374</v>
      </c>
      <c r="I93" s="31">
        <f>SLOT_RULES!$D$8+IF($A93&lt;=SLOT_RULES!$D$8,0,INT(($A93-SLOT_RULES!$D$8-1)/SLOT_RULES!$E$8)+1)*SLOT_RULES!$E$8</f>
        <v>46356</v>
      </c>
      <c r="J93" s="31">
        <f>SLOT_RULES!$D$9+IF($A93&lt;=SLOT_RULES!$D$9,0,INT(($A93-SLOT_RULES!$D$9-1)/SLOT_RULES!$E$9)+1)*SLOT_RULES!$E$9</f>
        <v>46370</v>
      </c>
      <c r="K93" s="31">
        <f>SLOT_RULES!$D$10+IF($A93&lt;=SLOT_RULES!$D$10,0,INT(($A93-SLOT_RULES!$D$10-1)/SLOT_RULES!$E$10)+1)*SLOT_RULES!$E$10</f>
        <v>46357</v>
      </c>
      <c r="L93" s="31">
        <f>SLOT_RULES!$D$11+IF($A93&lt;=SLOT_RULES!$D$11,0,INT(($A93-SLOT_RULES!$D$11-1)/SLOT_RULES!$E$11)+1)*SLOT_RULES!$E$11</f>
        <v>46364</v>
      </c>
      <c r="M93" s="31">
        <f>SLOT_RULES!$D$12+IF($A93&lt;=SLOT_RULES!$D$12,0,INT(($A93-SLOT_RULES!$D$12-1)/SLOT_RULES!$E$12)+1)*SLOT_RULES!$E$12</f>
        <v>46369</v>
      </c>
      <c r="N93" s="31">
        <f>SLOT_RULES!$D$13+IF($A93&lt;=SLOT_RULES!$D$13,0,INT(($A93-SLOT_RULES!$D$13-1)/SLOT_RULES!$E$13)+1)*SLOT_RULES!$E$13</f>
        <v>46391</v>
      </c>
      <c r="O93" s="31">
        <f>SLOT_RULES!$D$14+IF($A93&lt;=SLOT_RULES!$D$14,0,INT(($A93-SLOT_RULES!$D$14-1)/SLOT_RULES!$E$14)+1)*SLOT_RULES!$E$14</f>
        <v>46448</v>
      </c>
      <c r="P93" s="31">
        <f>SLOT_RULES!$D$15+IF($A93&lt;=SLOT_RULES!$D$15,0,INT(($A93-SLOT_RULES!$D$15-1)/SLOT_RULES!$E$15)+1)*SLOT_RULES!$E$15</f>
        <v>46422</v>
      </c>
      <c r="Q93" s="32">
        <f t="shared" si="8"/>
        <v>0</v>
      </c>
      <c r="R93" s="32">
        <f t="shared" si="9"/>
        <v>92</v>
      </c>
      <c r="S93" s="33" t="str">
        <f t="shared" si="10"/>
        <v>PASS</v>
      </c>
      <c r="T93" s="33" t="str">
        <f>IF((COUNTIF(LOCAL_REFERENCE!$D93:$O93,E93)+COUNTIF(LOCAL_REFERENCE!$D93:$O93,H93)+COUNTIF(LOCAL_REFERENCE!$D93:$O93,I93)+COUNTIF(LOCAL_REFERENCE!$D93:$O93,J93)+COUNTIF(LOCAL_REFERENCE!$D93:$O93,K93)+COUNTIF(LOCAL_REFERENCE!$D93:$O93,L93)+COUNTIF(LOCAL_REFERENCE!$D93:$O93,M93)+COUNTIF(LOCAL_REFERENCE!$D93:$O93,N93)+COUNTIF(LOCAL_REFERENCE!$D93:$O93,O93)+COUNTIF(LOCAL_REFERENCE!$D93:$O93,P93))=0,"PASS","FAIL")</f>
        <v>PASS</v>
      </c>
      <c r="U93" s="33" t="str">
        <f>IF((COUNTIF(VPS_REFERENCE!$D93:$H93,E93)+COUNTIF(VPS_REFERENCE!$D93:$H93,H93)+COUNTIF(VPS_REFERENCE!$D93:$H93,I93)+COUNTIF(VPS_REFERENCE!$D93:$H93,J93)+COUNTIF(VPS_REFERENCE!$D93:$H93,K93)+COUNTIF(VPS_REFERENCE!$D93:$H93,L93)+COUNTIF(VPS_REFERENCE!$D93:$H93,M93)+COUNTIF(VPS_REFERENCE!$D93:$H93,N93)+COUNTIF(VPS_REFERENCE!$D93:$H93,O93)+COUNTIF(VPS_REFERENCE!$D93:$H93,P93))=0,"PASS","FAIL")</f>
        <v>PASS</v>
      </c>
      <c r="V93" s="33" t="str">
        <f t="shared" si="11"/>
        <v>PASS</v>
      </c>
      <c r="W93" s="34" t="str">
        <f>CRAWL_LOG!B93</f>
        <v>Chưa chạy</v>
      </c>
      <c r="X93" s="37" t="s">
        <v>57</v>
      </c>
    </row>
  </sheetData>
  <mergeCells count="2">
    <mergeCell ref="A2:X2"/>
    <mergeCell ref="A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93"/>
  <sheetViews>
    <sheetView showGridLines="0" tabSelected="1" topLeftCell="A4" workbookViewId="0">
      <selection activeCell="D32" sqref="D32"/>
    </sheetView>
  </sheetViews>
  <sheetFormatPr defaultRowHeight="14"/>
  <cols>
    <col min="1" max="1" width="14" customWidth="1"/>
    <col min="2" max="2" width="22" customWidth="1"/>
    <col min="3" max="3" width="12" customWidth="1"/>
    <col min="4" max="5" width="20" customWidth="1"/>
    <col min="6" max="6" width="16" customWidth="1"/>
    <col min="7" max="8" width="14" customWidth="1"/>
    <col min="9" max="9" width="12" customWidth="1"/>
    <col min="10" max="10" width="10" customWidth="1"/>
    <col min="11" max="11" width="12" customWidth="1"/>
    <col min="12" max="12" width="15" customWidth="1"/>
    <col min="13" max="13" width="10" customWidth="1"/>
    <col min="14" max="14" width="15" customWidth="1"/>
    <col min="15" max="15" width="14" customWidth="1"/>
    <col min="16" max="16" width="18" customWidth="1"/>
    <col min="17" max="17" width="48" customWidth="1"/>
  </cols>
  <sheetData>
    <row r="1" spans="1:17" ht="30" customHeight="1">
      <c r="A1" s="75" t="s">
        <v>63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</row>
    <row r="2" spans="1:17" ht="14.5">
      <c r="A2" s="74" t="s">
        <v>64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</row>
    <row r="3" spans="1:17" ht="30" customHeight="1">
      <c r="A3" s="1" t="s">
        <v>30</v>
      </c>
      <c r="B3" s="1" t="s">
        <v>65</v>
      </c>
      <c r="C3" s="1" t="s">
        <v>66</v>
      </c>
      <c r="D3" s="1" t="s">
        <v>67</v>
      </c>
      <c r="E3" s="1" t="s">
        <v>68</v>
      </c>
      <c r="F3" s="1" t="s">
        <v>69</v>
      </c>
      <c r="G3" s="1" t="s">
        <v>70</v>
      </c>
      <c r="H3" s="1" t="s">
        <v>71</v>
      </c>
      <c r="I3" s="1" t="s">
        <v>72</v>
      </c>
      <c r="J3" s="1" t="s">
        <v>73</v>
      </c>
      <c r="K3" s="1" t="s">
        <v>74</v>
      </c>
      <c r="L3" s="1" t="s">
        <v>75</v>
      </c>
      <c r="M3" s="1" t="s">
        <v>76</v>
      </c>
      <c r="N3" s="1" t="s">
        <v>77</v>
      </c>
      <c r="O3" s="1" t="s">
        <v>78</v>
      </c>
      <c r="P3" s="1" t="s">
        <v>79</v>
      </c>
      <c r="Q3" s="1" t="s">
        <v>80</v>
      </c>
    </row>
    <row r="4" spans="1:17">
      <c r="A4" s="14">
        <v>46267</v>
      </c>
      <c r="B4" s="11" t="s">
        <v>81</v>
      </c>
      <c r="C4" s="11" t="s">
        <v>82</v>
      </c>
      <c r="D4" s="38">
        <v>46267.047407407408</v>
      </c>
      <c r="E4" s="38">
        <v>46268.006030092591</v>
      </c>
      <c r="F4" s="41">
        <f t="shared" ref="F4:F35" si="0">IF(AND(D4&lt;&gt;"",E4&lt;&gt;""),(E4-D4)*24,"")</f>
        <v>23.006944444379769</v>
      </c>
      <c r="G4" s="44">
        <v>4260</v>
      </c>
      <c r="H4" s="44">
        <v>4260</v>
      </c>
      <c r="I4" s="44">
        <v>3862</v>
      </c>
      <c r="J4" s="44">
        <v>0</v>
      </c>
      <c r="K4" s="44">
        <v>314</v>
      </c>
      <c r="L4" s="44">
        <v>72</v>
      </c>
      <c r="M4" s="44">
        <v>12</v>
      </c>
      <c r="N4" s="44">
        <v>35737</v>
      </c>
      <c r="O4" s="44">
        <v>12</v>
      </c>
      <c r="P4" s="11" t="s">
        <v>83</v>
      </c>
      <c r="Q4" s="11" t="s">
        <v>84</v>
      </c>
    </row>
    <row r="5" spans="1:17">
      <c r="A5" s="15">
        <v>46268</v>
      </c>
      <c r="B5" s="12" t="s">
        <v>85</v>
      </c>
      <c r="C5" s="12"/>
      <c r="D5" s="39"/>
      <c r="E5" s="39"/>
      <c r="F5" s="42" t="str">
        <f t="shared" si="0"/>
        <v/>
      </c>
      <c r="G5" s="45"/>
      <c r="H5" s="45"/>
      <c r="I5" s="45"/>
      <c r="J5" s="45"/>
      <c r="K5" s="45"/>
      <c r="L5" s="45"/>
      <c r="M5" s="45"/>
      <c r="N5" s="45"/>
      <c r="O5" s="45">
        <v>10</v>
      </c>
      <c r="P5" s="12" t="s">
        <v>83</v>
      </c>
      <c r="Q5" s="12" t="s">
        <v>86</v>
      </c>
    </row>
    <row r="6" spans="1:17">
      <c r="A6" s="15">
        <v>46269</v>
      </c>
      <c r="B6" s="12" t="s">
        <v>26</v>
      </c>
      <c r="C6" s="12"/>
      <c r="D6" s="39"/>
      <c r="E6" s="39"/>
      <c r="F6" s="42" t="str">
        <f t="shared" si="0"/>
        <v/>
      </c>
      <c r="G6" s="45"/>
      <c r="H6" s="45"/>
      <c r="I6" s="45"/>
      <c r="J6" s="45"/>
      <c r="K6" s="45"/>
      <c r="L6" s="45"/>
      <c r="M6" s="45"/>
      <c r="N6" s="45"/>
      <c r="O6" s="45">
        <v>10</v>
      </c>
      <c r="P6" s="12" t="s">
        <v>83</v>
      </c>
      <c r="Q6" s="12"/>
    </row>
    <row r="7" spans="1:17">
      <c r="A7" s="15">
        <v>46270</v>
      </c>
      <c r="B7" s="12" t="s">
        <v>81</v>
      </c>
      <c r="C7" s="12" t="s">
        <v>87</v>
      </c>
      <c r="D7" s="39">
        <v>46270.022440590277</v>
      </c>
      <c r="E7" s="39">
        <v>46270.554462974527</v>
      </c>
      <c r="F7" s="42">
        <f t="shared" si="0"/>
        <v>12.768537222000305</v>
      </c>
      <c r="G7" s="45">
        <v>2478</v>
      </c>
      <c r="H7" s="45">
        <v>2478</v>
      </c>
      <c r="I7" s="45">
        <v>2190</v>
      </c>
      <c r="J7" s="45">
        <v>0</v>
      </c>
      <c r="K7" s="45">
        <v>253</v>
      </c>
      <c r="L7" s="45">
        <v>21</v>
      </c>
      <c r="M7" s="45">
        <v>14</v>
      </c>
      <c r="N7" s="45">
        <v>20413</v>
      </c>
      <c r="O7" s="45">
        <v>7</v>
      </c>
      <c r="P7" s="12" t="s">
        <v>83</v>
      </c>
      <c r="Q7" s="12" t="s">
        <v>88</v>
      </c>
    </row>
    <row r="8" spans="1:17">
      <c r="A8" s="15">
        <v>46271</v>
      </c>
      <c r="B8" s="12" t="s">
        <v>81</v>
      </c>
      <c r="C8" s="12" t="s">
        <v>89</v>
      </c>
      <c r="D8" s="39">
        <v>46271.024213553239</v>
      </c>
      <c r="E8" s="39">
        <v>46271.843745914353</v>
      </c>
      <c r="F8" s="42">
        <f t="shared" si="0"/>
        <v>19.668776666745543</v>
      </c>
      <c r="G8" s="45">
        <v>3540</v>
      </c>
      <c r="H8" s="45">
        <v>3540</v>
      </c>
      <c r="I8" s="45">
        <v>3185</v>
      </c>
      <c r="J8" s="45">
        <v>0</v>
      </c>
      <c r="K8" s="45">
        <v>305</v>
      </c>
      <c r="L8" s="45">
        <v>30</v>
      </c>
      <c r="M8" s="45">
        <v>20</v>
      </c>
      <c r="N8" s="45">
        <v>29179</v>
      </c>
      <c r="O8" s="45">
        <v>10</v>
      </c>
      <c r="P8" s="12" t="s">
        <v>83</v>
      </c>
      <c r="Q8" s="12" t="s">
        <v>90</v>
      </c>
    </row>
    <row r="9" spans="1:17">
      <c r="A9" s="15">
        <v>46272</v>
      </c>
      <c r="B9" s="12" t="s">
        <v>81</v>
      </c>
      <c r="C9" s="12" t="s">
        <v>91</v>
      </c>
      <c r="D9" s="39">
        <v>46272.024548773152</v>
      </c>
      <c r="E9" s="39">
        <v>46272.814933159723</v>
      </c>
      <c r="F9" s="42">
        <f t="shared" si="0"/>
        <v>18.96922527771676</v>
      </c>
      <c r="G9" s="45">
        <v>3540</v>
      </c>
      <c r="H9" s="45">
        <v>3540</v>
      </c>
      <c r="I9" s="45">
        <v>3177</v>
      </c>
      <c r="J9" s="45">
        <v>0</v>
      </c>
      <c r="K9" s="45">
        <v>313</v>
      </c>
      <c r="L9" s="45">
        <v>30</v>
      </c>
      <c r="M9" s="45">
        <v>20</v>
      </c>
      <c r="N9" s="45">
        <v>28420</v>
      </c>
      <c r="O9" s="45">
        <v>10</v>
      </c>
      <c r="P9" s="12" t="s">
        <v>83</v>
      </c>
      <c r="Q9" s="12" t="s">
        <v>92</v>
      </c>
    </row>
    <row r="10" spans="1:17">
      <c r="A10" s="15">
        <v>46273</v>
      </c>
      <c r="B10" s="12" t="s">
        <v>81</v>
      </c>
      <c r="C10" s="12" t="s">
        <v>93</v>
      </c>
      <c r="D10" s="39">
        <v>46273.023554652777</v>
      </c>
      <c r="E10" s="39">
        <v>46273.820851701392</v>
      </c>
      <c r="F10" s="42">
        <f t="shared" si="0"/>
        <v>19.135129166767001</v>
      </c>
      <c r="G10" s="45">
        <v>3540</v>
      </c>
      <c r="H10" s="45">
        <v>3540</v>
      </c>
      <c r="I10" s="45">
        <v>3174</v>
      </c>
      <c r="J10" s="45">
        <v>0</v>
      </c>
      <c r="K10" s="45">
        <v>306</v>
      </c>
      <c r="L10" s="45">
        <v>40</v>
      </c>
      <c r="M10" s="45">
        <v>20</v>
      </c>
      <c r="N10" s="45">
        <v>29258</v>
      </c>
      <c r="O10" s="45">
        <v>10</v>
      </c>
      <c r="P10" s="12" t="s">
        <v>83</v>
      </c>
      <c r="Q10" s="12" t="s">
        <v>94</v>
      </c>
    </row>
    <row r="11" spans="1:17">
      <c r="A11" s="15">
        <v>46274</v>
      </c>
      <c r="B11" s="12" t="s">
        <v>81</v>
      </c>
      <c r="C11" s="12" t="s">
        <v>95</v>
      </c>
      <c r="D11" s="39">
        <v>46274.025727268519</v>
      </c>
      <c r="E11" s="39">
        <v>46275.027704305547</v>
      </c>
      <c r="F11" s="42">
        <f t="shared" si="0"/>
        <v>24.047448888653889</v>
      </c>
      <c r="G11" s="45">
        <v>3540</v>
      </c>
      <c r="H11" s="45">
        <v>3540</v>
      </c>
      <c r="I11" s="45">
        <v>3165</v>
      </c>
      <c r="J11" s="45">
        <v>0</v>
      </c>
      <c r="K11" s="45">
        <v>305</v>
      </c>
      <c r="L11" s="45">
        <v>50</v>
      </c>
      <c r="M11" s="45">
        <v>20</v>
      </c>
      <c r="N11" s="45">
        <v>29944</v>
      </c>
      <c r="O11" s="45">
        <v>10</v>
      </c>
      <c r="P11" s="12" t="s">
        <v>83</v>
      </c>
      <c r="Q11" s="12" t="s">
        <v>96</v>
      </c>
    </row>
    <row r="12" spans="1:17">
      <c r="A12" s="15">
        <v>46275</v>
      </c>
      <c r="B12" s="12" t="s">
        <v>81</v>
      </c>
      <c r="C12" s="12" t="s">
        <v>97</v>
      </c>
      <c r="D12" s="39">
        <v>46275.022729837961</v>
      </c>
      <c r="E12" s="39">
        <v>46275.837407557869</v>
      </c>
      <c r="F12" s="42">
        <f t="shared" si="0"/>
        <v>19.552265277772676</v>
      </c>
      <c r="G12" s="45">
        <v>3540</v>
      </c>
      <c r="H12" s="45">
        <v>3540</v>
      </c>
      <c r="I12" s="45">
        <v>3165</v>
      </c>
      <c r="J12" s="45">
        <v>0</v>
      </c>
      <c r="K12" s="45">
        <v>305</v>
      </c>
      <c r="L12" s="45">
        <v>50</v>
      </c>
      <c r="M12" s="45">
        <v>20</v>
      </c>
      <c r="N12" s="45">
        <v>29811</v>
      </c>
      <c r="O12" s="45">
        <v>10</v>
      </c>
      <c r="P12" s="12" t="s">
        <v>83</v>
      </c>
      <c r="Q12" s="12" t="s">
        <v>98</v>
      </c>
    </row>
    <row r="13" spans="1:17">
      <c r="A13" s="15">
        <v>46276</v>
      </c>
      <c r="B13" s="12" t="s">
        <v>81</v>
      </c>
      <c r="C13" s="12" t="s">
        <v>99</v>
      </c>
      <c r="D13" s="39">
        <v>46276.023897500003</v>
      </c>
      <c r="E13" s="39">
        <v>46276.855250023153</v>
      </c>
      <c r="F13" s="42">
        <f t="shared" si="0"/>
        <v>19.952460555592552</v>
      </c>
      <c r="G13" s="45">
        <v>3540</v>
      </c>
      <c r="H13" s="45">
        <v>3540</v>
      </c>
      <c r="I13" s="45">
        <v>3174</v>
      </c>
      <c r="J13" s="45">
        <v>0</v>
      </c>
      <c r="K13" s="45">
        <v>316</v>
      </c>
      <c r="L13" s="45">
        <v>30</v>
      </c>
      <c r="M13" s="45">
        <v>20</v>
      </c>
      <c r="N13" s="45">
        <v>30010</v>
      </c>
      <c r="O13" s="45">
        <v>10</v>
      </c>
      <c r="P13" s="12" t="s">
        <v>83</v>
      </c>
      <c r="Q13" s="12" t="s">
        <v>100</v>
      </c>
    </row>
    <row r="14" spans="1:17">
      <c r="A14" s="15">
        <v>46277</v>
      </c>
      <c r="B14" s="12" t="s">
        <v>81</v>
      </c>
      <c r="C14" s="12" t="s">
        <v>101</v>
      </c>
      <c r="D14" s="39">
        <v>46277.023852407408</v>
      </c>
      <c r="E14" s="39">
        <v>46277.83505616898</v>
      </c>
      <c r="F14" s="42">
        <f t="shared" si="0"/>
        <v>19.468890277727041</v>
      </c>
      <c r="G14" s="45">
        <v>3540</v>
      </c>
      <c r="H14" s="45">
        <v>3540</v>
      </c>
      <c r="I14" s="45">
        <v>3175</v>
      </c>
      <c r="J14" s="45">
        <v>0</v>
      </c>
      <c r="K14" s="45">
        <v>315</v>
      </c>
      <c r="L14" s="45">
        <v>30</v>
      </c>
      <c r="M14" s="45">
        <v>20</v>
      </c>
      <c r="N14" s="45">
        <v>29730</v>
      </c>
      <c r="O14" s="45">
        <v>10</v>
      </c>
      <c r="P14" s="12" t="s">
        <v>83</v>
      </c>
      <c r="Q14" s="12" t="s">
        <v>102</v>
      </c>
    </row>
    <row r="15" spans="1:17">
      <c r="A15" s="15">
        <v>46278</v>
      </c>
      <c r="B15" s="12" t="s">
        <v>81</v>
      </c>
      <c r="C15" s="12" t="s">
        <v>103</v>
      </c>
      <c r="D15" s="39">
        <v>46277.732175925928</v>
      </c>
      <c r="E15" s="39">
        <v>46278.796890625003</v>
      </c>
      <c r="F15" s="42">
        <f t="shared" si="0"/>
        <v>25.55315277777845</v>
      </c>
      <c r="G15" s="45">
        <v>3540</v>
      </c>
      <c r="H15" s="45">
        <v>3540</v>
      </c>
      <c r="I15" s="45">
        <v>3175</v>
      </c>
      <c r="J15" s="45">
        <v>0</v>
      </c>
      <c r="K15" s="45">
        <v>315</v>
      </c>
      <c r="L15" s="45">
        <v>30</v>
      </c>
      <c r="M15" s="45">
        <v>20</v>
      </c>
      <c r="N15" s="45">
        <v>29379</v>
      </c>
      <c r="O15" s="45">
        <v>10</v>
      </c>
      <c r="P15" s="12" t="s">
        <v>83</v>
      </c>
      <c r="Q15" s="12" t="s">
        <v>104</v>
      </c>
    </row>
    <row r="16" spans="1:17">
      <c r="A16" s="15">
        <v>46279</v>
      </c>
      <c r="B16" s="12" t="s">
        <v>81</v>
      </c>
      <c r="C16" s="12" t="s">
        <v>105</v>
      </c>
      <c r="D16" s="39">
        <v>46278.728564814817</v>
      </c>
      <c r="E16" s="39">
        <v>46279.906201111109</v>
      </c>
      <c r="F16" s="42">
        <f t="shared" si="0"/>
        <v>28.263271111005452</v>
      </c>
      <c r="G16" s="45">
        <v>3540</v>
      </c>
      <c r="H16" s="45">
        <v>2</v>
      </c>
      <c r="I16" s="45">
        <v>2</v>
      </c>
      <c r="J16" s="45"/>
      <c r="K16" s="45"/>
      <c r="L16" s="45"/>
      <c r="M16" s="45"/>
      <c r="N16" s="45"/>
      <c r="O16" s="45">
        <v>10</v>
      </c>
      <c r="P16" s="12" t="s">
        <v>83</v>
      </c>
      <c r="Q16" s="12" t="s">
        <v>106</v>
      </c>
    </row>
    <row r="17" spans="1:17">
      <c r="A17" s="15">
        <v>46280</v>
      </c>
      <c r="B17" s="12" t="s">
        <v>81</v>
      </c>
      <c r="C17" s="12" t="s">
        <v>107</v>
      </c>
      <c r="D17" s="39">
        <v>46279.737013888887</v>
      </c>
      <c r="E17" s="39">
        <v>46280.815301377312</v>
      </c>
      <c r="F17" s="42">
        <f t="shared" si="0"/>
        <v>25.878899722185452</v>
      </c>
      <c r="G17" s="45">
        <v>3540</v>
      </c>
      <c r="H17" s="45">
        <v>3540</v>
      </c>
      <c r="I17" s="45">
        <v>3152</v>
      </c>
      <c r="J17" s="45">
        <v>0</v>
      </c>
      <c r="K17" s="45">
        <v>328</v>
      </c>
      <c r="L17" s="45">
        <v>40</v>
      </c>
      <c r="M17" s="45">
        <v>20</v>
      </c>
      <c r="N17" s="45">
        <v>28862</v>
      </c>
      <c r="O17" s="45">
        <v>10</v>
      </c>
      <c r="P17" s="12" t="s">
        <v>83</v>
      </c>
      <c r="Q17" s="12" t="s">
        <v>108</v>
      </c>
    </row>
    <row r="18" spans="1:17">
      <c r="A18" s="15">
        <v>46281</v>
      </c>
      <c r="B18" s="12" t="s">
        <v>81</v>
      </c>
      <c r="C18" s="12" t="s">
        <v>109</v>
      </c>
      <c r="D18" s="39">
        <v>46281.026724016207</v>
      </c>
      <c r="E18" s="39">
        <v>46281.813714444441</v>
      </c>
      <c r="F18" s="42">
        <f t="shared" si="0"/>
        <v>18.887770277622622</v>
      </c>
      <c r="G18" s="45">
        <v>3540</v>
      </c>
      <c r="H18" s="45">
        <v>3540</v>
      </c>
      <c r="I18" s="45">
        <v>3170</v>
      </c>
      <c r="J18" s="45">
        <v>0</v>
      </c>
      <c r="K18" s="45">
        <v>310</v>
      </c>
      <c r="L18" s="45">
        <v>40</v>
      </c>
      <c r="M18" s="45">
        <v>20</v>
      </c>
      <c r="N18" s="45">
        <v>29084</v>
      </c>
      <c r="O18" s="45">
        <v>10</v>
      </c>
      <c r="P18" s="12" t="s">
        <v>83</v>
      </c>
      <c r="Q18" s="12" t="s">
        <v>110</v>
      </c>
    </row>
    <row r="19" spans="1:17">
      <c r="A19" s="15">
        <v>46282</v>
      </c>
      <c r="B19" s="12" t="s">
        <v>81</v>
      </c>
      <c r="C19" s="12" t="s">
        <v>111</v>
      </c>
      <c r="D19" s="39">
        <v>46282.022668506943</v>
      </c>
      <c r="E19" s="39">
        <v>46282.783988101852</v>
      </c>
      <c r="F19" s="42">
        <f t="shared" si="0"/>
        <v>18.271670277812518</v>
      </c>
      <c r="G19" s="45">
        <v>3540</v>
      </c>
      <c r="H19" s="45">
        <v>3540</v>
      </c>
      <c r="I19" s="45">
        <v>3121</v>
      </c>
      <c r="J19" s="45">
        <v>0</v>
      </c>
      <c r="K19" s="45">
        <v>309</v>
      </c>
      <c r="L19" s="45">
        <v>90</v>
      </c>
      <c r="M19" s="45">
        <v>20</v>
      </c>
      <c r="N19" s="45">
        <v>28229</v>
      </c>
      <c r="O19" s="45">
        <v>10</v>
      </c>
      <c r="P19" s="12" t="s">
        <v>83</v>
      </c>
      <c r="Q19" s="12" t="s">
        <v>112</v>
      </c>
    </row>
    <row r="20" spans="1:17">
      <c r="A20" s="15">
        <v>46283</v>
      </c>
      <c r="B20" s="12" t="s">
        <v>81</v>
      </c>
      <c r="C20" s="12" t="s">
        <v>113</v>
      </c>
      <c r="D20" s="39">
        <v>46283.024243599539</v>
      </c>
      <c r="E20" s="39">
        <v>46283.786229502322</v>
      </c>
      <c r="F20" s="42">
        <f t="shared" si="0"/>
        <v>18.287661666807253</v>
      </c>
      <c r="G20" s="45">
        <v>3540</v>
      </c>
      <c r="H20" s="45">
        <v>3540</v>
      </c>
      <c r="I20" s="45">
        <v>3133</v>
      </c>
      <c r="J20" s="45">
        <v>0</v>
      </c>
      <c r="K20" s="45">
        <v>307</v>
      </c>
      <c r="L20" s="45">
        <v>80</v>
      </c>
      <c r="M20" s="45">
        <v>20</v>
      </c>
      <c r="N20" s="45">
        <v>28008</v>
      </c>
      <c r="O20" s="45">
        <v>10</v>
      </c>
      <c r="P20" s="12" t="s">
        <v>83</v>
      </c>
      <c r="Q20" s="12" t="s">
        <v>114</v>
      </c>
    </row>
    <row r="21" spans="1:17">
      <c r="A21" s="15">
        <v>46284</v>
      </c>
      <c r="B21" s="12" t="s">
        <v>81</v>
      </c>
      <c r="C21" s="12" t="s">
        <v>115</v>
      </c>
      <c r="D21" s="39">
        <v>46284.022939907409</v>
      </c>
      <c r="E21" s="39">
        <v>46284.788435659721</v>
      </c>
      <c r="F21" s="42">
        <f t="shared" si="0"/>
        <v>18.371898055484053</v>
      </c>
      <c r="G21" s="45">
        <v>3540</v>
      </c>
      <c r="H21" s="45">
        <v>3540</v>
      </c>
      <c r="I21" s="45">
        <v>3156</v>
      </c>
      <c r="J21" s="45">
        <v>0</v>
      </c>
      <c r="K21" s="45">
        <v>314</v>
      </c>
      <c r="L21" s="45">
        <v>50</v>
      </c>
      <c r="M21" s="45">
        <v>20</v>
      </c>
      <c r="N21" s="45">
        <v>28398</v>
      </c>
      <c r="O21" s="45">
        <v>10</v>
      </c>
      <c r="P21" s="12" t="s">
        <v>83</v>
      </c>
      <c r="Q21" s="12" t="s">
        <v>116</v>
      </c>
    </row>
    <row r="22" spans="1:17">
      <c r="A22" s="15">
        <v>46285</v>
      </c>
      <c r="B22" s="12" t="s">
        <v>81</v>
      </c>
      <c r="C22" s="12" t="s">
        <v>117</v>
      </c>
      <c r="D22" s="39">
        <v>46285.093640740743</v>
      </c>
      <c r="E22" s="39">
        <v>46285.870942824084</v>
      </c>
      <c r="F22" s="42">
        <f t="shared" si="0"/>
        <v>18.655250000185333</v>
      </c>
      <c r="G22" s="45">
        <v>3540</v>
      </c>
      <c r="H22" s="45">
        <v>3540</v>
      </c>
      <c r="I22" s="45">
        <v>3140</v>
      </c>
      <c r="J22" s="45">
        <v>0</v>
      </c>
      <c r="K22" s="45">
        <v>340</v>
      </c>
      <c r="L22" s="45">
        <v>40</v>
      </c>
      <c r="M22" s="45">
        <v>20</v>
      </c>
      <c r="N22" s="45">
        <v>28144</v>
      </c>
      <c r="O22" s="45">
        <v>10</v>
      </c>
      <c r="P22" s="12" t="s">
        <v>83</v>
      </c>
      <c r="Q22" s="12" t="s">
        <v>118</v>
      </c>
    </row>
    <row r="23" spans="1:17">
      <c r="A23" s="15">
        <v>46286</v>
      </c>
      <c r="B23" s="12" t="s">
        <v>81</v>
      </c>
      <c r="C23" s="12" t="s">
        <v>119</v>
      </c>
      <c r="D23" s="39">
        <v>46286.031203657411</v>
      </c>
      <c r="E23" s="39">
        <v>46286.809916759259</v>
      </c>
      <c r="F23" s="42">
        <f t="shared" si="0"/>
        <v>18.689114444365259</v>
      </c>
      <c r="G23" s="45">
        <v>3540</v>
      </c>
      <c r="H23" s="45">
        <v>3540</v>
      </c>
      <c r="I23" s="45">
        <v>3141</v>
      </c>
      <c r="J23" s="45">
        <v>0</v>
      </c>
      <c r="K23" s="45">
        <v>329</v>
      </c>
      <c r="L23" s="45">
        <v>50</v>
      </c>
      <c r="M23" s="45">
        <v>20</v>
      </c>
      <c r="N23" s="45">
        <v>27670</v>
      </c>
      <c r="O23" s="45">
        <v>10</v>
      </c>
      <c r="P23" s="12" t="s">
        <v>83</v>
      </c>
      <c r="Q23" s="12" t="s">
        <v>120</v>
      </c>
    </row>
    <row r="24" spans="1:17">
      <c r="A24" s="15">
        <v>46287</v>
      </c>
      <c r="B24" s="12" t="s">
        <v>81</v>
      </c>
      <c r="C24" s="12" t="s">
        <v>121</v>
      </c>
      <c r="D24" s="39">
        <v>46287.02310820602</v>
      </c>
      <c r="E24" s="39">
        <v>46287.81497712963</v>
      </c>
      <c r="F24" s="42">
        <f t="shared" si="0"/>
        <v>19.004854166647419</v>
      </c>
      <c r="G24" s="45">
        <v>3540</v>
      </c>
      <c r="H24" s="45">
        <v>3540</v>
      </c>
      <c r="I24" s="45">
        <v>3149</v>
      </c>
      <c r="J24" s="45">
        <v>0</v>
      </c>
      <c r="K24" s="45">
        <v>331</v>
      </c>
      <c r="L24" s="45">
        <v>40</v>
      </c>
      <c r="M24" s="45">
        <v>20</v>
      </c>
      <c r="N24" s="45">
        <v>28858</v>
      </c>
      <c r="O24" s="45">
        <v>10</v>
      </c>
      <c r="P24" s="12" t="s">
        <v>83</v>
      </c>
      <c r="Q24" s="12" t="s">
        <v>122</v>
      </c>
    </row>
    <row r="25" spans="1:17">
      <c r="A25" s="15">
        <v>46288</v>
      </c>
      <c r="B25" s="12" t="s">
        <v>81</v>
      </c>
      <c r="C25" s="12" t="s">
        <v>123</v>
      </c>
      <c r="D25" s="39">
        <v>46288.023363067128</v>
      </c>
      <c r="E25" s="39">
        <v>46288.807622453707</v>
      </c>
      <c r="F25" s="42">
        <f t="shared" si="0"/>
        <v>18.822225277894177</v>
      </c>
      <c r="G25" s="45">
        <v>3540</v>
      </c>
      <c r="H25" s="45">
        <v>3540</v>
      </c>
      <c r="I25" s="45">
        <v>3148</v>
      </c>
      <c r="J25" s="45">
        <v>0</v>
      </c>
      <c r="K25" s="45">
        <v>342</v>
      </c>
      <c r="L25" s="45">
        <v>30</v>
      </c>
      <c r="M25" s="45">
        <v>20</v>
      </c>
      <c r="N25" s="45">
        <v>28828</v>
      </c>
      <c r="O25" s="45">
        <v>10</v>
      </c>
      <c r="P25" s="12" t="s">
        <v>83</v>
      </c>
      <c r="Q25" s="12" t="s">
        <v>124</v>
      </c>
    </row>
    <row r="26" spans="1:17">
      <c r="A26" s="15">
        <v>46289</v>
      </c>
      <c r="B26" s="12" t="s">
        <v>81</v>
      </c>
      <c r="C26" s="12" t="s">
        <v>125</v>
      </c>
      <c r="D26" s="39">
        <v>46289.028721111114</v>
      </c>
      <c r="E26" s="39">
        <v>46289.82281957176</v>
      </c>
      <c r="F26" s="42">
        <f t="shared" si="0"/>
        <v>19.058363055519294</v>
      </c>
      <c r="G26" s="45">
        <v>3540</v>
      </c>
      <c r="H26" s="45">
        <v>3540</v>
      </c>
      <c r="I26" s="45">
        <v>3093</v>
      </c>
      <c r="J26" s="45">
        <v>0</v>
      </c>
      <c r="K26" s="45">
        <v>387</v>
      </c>
      <c r="L26" s="45">
        <v>40</v>
      </c>
      <c r="M26" s="45">
        <v>20</v>
      </c>
      <c r="N26" s="45">
        <v>28165</v>
      </c>
      <c r="O26" s="45">
        <v>10</v>
      </c>
      <c r="P26" s="12" t="s">
        <v>83</v>
      </c>
      <c r="Q26" s="12" t="s">
        <v>126</v>
      </c>
    </row>
    <row r="27" spans="1:17">
      <c r="A27" s="15">
        <v>46290</v>
      </c>
      <c r="B27" s="12" t="s">
        <v>81</v>
      </c>
      <c r="C27" s="12" t="s">
        <v>127</v>
      </c>
      <c r="D27" s="39">
        <v>46290.023404490741</v>
      </c>
      <c r="E27" s="39">
        <v>46290.916813761571</v>
      </c>
      <c r="F27" s="42">
        <f t="shared" si="0"/>
        <v>21.441822499909904</v>
      </c>
      <c r="G27" s="45">
        <v>3540</v>
      </c>
      <c r="H27" s="45">
        <v>3540</v>
      </c>
      <c r="I27" s="45">
        <v>3070</v>
      </c>
      <c r="J27" s="45">
        <v>0</v>
      </c>
      <c r="K27" s="45">
        <v>410</v>
      </c>
      <c r="L27" s="45">
        <v>40</v>
      </c>
      <c r="M27" s="45">
        <v>20</v>
      </c>
      <c r="N27" s="45">
        <v>27956</v>
      </c>
      <c r="O27" s="45">
        <v>10</v>
      </c>
      <c r="P27" s="12" t="s">
        <v>83</v>
      </c>
      <c r="Q27" s="12" t="s">
        <v>128</v>
      </c>
    </row>
    <row r="28" spans="1:17">
      <c r="A28" s="15">
        <v>46291</v>
      </c>
      <c r="B28" s="12" t="s">
        <v>81</v>
      </c>
      <c r="C28" s="12" t="s">
        <v>129</v>
      </c>
      <c r="D28" s="39">
        <v>46291.029141828702</v>
      </c>
      <c r="E28" s="39">
        <v>46292.03074357639</v>
      </c>
      <c r="F28" s="42">
        <f t="shared" si="0"/>
        <v>24.038441944518127</v>
      </c>
      <c r="G28" s="45">
        <v>3540</v>
      </c>
      <c r="H28" s="45">
        <v>3540</v>
      </c>
      <c r="I28" s="45">
        <v>3091</v>
      </c>
      <c r="J28" s="45">
        <v>0</v>
      </c>
      <c r="K28" s="45">
        <v>339</v>
      </c>
      <c r="L28" s="45">
        <v>90</v>
      </c>
      <c r="M28" s="45">
        <v>20</v>
      </c>
      <c r="N28" s="45">
        <v>29386</v>
      </c>
      <c r="O28" s="45">
        <v>10</v>
      </c>
      <c r="P28" s="12" t="s">
        <v>83</v>
      </c>
      <c r="Q28" s="12" t="s">
        <v>130</v>
      </c>
    </row>
    <row r="29" spans="1:17">
      <c r="A29" s="15">
        <v>46292</v>
      </c>
      <c r="B29" s="12" t="s">
        <v>81</v>
      </c>
      <c r="C29" s="12" t="s">
        <v>131</v>
      </c>
      <c r="D29" s="39">
        <v>46292.011988275473</v>
      </c>
      <c r="E29" s="39">
        <v>46293.201295266197</v>
      </c>
      <c r="F29" s="42">
        <f t="shared" si="0"/>
        <v>28.543367777368985</v>
      </c>
      <c r="G29" s="45">
        <v>3540</v>
      </c>
      <c r="H29" s="45">
        <v>3540</v>
      </c>
      <c r="I29" s="45">
        <v>3097</v>
      </c>
      <c r="J29" s="45">
        <v>0</v>
      </c>
      <c r="K29" s="45">
        <v>323</v>
      </c>
      <c r="L29" s="45">
        <v>100</v>
      </c>
      <c r="M29" s="45">
        <v>20</v>
      </c>
      <c r="N29" s="45">
        <v>29294</v>
      </c>
      <c r="O29" s="45">
        <v>10</v>
      </c>
      <c r="P29" s="12" t="s">
        <v>83</v>
      </c>
      <c r="Q29" s="12" t="s">
        <v>132</v>
      </c>
    </row>
    <row r="30" spans="1:17">
      <c r="A30" s="15">
        <v>46293</v>
      </c>
      <c r="B30" s="12" t="s">
        <v>81</v>
      </c>
      <c r="C30" s="12" t="s">
        <v>133</v>
      </c>
      <c r="D30" s="39"/>
      <c r="E30" s="39">
        <v>46294.528786516203</v>
      </c>
      <c r="F30" s="42" t="str">
        <f t="shared" si="0"/>
        <v/>
      </c>
      <c r="G30" s="45">
        <v>3540</v>
      </c>
      <c r="H30" s="45">
        <v>3540</v>
      </c>
      <c r="I30" s="45">
        <v>3105</v>
      </c>
      <c r="J30" s="45">
        <v>0</v>
      </c>
      <c r="K30" s="45">
        <v>315</v>
      </c>
      <c r="L30" s="45">
        <v>100</v>
      </c>
      <c r="M30" s="45">
        <v>20</v>
      </c>
      <c r="N30" s="45">
        <v>29991</v>
      </c>
      <c r="O30" s="45">
        <v>10</v>
      </c>
      <c r="P30" s="12" t="s">
        <v>83</v>
      </c>
      <c r="Q30" s="12" t="s">
        <v>134</v>
      </c>
    </row>
    <row r="31" spans="1:17">
      <c r="A31" s="15">
        <v>46294</v>
      </c>
      <c r="B31" s="12" t="s">
        <v>81</v>
      </c>
      <c r="C31" s="12">
        <v>28</v>
      </c>
      <c r="D31" s="39">
        <v>46294.02076388889</v>
      </c>
      <c r="E31" s="39">
        <v>46294.741967592592</v>
      </c>
      <c r="F31" s="42">
        <f t="shared" si="0"/>
        <v>17.308888888859656</v>
      </c>
      <c r="G31" s="45">
        <v>3540</v>
      </c>
      <c r="H31" s="45">
        <v>3540</v>
      </c>
      <c r="I31" s="45">
        <v>3109</v>
      </c>
      <c r="J31" s="45">
        <v>0</v>
      </c>
      <c r="K31" s="45">
        <v>321</v>
      </c>
      <c r="L31" s="45">
        <v>80</v>
      </c>
      <c r="M31" s="45">
        <v>30</v>
      </c>
      <c r="N31" s="45">
        <v>29923</v>
      </c>
      <c r="O31" s="45">
        <v>10</v>
      </c>
      <c r="P31" s="12" t="s">
        <v>135</v>
      </c>
      <c r="Q31" s="12" t="s">
        <v>136</v>
      </c>
    </row>
    <row r="32" spans="1:17">
      <c r="A32" s="15">
        <v>46295</v>
      </c>
      <c r="B32" s="12" t="s">
        <v>81</v>
      </c>
      <c r="C32" s="12" t="s">
        <v>137</v>
      </c>
      <c r="D32" s="39">
        <v>46295.022718981483</v>
      </c>
      <c r="E32" s="39">
        <v>46296.439269803239</v>
      </c>
      <c r="F32" s="42">
        <f t="shared" si="0"/>
        <v>33.997219722135924</v>
      </c>
      <c r="G32" s="45">
        <v>3540</v>
      </c>
      <c r="H32" s="45">
        <v>3540</v>
      </c>
      <c r="I32" s="45">
        <v>3111</v>
      </c>
      <c r="J32" s="45">
        <v>0</v>
      </c>
      <c r="K32" s="45">
        <v>319</v>
      </c>
      <c r="L32" s="45">
        <v>80</v>
      </c>
      <c r="M32" s="45">
        <v>30</v>
      </c>
      <c r="N32" s="45">
        <v>29571</v>
      </c>
      <c r="O32" s="45">
        <v>10</v>
      </c>
      <c r="P32" s="12" t="s">
        <v>83</v>
      </c>
      <c r="Q32" s="12" t="s">
        <v>138</v>
      </c>
    </row>
    <row r="33" spans="1:17">
      <c r="A33" s="15">
        <v>46296</v>
      </c>
      <c r="B33" s="12" t="s">
        <v>81</v>
      </c>
      <c r="C33" s="12">
        <v>30</v>
      </c>
      <c r="D33" s="39">
        <v>46296.062824074077</v>
      </c>
      <c r="E33" s="39">
        <v>46296.776932870373</v>
      </c>
      <c r="F33" s="42">
        <f t="shared" si="0"/>
        <v>17.13861111109145</v>
      </c>
      <c r="G33" s="45">
        <v>3540</v>
      </c>
      <c r="H33" s="45">
        <v>3540</v>
      </c>
      <c r="I33" s="45">
        <v>3093</v>
      </c>
      <c r="J33" s="45">
        <v>0</v>
      </c>
      <c r="K33" s="45">
        <v>317</v>
      </c>
      <c r="L33" s="45">
        <v>90</v>
      </c>
      <c r="M33" s="45">
        <v>40</v>
      </c>
      <c r="N33" s="45">
        <v>29357</v>
      </c>
      <c r="O33" s="45">
        <v>10</v>
      </c>
      <c r="P33" s="12" t="s">
        <v>135</v>
      </c>
      <c r="Q33" s="12" t="s">
        <v>139</v>
      </c>
    </row>
    <row r="34" spans="1:17">
      <c r="A34" s="15">
        <v>46297</v>
      </c>
      <c r="B34" s="12" t="s">
        <v>81</v>
      </c>
      <c r="C34" s="12" t="s">
        <v>140</v>
      </c>
      <c r="D34" s="39">
        <v>46297.026129085651</v>
      </c>
      <c r="E34" s="39">
        <v>46297.793638946758</v>
      </c>
      <c r="F34" s="42">
        <f t="shared" si="0"/>
        <v>18.420236666570418</v>
      </c>
      <c r="G34" s="45">
        <v>3540</v>
      </c>
      <c r="H34" s="45">
        <v>3540</v>
      </c>
      <c r="I34" s="45">
        <v>3085</v>
      </c>
      <c r="J34" s="45">
        <v>0</v>
      </c>
      <c r="K34" s="45">
        <v>325</v>
      </c>
      <c r="L34" s="45">
        <v>90</v>
      </c>
      <c r="M34" s="45">
        <v>40</v>
      </c>
      <c r="N34" s="45">
        <v>28852</v>
      </c>
      <c r="O34" s="45">
        <v>10</v>
      </c>
      <c r="P34" s="12" t="s">
        <v>83</v>
      </c>
      <c r="Q34" s="12" t="s">
        <v>141</v>
      </c>
    </row>
    <row r="35" spans="1:17">
      <c r="A35" s="15">
        <v>46298</v>
      </c>
      <c r="B35" s="12" t="s">
        <v>81</v>
      </c>
      <c r="C35" s="12" t="s">
        <v>142</v>
      </c>
      <c r="D35" s="39">
        <v>46298.022446921299</v>
      </c>
      <c r="E35" s="39">
        <v>46298.772842488434</v>
      </c>
      <c r="F35" s="42">
        <f t="shared" si="0"/>
        <v>18.009493611229118</v>
      </c>
      <c r="G35" s="45">
        <v>3540</v>
      </c>
      <c r="H35" s="45">
        <v>3540</v>
      </c>
      <c r="I35" s="45">
        <v>3120</v>
      </c>
      <c r="J35" s="45">
        <v>0</v>
      </c>
      <c r="K35" s="45">
        <v>280</v>
      </c>
      <c r="L35" s="45">
        <v>100</v>
      </c>
      <c r="M35" s="45">
        <v>40</v>
      </c>
      <c r="N35" s="45">
        <v>29700</v>
      </c>
      <c r="O35" s="45">
        <v>10</v>
      </c>
      <c r="P35" s="12" t="s">
        <v>83</v>
      </c>
      <c r="Q35" s="12" t="s">
        <v>143</v>
      </c>
    </row>
    <row r="36" spans="1:17">
      <c r="A36" s="15">
        <v>46299</v>
      </c>
      <c r="B36" s="12" t="s">
        <v>81</v>
      </c>
      <c r="C36" s="12" t="s">
        <v>144</v>
      </c>
      <c r="D36" s="39">
        <v>46299.023599363427</v>
      </c>
      <c r="E36" s="39">
        <v>46299.787855595103</v>
      </c>
      <c r="F36" s="42">
        <f t="shared" ref="F36:F67" si="1">IF(AND(D36&lt;&gt;"",E36&lt;&gt;""),(E36-D36)*24,"")</f>
        <v>18.342149560223334</v>
      </c>
      <c r="G36" s="45">
        <v>3540</v>
      </c>
      <c r="H36" s="45">
        <v>3540</v>
      </c>
      <c r="I36" s="45">
        <v>3114</v>
      </c>
      <c r="J36" s="45">
        <v>0</v>
      </c>
      <c r="K36" s="45">
        <v>286</v>
      </c>
      <c r="L36" s="45">
        <v>100</v>
      </c>
      <c r="M36" s="45">
        <v>40</v>
      </c>
      <c r="N36" s="45">
        <v>29355</v>
      </c>
      <c r="O36" s="45">
        <v>10</v>
      </c>
      <c r="P36" s="12" t="s">
        <v>83</v>
      </c>
      <c r="Q36" s="12" t="s">
        <v>145</v>
      </c>
    </row>
    <row r="37" spans="1:17">
      <c r="A37" s="15">
        <v>46300</v>
      </c>
      <c r="B37" s="12" t="s">
        <v>26</v>
      </c>
      <c r="C37" s="12"/>
      <c r="D37" s="39"/>
      <c r="E37" s="39"/>
      <c r="F37" s="42" t="str">
        <f t="shared" si="1"/>
        <v/>
      </c>
      <c r="G37" s="45"/>
      <c r="H37" s="45"/>
      <c r="I37" s="45"/>
      <c r="J37" s="45"/>
      <c r="K37" s="45"/>
      <c r="L37" s="45"/>
      <c r="M37" s="45"/>
      <c r="N37" s="45"/>
      <c r="O37" s="45">
        <v>10</v>
      </c>
      <c r="P37" s="12" t="s">
        <v>83</v>
      </c>
      <c r="Q37" s="12"/>
    </row>
    <row r="38" spans="1:17">
      <c r="A38" s="15">
        <v>46301</v>
      </c>
      <c r="B38" s="12" t="s">
        <v>26</v>
      </c>
      <c r="C38" s="12"/>
      <c r="D38" s="39"/>
      <c r="E38" s="39"/>
      <c r="F38" s="42" t="str">
        <f t="shared" si="1"/>
        <v/>
      </c>
      <c r="G38" s="45"/>
      <c r="H38" s="45"/>
      <c r="I38" s="45"/>
      <c r="J38" s="45"/>
      <c r="K38" s="45"/>
      <c r="L38" s="45"/>
      <c r="M38" s="45"/>
      <c r="N38" s="45"/>
      <c r="O38" s="45">
        <v>10</v>
      </c>
      <c r="P38" s="12" t="s">
        <v>83</v>
      </c>
      <c r="Q38" s="12"/>
    </row>
    <row r="39" spans="1:17">
      <c r="A39" s="15">
        <v>46302</v>
      </c>
      <c r="B39" s="12" t="s">
        <v>26</v>
      </c>
      <c r="C39" s="12"/>
      <c r="D39" s="39"/>
      <c r="E39" s="39"/>
      <c r="F39" s="42" t="str">
        <f t="shared" si="1"/>
        <v/>
      </c>
      <c r="G39" s="45"/>
      <c r="H39" s="45"/>
      <c r="I39" s="45"/>
      <c r="J39" s="45"/>
      <c r="K39" s="45"/>
      <c r="L39" s="45"/>
      <c r="M39" s="45"/>
      <c r="N39" s="45"/>
      <c r="O39" s="45">
        <v>10</v>
      </c>
      <c r="P39" s="12" t="s">
        <v>83</v>
      </c>
      <c r="Q39" s="12"/>
    </row>
    <row r="40" spans="1:17">
      <c r="A40" s="15">
        <v>46303</v>
      </c>
      <c r="B40" s="12" t="s">
        <v>26</v>
      </c>
      <c r="C40" s="12"/>
      <c r="D40" s="39"/>
      <c r="E40" s="39"/>
      <c r="F40" s="42" t="str">
        <f t="shared" si="1"/>
        <v/>
      </c>
      <c r="G40" s="45"/>
      <c r="H40" s="45"/>
      <c r="I40" s="45"/>
      <c r="J40" s="45"/>
      <c r="K40" s="45"/>
      <c r="L40" s="45"/>
      <c r="M40" s="45"/>
      <c r="N40" s="45"/>
      <c r="O40" s="45">
        <v>10</v>
      </c>
      <c r="P40" s="12" t="s">
        <v>83</v>
      </c>
      <c r="Q40" s="12"/>
    </row>
    <row r="41" spans="1:17">
      <c r="A41" s="15">
        <v>46304</v>
      </c>
      <c r="B41" s="12" t="s">
        <v>26</v>
      </c>
      <c r="C41" s="12"/>
      <c r="D41" s="39"/>
      <c r="E41" s="39"/>
      <c r="F41" s="42" t="str">
        <f t="shared" si="1"/>
        <v/>
      </c>
      <c r="G41" s="45"/>
      <c r="H41" s="45"/>
      <c r="I41" s="45"/>
      <c r="J41" s="45"/>
      <c r="K41" s="45"/>
      <c r="L41" s="45"/>
      <c r="M41" s="45"/>
      <c r="N41" s="45"/>
      <c r="O41" s="45">
        <v>10</v>
      </c>
      <c r="P41" s="12" t="s">
        <v>83</v>
      </c>
      <c r="Q41" s="12"/>
    </row>
    <row r="42" spans="1:17">
      <c r="A42" s="15">
        <v>46305</v>
      </c>
      <c r="B42" s="12" t="s">
        <v>26</v>
      </c>
      <c r="C42" s="12"/>
      <c r="D42" s="39"/>
      <c r="E42" s="39"/>
      <c r="F42" s="42" t="str">
        <f t="shared" si="1"/>
        <v/>
      </c>
      <c r="G42" s="45"/>
      <c r="H42" s="45"/>
      <c r="I42" s="45"/>
      <c r="J42" s="45"/>
      <c r="K42" s="45"/>
      <c r="L42" s="45"/>
      <c r="M42" s="45"/>
      <c r="N42" s="45"/>
      <c r="O42" s="45">
        <v>10</v>
      </c>
      <c r="P42" s="12" t="s">
        <v>83</v>
      </c>
      <c r="Q42" s="12"/>
    </row>
    <row r="43" spans="1:17">
      <c r="A43" s="15">
        <v>46306</v>
      </c>
      <c r="B43" s="12" t="s">
        <v>26</v>
      </c>
      <c r="C43" s="12"/>
      <c r="D43" s="39"/>
      <c r="E43" s="39"/>
      <c r="F43" s="42" t="str">
        <f t="shared" si="1"/>
        <v/>
      </c>
      <c r="G43" s="45"/>
      <c r="H43" s="45"/>
      <c r="I43" s="45"/>
      <c r="J43" s="45"/>
      <c r="K43" s="45"/>
      <c r="L43" s="45"/>
      <c r="M43" s="45"/>
      <c r="N43" s="45"/>
      <c r="O43" s="45">
        <v>10</v>
      </c>
      <c r="P43" s="12" t="s">
        <v>83</v>
      </c>
      <c r="Q43" s="12"/>
    </row>
    <row r="44" spans="1:17">
      <c r="A44" s="15">
        <v>46307</v>
      </c>
      <c r="B44" s="12" t="s">
        <v>26</v>
      </c>
      <c r="C44" s="12"/>
      <c r="D44" s="39"/>
      <c r="E44" s="39"/>
      <c r="F44" s="42" t="str">
        <f t="shared" si="1"/>
        <v/>
      </c>
      <c r="G44" s="45"/>
      <c r="H44" s="45"/>
      <c r="I44" s="45"/>
      <c r="J44" s="45"/>
      <c r="K44" s="45"/>
      <c r="L44" s="45"/>
      <c r="M44" s="45"/>
      <c r="N44" s="45"/>
      <c r="O44" s="45">
        <v>10</v>
      </c>
      <c r="P44" s="12" t="s">
        <v>83</v>
      </c>
      <c r="Q44" s="12"/>
    </row>
    <row r="45" spans="1:17">
      <c r="A45" s="15">
        <v>46308</v>
      </c>
      <c r="B45" s="12" t="s">
        <v>26</v>
      </c>
      <c r="C45" s="12"/>
      <c r="D45" s="39"/>
      <c r="E45" s="39"/>
      <c r="F45" s="42" t="str">
        <f t="shared" si="1"/>
        <v/>
      </c>
      <c r="G45" s="45"/>
      <c r="H45" s="45"/>
      <c r="I45" s="45"/>
      <c r="J45" s="45"/>
      <c r="K45" s="45"/>
      <c r="L45" s="45"/>
      <c r="M45" s="45"/>
      <c r="N45" s="45"/>
      <c r="O45" s="45">
        <v>10</v>
      </c>
      <c r="P45" s="12" t="s">
        <v>83</v>
      </c>
      <c r="Q45" s="12"/>
    </row>
    <row r="46" spans="1:17">
      <c r="A46" s="15">
        <v>46309</v>
      </c>
      <c r="B46" s="12" t="s">
        <v>26</v>
      </c>
      <c r="C46" s="12"/>
      <c r="D46" s="39"/>
      <c r="E46" s="39"/>
      <c r="F46" s="42" t="str">
        <f t="shared" si="1"/>
        <v/>
      </c>
      <c r="G46" s="45"/>
      <c r="H46" s="45"/>
      <c r="I46" s="45"/>
      <c r="J46" s="45"/>
      <c r="K46" s="45"/>
      <c r="L46" s="45"/>
      <c r="M46" s="45"/>
      <c r="N46" s="45"/>
      <c r="O46" s="45">
        <v>10</v>
      </c>
      <c r="P46" s="12" t="s">
        <v>83</v>
      </c>
      <c r="Q46" s="12"/>
    </row>
    <row r="47" spans="1:17">
      <c r="A47" s="15">
        <v>46310</v>
      </c>
      <c r="B47" s="12" t="s">
        <v>26</v>
      </c>
      <c r="C47" s="12"/>
      <c r="D47" s="39"/>
      <c r="E47" s="39"/>
      <c r="F47" s="42" t="str">
        <f t="shared" si="1"/>
        <v/>
      </c>
      <c r="G47" s="45"/>
      <c r="H47" s="45"/>
      <c r="I47" s="45"/>
      <c r="J47" s="45"/>
      <c r="K47" s="45"/>
      <c r="L47" s="45"/>
      <c r="M47" s="45"/>
      <c r="N47" s="45"/>
      <c r="O47" s="45">
        <v>10</v>
      </c>
      <c r="P47" s="12" t="s">
        <v>83</v>
      </c>
      <c r="Q47" s="12"/>
    </row>
    <row r="48" spans="1:17">
      <c r="A48" s="15">
        <v>46311</v>
      </c>
      <c r="B48" s="12" t="s">
        <v>26</v>
      </c>
      <c r="C48" s="12"/>
      <c r="D48" s="39"/>
      <c r="E48" s="39"/>
      <c r="F48" s="42" t="str">
        <f t="shared" si="1"/>
        <v/>
      </c>
      <c r="G48" s="45"/>
      <c r="H48" s="45"/>
      <c r="I48" s="45"/>
      <c r="J48" s="45"/>
      <c r="K48" s="45"/>
      <c r="L48" s="45"/>
      <c r="M48" s="45"/>
      <c r="N48" s="45"/>
      <c r="O48" s="45">
        <v>10</v>
      </c>
      <c r="P48" s="12" t="s">
        <v>83</v>
      </c>
      <c r="Q48" s="12"/>
    </row>
    <row r="49" spans="1:17">
      <c r="A49" s="15">
        <v>46312</v>
      </c>
      <c r="B49" s="12" t="s">
        <v>26</v>
      </c>
      <c r="C49" s="12"/>
      <c r="D49" s="39"/>
      <c r="E49" s="39"/>
      <c r="F49" s="42" t="str">
        <f t="shared" si="1"/>
        <v/>
      </c>
      <c r="G49" s="45"/>
      <c r="H49" s="45"/>
      <c r="I49" s="45"/>
      <c r="J49" s="45"/>
      <c r="K49" s="45"/>
      <c r="L49" s="45"/>
      <c r="M49" s="45"/>
      <c r="N49" s="45"/>
      <c r="O49" s="45">
        <v>10</v>
      </c>
      <c r="P49" s="12" t="s">
        <v>83</v>
      </c>
      <c r="Q49" s="12"/>
    </row>
    <row r="50" spans="1:17">
      <c r="A50" s="15">
        <v>46313</v>
      </c>
      <c r="B50" s="12" t="s">
        <v>26</v>
      </c>
      <c r="C50" s="12"/>
      <c r="D50" s="39"/>
      <c r="E50" s="39"/>
      <c r="F50" s="42" t="str">
        <f t="shared" si="1"/>
        <v/>
      </c>
      <c r="G50" s="45"/>
      <c r="H50" s="45"/>
      <c r="I50" s="45"/>
      <c r="J50" s="45"/>
      <c r="K50" s="45"/>
      <c r="L50" s="45"/>
      <c r="M50" s="45"/>
      <c r="N50" s="45"/>
      <c r="O50" s="45">
        <v>10</v>
      </c>
      <c r="P50" s="12" t="s">
        <v>83</v>
      </c>
      <c r="Q50" s="12"/>
    </row>
    <row r="51" spans="1:17">
      <c r="A51" s="15">
        <v>46314</v>
      </c>
      <c r="B51" s="12" t="s">
        <v>26</v>
      </c>
      <c r="C51" s="12"/>
      <c r="D51" s="39"/>
      <c r="E51" s="39"/>
      <c r="F51" s="42" t="str">
        <f t="shared" si="1"/>
        <v/>
      </c>
      <c r="G51" s="45"/>
      <c r="H51" s="45"/>
      <c r="I51" s="45"/>
      <c r="J51" s="45"/>
      <c r="K51" s="45"/>
      <c r="L51" s="45"/>
      <c r="M51" s="45"/>
      <c r="N51" s="45"/>
      <c r="O51" s="45">
        <v>10</v>
      </c>
      <c r="P51" s="12" t="s">
        <v>83</v>
      </c>
      <c r="Q51" s="12"/>
    </row>
    <row r="52" spans="1:17">
      <c r="A52" s="15">
        <v>46315</v>
      </c>
      <c r="B52" s="12" t="s">
        <v>26</v>
      </c>
      <c r="C52" s="12"/>
      <c r="D52" s="39"/>
      <c r="E52" s="39"/>
      <c r="F52" s="42" t="str">
        <f t="shared" si="1"/>
        <v/>
      </c>
      <c r="G52" s="45"/>
      <c r="H52" s="45"/>
      <c r="I52" s="45"/>
      <c r="J52" s="45"/>
      <c r="K52" s="45"/>
      <c r="L52" s="45"/>
      <c r="M52" s="45"/>
      <c r="N52" s="45"/>
      <c r="O52" s="45">
        <v>10</v>
      </c>
      <c r="P52" s="12" t="s">
        <v>83</v>
      </c>
      <c r="Q52" s="12"/>
    </row>
    <row r="53" spans="1:17">
      <c r="A53" s="15">
        <v>46316</v>
      </c>
      <c r="B53" s="12" t="s">
        <v>26</v>
      </c>
      <c r="C53" s="12"/>
      <c r="D53" s="39"/>
      <c r="E53" s="39"/>
      <c r="F53" s="42" t="str">
        <f t="shared" si="1"/>
        <v/>
      </c>
      <c r="G53" s="45"/>
      <c r="H53" s="45"/>
      <c r="I53" s="45"/>
      <c r="J53" s="45"/>
      <c r="K53" s="45"/>
      <c r="L53" s="45"/>
      <c r="M53" s="45"/>
      <c r="N53" s="45"/>
      <c r="O53" s="45">
        <v>10</v>
      </c>
      <c r="P53" s="12" t="s">
        <v>83</v>
      </c>
      <c r="Q53" s="12"/>
    </row>
    <row r="54" spans="1:17">
      <c r="A54" s="15">
        <v>46317</v>
      </c>
      <c r="B54" s="12" t="s">
        <v>26</v>
      </c>
      <c r="C54" s="12"/>
      <c r="D54" s="39"/>
      <c r="E54" s="39"/>
      <c r="F54" s="42" t="str">
        <f t="shared" si="1"/>
        <v/>
      </c>
      <c r="G54" s="45"/>
      <c r="H54" s="45"/>
      <c r="I54" s="45"/>
      <c r="J54" s="45"/>
      <c r="K54" s="45"/>
      <c r="L54" s="45"/>
      <c r="M54" s="45"/>
      <c r="N54" s="45"/>
      <c r="O54" s="45">
        <v>10</v>
      </c>
      <c r="P54" s="12" t="s">
        <v>83</v>
      </c>
      <c r="Q54" s="12"/>
    </row>
    <row r="55" spans="1:17">
      <c r="A55" s="15">
        <v>46318</v>
      </c>
      <c r="B55" s="12" t="s">
        <v>26</v>
      </c>
      <c r="C55" s="12"/>
      <c r="D55" s="39"/>
      <c r="E55" s="39"/>
      <c r="F55" s="42" t="str">
        <f t="shared" si="1"/>
        <v/>
      </c>
      <c r="G55" s="45"/>
      <c r="H55" s="45"/>
      <c r="I55" s="45"/>
      <c r="J55" s="45"/>
      <c r="K55" s="45"/>
      <c r="L55" s="45"/>
      <c r="M55" s="45"/>
      <c r="N55" s="45"/>
      <c r="O55" s="45">
        <v>10</v>
      </c>
      <c r="P55" s="12" t="s">
        <v>83</v>
      </c>
      <c r="Q55" s="12"/>
    </row>
    <row r="56" spans="1:17">
      <c r="A56" s="15">
        <v>46319</v>
      </c>
      <c r="B56" s="12" t="s">
        <v>26</v>
      </c>
      <c r="C56" s="12"/>
      <c r="D56" s="39"/>
      <c r="E56" s="39"/>
      <c r="F56" s="42" t="str">
        <f t="shared" si="1"/>
        <v/>
      </c>
      <c r="G56" s="45"/>
      <c r="H56" s="45"/>
      <c r="I56" s="45"/>
      <c r="J56" s="45"/>
      <c r="K56" s="45"/>
      <c r="L56" s="45"/>
      <c r="M56" s="45"/>
      <c r="N56" s="45"/>
      <c r="O56" s="45">
        <v>10</v>
      </c>
      <c r="P56" s="12" t="s">
        <v>83</v>
      </c>
      <c r="Q56" s="12"/>
    </row>
    <row r="57" spans="1:17">
      <c r="A57" s="15">
        <v>46320</v>
      </c>
      <c r="B57" s="12" t="s">
        <v>26</v>
      </c>
      <c r="C57" s="12"/>
      <c r="D57" s="39"/>
      <c r="E57" s="39"/>
      <c r="F57" s="42" t="str">
        <f t="shared" si="1"/>
        <v/>
      </c>
      <c r="G57" s="45"/>
      <c r="H57" s="45"/>
      <c r="I57" s="45"/>
      <c r="J57" s="45"/>
      <c r="K57" s="45"/>
      <c r="L57" s="45"/>
      <c r="M57" s="45"/>
      <c r="N57" s="45"/>
      <c r="O57" s="45">
        <v>10</v>
      </c>
      <c r="P57" s="12" t="s">
        <v>83</v>
      </c>
      <c r="Q57" s="12"/>
    </row>
    <row r="58" spans="1:17">
      <c r="A58" s="15">
        <v>46321</v>
      </c>
      <c r="B58" s="12" t="s">
        <v>26</v>
      </c>
      <c r="C58" s="12"/>
      <c r="D58" s="39"/>
      <c r="E58" s="39"/>
      <c r="F58" s="42" t="str">
        <f t="shared" si="1"/>
        <v/>
      </c>
      <c r="G58" s="45"/>
      <c r="H58" s="45"/>
      <c r="I58" s="45"/>
      <c r="J58" s="45"/>
      <c r="K58" s="45"/>
      <c r="L58" s="45"/>
      <c r="M58" s="45"/>
      <c r="N58" s="45"/>
      <c r="O58" s="45">
        <v>10</v>
      </c>
      <c r="P58" s="12" t="s">
        <v>83</v>
      </c>
      <c r="Q58" s="12"/>
    </row>
    <row r="59" spans="1:17">
      <c r="A59" s="15">
        <v>46322</v>
      </c>
      <c r="B59" s="12" t="s">
        <v>26</v>
      </c>
      <c r="C59" s="12"/>
      <c r="D59" s="39"/>
      <c r="E59" s="39"/>
      <c r="F59" s="42" t="str">
        <f t="shared" si="1"/>
        <v/>
      </c>
      <c r="G59" s="45"/>
      <c r="H59" s="45"/>
      <c r="I59" s="45"/>
      <c r="J59" s="45"/>
      <c r="K59" s="45"/>
      <c r="L59" s="45"/>
      <c r="M59" s="45"/>
      <c r="N59" s="45"/>
      <c r="O59" s="45">
        <v>10</v>
      </c>
      <c r="P59" s="12" t="s">
        <v>83</v>
      </c>
      <c r="Q59" s="12"/>
    </row>
    <row r="60" spans="1:17">
      <c r="A60" s="15">
        <v>46323</v>
      </c>
      <c r="B60" s="12" t="s">
        <v>26</v>
      </c>
      <c r="C60" s="12"/>
      <c r="D60" s="39"/>
      <c r="E60" s="39"/>
      <c r="F60" s="42" t="str">
        <f t="shared" si="1"/>
        <v/>
      </c>
      <c r="G60" s="45"/>
      <c r="H60" s="45"/>
      <c r="I60" s="45"/>
      <c r="J60" s="45"/>
      <c r="K60" s="45"/>
      <c r="L60" s="45"/>
      <c r="M60" s="45"/>
      <c r="N60" s="45"/>
      <c r="O60" s="45">
        <v>10</v>
      </c>
      <c r="P60" s="12" t="s">
        <v>83</v>
      </c>
      <c r="Q60" s="12"/>
    </row>
    <row r="61" spans="1:17">
      <c r="A61" s="15">
        <v>46324</v>
      </c>
      <c r="B61" s="12" t="s">
        <v>26</v>
      </c>
      <c r="C61" s="12"/>
      <c r="D61" s="39"/>
      <c r="E61" s="39"/>
      <c r="F61" s="42" t="str">
        <f t="shared" si="1"/>
        <v/>
      </c>
      <c r="G61" s="45"/>
      <c r="H61" s="45"/>
      <c r="I61" s="45"/>
      <c r="J61" s="45"/>
      <c r="K61" s="45"/>
      <c r="L61" s="45"/>
      <c r="M61" s="45"/>
      <c r="N61" s="45"/>
      <c r="O61" s="45">
        <v>10</v>
      </c>
      <c r="P61" s="12" t="s">
        <v>83</v>
      </c>
      <c r="Q61" s="12"/>
    </row>
    <row r="62" spans="1:17">
      <c r="A62" s="15">
        <v>46325</v>
      </c>
      <c r="B62" s="12" t="s">
        <v>26</v>
      </c>
      <c r="C62" s="12"/>
      <c r="D62" s="39"/>
      <c r="E62" s="39"/>
      <c r="F62" s="42" t="str">
        <f t="shared" si="1"/>
        <v/>
      </c>
      <c r="G62" s="45"/>
      <c r="H62" s="45"/>
      <c r="I62" s="45"/>
      <c r="J62" s="45"/>
      <c r="K62" s="45"/>
      <c r="L62" s="45"/>
      <c r="M62" s="45"/>
      <c r="N62" s="45"/>
      <c r="O62" s="45">
        <v>10</v>
      </c>
      <c r="P62" s="12" t="s">
        <v>83</v>
      </c>
      <c r="Q62" s="12"/>
    </row>
    <row r="63" spans="1:17">
      <c r="A63" s="15">
        <v>46326</v>
      </c>
      <c r="B63" s="12" t="s">
        <v>26</v>
      </c>
      <c r="C63" s="12"/>
      <c r="D63" s="39"/>
      <c r="E63" s="39"/>
      <c r="F63" s="42" t="str">
        <f t="shared" si="1"/>
        <v/>
      </c>
      <c r="G63" s="45"/>
      <c r="H63" s="45"/>
      <c r="I63" s="45"/>
      <c r="J63" s="45"/>
      <c r="K63" s="45"/>
      <c r="L63" s="45"/>
      <c r="M63" s="45"/>
      <c r="N63" s="45"/>
      <c r="O63" s="45">
        <v>10</v>
      </c>
      <c r="P63" s="12" t="s">
        <v>83</v>
      </c>
      <c r="Q63" s="12"/>
    </row>
    <row r="64" spans="1:17">
      <c r="A64" s="15">
        <v>46327</v>
      </c>
      <c r="B64" s="12" t="s">
        <v>26</v>
      </c>
      <c r="C64" s="12"/>
      <c r="D64" s="39"/>
      <c r="E64" s="39"/>
      <c r="F64" s="42" t="str">
        <f t="shared" si="1"/>
        <v/>
      </c>
      <c r="G64" s="45"/>
      <c r="H64" s="45"/>
      <c r="I64" s="45"/>
      <c r="J64" s="45"/>
      <c r="K64" s="45"/>
      <c r="L64" s="45"/>
      <c r="M64" s="45"/>
      <c r="N64" s="45"/>
      <c r="O64" s="45">
        <v>10</v>
      </c>
      <c r="P64" s="12" t="s">
        <v>83</v>
      </c>
      <c r="Q64" s="12"/>
    </row>
    <row r="65" spans="1:17">
      <c r="A65" s="15">
        <v>46328</v>
      </c>
      <c r="B65" s="12" t="s">
        <v>26</v>
      </c>
      <c r="C65" s="12"/>
      <c r="D65" s="39"/>
      <c r="E65" s="39"/>
      <c r="F65" s="42" t="str">
        <f t="shared" si="1"/>
        <v/>
      </c>
      <c r="G65" s="45"/>
      <c r="H65" s="45"/>
      <c r="I65" s="45"/>
      <c r="J65" s="45"/>
      <c r="K65" s="45"/>
      <c r="L65" s="45"/>
      <c r="M65" s="45"/>
      <c r="N65" s="45"/>
      <c r="O65" s="45">
        <v>10</v>
      </c>
      <c r="P65" s="12" t="s">
        <v>83</v>
      </c>
      <c r="Q65" s="12"/>
    </row>
    <row r="66" spans="1:17">
      <c r="A66" s="15">
        <v>46329</v>
      </c>
      <c r="B66" s="12" t="s">
        <v>26</v>
      </c>
      <c r="C66" s="12"/>
      <c r="D66" s="39"/>
      <c r="E66" s="39"/>
      <c r="F66" s="42" t="str">
        <f t="shared" si="1"/>
        <v/>
      </c>
      <c r="G66" s="45"/>
      <c r="H66" s="45"/>
      <c r="I66" s="45"/>
      <c r="J66" s="45"/>
      <c r="K66" s="45"/>
      <c r="L66" s="45"/>
      <c r="M66" s="45"/>
      <c r="N66" s="45"/>
      <c r="O66" s="45">
        <v>10</v>
      </c>
      <c r="P66" s="12" t="s">
        <v>83</v>
      </c>
      <c r="Q66" s="12"/>
    </row>
    <row r="67" spans="1:17">
      <c r="A67" s="15">
        <v>46330</v>
      </c>
      <c r="B67" s="12" t="s">
        <v>26</v>
      </c>
      <c r="C67" s="12"/>
      <c r="D67" s="39"/>
      <c r="E67" s="39"/>
      <c r="F67" s="42" t="str">
        <f t="shared" si="1"/>
        <v/>
      </c>
      <c r="G67" s="45"/>
      <c r="H67" s="45"/>
      <c r="I67" s="45"/>
      <c r="J67" s="45"/>
      <c r="K67" s="45"/>
      <c r="L67" s="45"/>
      <c r="M67" s="45"/>
      <c r="N67" s="45"/>
      <c r="O67" s="45">
        <v>10</v>
      </c>
      <c r="P67" s="12" t="s">
        <v>83</v>
      </c>
      <c r="Q67" s="12"/>
    </row>
    <row r="68" spans="1:17">
      <c r="A68" s="15">
        <v>46331</v>
      </c>
      <c r="B68" s="12" t="s">
        <v>26</v>
      </c>
      <c r="C68" s="12"/>
      <c r="D68" s="39"/>
      <c r="E68" s="39"/>
      <c r="F68" s="42" t="str">
        <f t="shared" ref="F68:F99" si="2">IF(AND(D68&lt;&gt;"",E68&lt;&gt;""),(E68-D68)*24,"")</f>
        <v/>
      </c>
      <c r="G68" s="45"/>
      <c r="H68" s="45"/>
      <c r="I68" s="45"/>
      <c r="J68" s="45"/>
      <c r="K68" s="45"/>
      <c r="L68" s="45"/>
      <c r="M68" s="45"/>
      <c r="N68" s="45"/>
      <c r="O68" s="45">
        <v>10</v>
      </c>
      <c r="P68" s="12" t="s">
        <v>83</v>
      </c>
      <c r="Q68" s="12"/>
    </row>
    <row r="69" spans="1:17">
      <c r="A69" s="15">
        <v>46332</v>
      </c>
      <c r="B69" s="12" t="s">
        <v>26</v>
      </c>
      <c r="C69" s="12"/>
      <c r="D69" s="39"/>
      <c r="E69" s="39"/>
      <c r="F69" s="42" t="str">
        <f t="shared" si="2"/>
        <v/>
      </c>
      <c r="G69" s="45"/>
      <c r="H69" s="45"/>
      <c r="I69" s="45"/>
      <c r="J69" s="45"/>
      <c r="K69" s="45"/>
      <c r="L69" s="45"/>
      <c r="M69" s="45"/>
      <c r="N69" s="45"/>
      <c r="O69" s="45">
        <v>10</v>
      </c>
      <c r="P69" s="12" t="s">
        <v>83</v>
      </c>
      <c r="Q69" s="12"/>
    </row>
    <row r="70" spans="1:17">
      <c r="A70" s="15">
        <v>46333</v>
      </c>
      <c r="B70" s="12" t="s">
        <v>26</v>
      </c>
      <c r="C70" s="12"/>
      <c r="D70" s="39"/>
      <c r="E70" s="39"/>
      <c r="F70" s="42" t="str">
        <f t="shared" si="2"/>
        <v/>
      </c>
      <c r="G70" s="45"/>
      <c r="H70" s="45"/>
      <c r="I70" s="45"/>
      <c r="J70" s="45"/>
      <c r="K70" s="45"/>
      <c r="L70" s="45"/>
      <c r="M70" s="45"/>
      <c r="N70" s="45"/>
      <c r="O70" s="45">
        <v>10</v>
      </c>
      <c r="P70" s="12" t="s">
        <v>83</v>
      </c>
      <c r="Q70" s="12"/>
    </row>
    <row r="71" spans="1:17">
      <c r="A71" s="15">
        <v>46334</v>
      </c>
      <c r="B71" s="12" t="s">
        <v>26</v>
      </c>
      <c r="C71" s="12"/>
      <c r="D71" s="39"/>
      <c r="E71" s="39"/>
      <c r="F71" s="42" t="str">
        <f t="shared" si="2"/>
        <v/>
      </c>
      <c r="G71" s="45"/>
      <c r="H71" s="45"/>
      <c r="I71" s="45"/>
      <c r="J71" s="45"/>
      <c r="K71" s="45"/>
      <c r="L71" s="45"/>
      <c r="M71" s="45"/>
      <c r="N71" s="45"/>
      <c r="O71" s="45">
        <v>10</v>
      </c>
      <c r="P71" s="12" t="s">
        <v>83</v>
      </c>
      <c r="Q71" s="12"/>
    </row>
    <row r="72" spans="1:17">
      <c r="A72" s="15">
        <v>46335</v>
      </c>
      <c r="B72" s="12" t="s">
        <v>26</v>
      </c>
      <c r="C72" s="12"/>
      <c r="D72" s="39"/>
      <c r="E72" s="39"/>
      <c r="F72" s="42" t="str">
        <f t="shared" si="2"/>
        <v/>
      </c>
      <c r="G72" s="45"/>
      <c r="H72" s="45"/>
      <c r="I72" s="45"/>
      <c r="J72" s="45"/>
      <c r="K72" s="45"/>
      <c r="L72" s="45"/>
      <c r="M72" s="45"/>
      <c r="N72" s="45"/>
      <c r="O72" s="45">
        <v>10</v>
      </c>
      <c r="P72" s="12" t="s">
        <v>83</v>
      </c>
      <c r="Q72" s="12"/>
    </row>
    <row r="73" spans="1:17">
      <c r="A73" s="15">
        <v>46336</v>
      </c>
      <c r="B73" s="12" t="s">
        <v>26</v>
      </c>
      <c r="C73" s="12"/>
      <c r="D73" s="39"/>
      <c r="E73" s="39"/>
      <c r="F73" s="42" t="str">
        <f t="shared" si="2"/>
        <v/>
      </c>
      <c r="G73" s="45"/>
      <c r="H73" s="45"/>
      <c r="I73" s="45"/>
      <c r="J73" s="45"/>
      <c r="K73" s="45"/>
      <c r="L73" s="45"/>
      <c r="M73" s="45"/>
      <c r="N73" s="45"/>
      <c r="O73" s="45">
        <v>10</v>
      </c>
      <c r="P73" s="12" t="s">
        <v>83</v>
      </c>
      <c r="Q73" s="12"/>
    </row>
    <row r="74" spans="1:17">
      <c r="A74" s="15">
        <v>46337</v>
      </c>
      <c r="B74" s="12" t="s">
        <v>26</v>
      </c>
      <c r="C74" s="12"/>
      <c r="D74" s="39"/>
      <c r="E74" s="39"/>
      <c r="F74" s="42" t="str">
        <f t="shared" si="2"/>
        <v/>
      </c>
      <c r="G74" s="45"/>
      <c r="H74" s="45"/>
      <c r="I74" s="45"/>
      <c r="J74" s="45"/>
      <c r="K74" s="45"/>
      <c r="L74" s="45"/>
      <c r="M74" s="45"/>
      <c r="N74" s="45"/>
      <c r="O74" s="45">
        <v>10</v>
      </c>
      <c r="P74" s="12" t="s">
        <v>83</v>
      </c>
      <c r="Q74" s="12"/>
    </row>
    <row r="75" spans="1:17">
      <c r="A75" s="15">
        <v>46338</v>
      </c>
      <c r="B75" s="12" t="s">
        <v>26</v>
      </c>
      <c r="C75" s="12"/>
      <c r="D75" s="39"/>
      <c r="E75" s="39"/>
      <c r="F75" s="42" t="str">
        <f t="shared" si="2"/>
        <v/>
      </c>
      <c r="G75" s="45"/>
      <c r="H75" s="45"/>
      <c r="I75" s="45"/>
      <c r="J75" s="45"/>
      <c r="K75" s="45"/>
      <c r="L75" s="45"/>
      <c r="M75" s="45"/>
      <c r="N75" s="45"/>
      <c r="O75" s="45">
        <v>10</v>
      </c>
      <c r="P75" s="12" t="s">
        <v>83</v>
      </c>
      <c r="Q75" s="12"/>
    </row>
    <row r="76" spans="1:17">
      <c r="A76" s="15">
        <v>46339</v>
      </c>
      <c r="B76" s="12" t="s">
        <v>26</v>
      </c>
      <c r="C76" s="12"/>
      <c r="D76" s="39"/>
      <c r="E76" s="39"/>
      <c r="F76" s="42" t="str">
        <f t="shared" si="2"/>
        <v/>
      </c>
      <c r="G76" s="45"/>
      <c r="H76" s="45"/>
      <c r="I76" s="45"/>
      <c r="J76" s="45"/>
      <c r="K76" s="45"/>
      <c r="L76" s="45"/>
      <c r="M76" s="45"/>
      <c r="N76" s="45"/>
      <c r="O76" s="45">
        <v>10</v>
      </c>
      <c r="P76" s="12" t="s">
        <v>83</v>
      </c>
      <c r="Q76" s="12"/>
    </row>
    <row r="77" spans="1:17">
      <c r="A77" s="15">
        <v>46340</v>
      </c>
      <c r="B77" s="12" t="s">
        <v>26</v>
      </c>
      <c r="C77" s="12"/>
      <c r="D77" s="39"/>
      <c r="E77" s="39"/>
      <c r="F77" s="42" t="str">
        <f t="shared" si="2"/>
        <v/>
      </c>
      <c r="G77" s="45"/>
      <c r="H77" s="45"/>
      <c r="I77" s="45"/>
      <c r="J77" s="45"/>
      <c r="K77" s="45"/>
      <c r="L77" s="45"/>
      <c r="M77" s="45"/>
      <c r="N77" s="45"/>
      <c r="O77" s="45">
        <v>10</v>
      </c>
      <c r="P77" s="12" t="s">
        <v>83</v>
      </c>
      <c r="Q77" s="12"/>
    </row>
    <row r="78" spans="1:17">
      <c r="A78" s="15">
        <v>46341</v>
      </c>
      <c r="B78" s="12" t="s">
        <v>26</v>
      </c>
      <c r="C78" s="12"/>
      <c r="D78" s="39"/>
      <c r="E78" s="39"/>
      <c r="F78" s="42" t="str">
        <f t="shared" si="2"/>
        <v/>
      </c>
      <c r="G78" s="45"/>
      <c r="H78" s="45"/>
      <c r="I78" s="45"/>
      <c r="J78" s="45"/>
      <c r="K78" s="45"/>
      <c r="L78" s="45"/>
      <c r="M78" s="45"/>
      <c r="N78" s="45"/>
      <c r="O78" s="45">
        <v>10</v>
      </c>
      <c r="P78" s="12" t="s">
        <v>83</v>
      </c>
      <c r="Q78" s="12"/>
    </row>
    <row r="79" spans="1:17">
      <c r="A79" s="15">
        <v>46342</v>
      </c>
      <c r="B79" s="12" t="s">
        <v>26</v>
      </c>
      <c r="C79" s="12"/>
      <c r="D79" s="39"/>
      <c r="E79" s="39"/>
      <c r="F79" s="42" t="str">
        <f t="shared" si="2"/>
        <v/>
      </c>
      <c r="G79" s="45"/>
      <c r="H79" s="45"/>
      <c r="I79" s="45"/>
      <c r="J79" s="45"/>
      <c r="K79" s="45"/>
      <c r="L79" s="45"/>
      <c r="M79" s="45"/>
      <c r="N79" s="45"/>
      <c r="O79" s="45">
        <v>10</v>
      </c>
      <c r="P79" s="12" t="s">
        <v>83</v>
      </c>
      <c r="Q79" s="12"/>
    </row>
    <row r="80" spans="1:17">
      <c r="A80" s="15">
        <v>46343</v>
      </c>
      <c r="B80" s="12" t="s">
        <v>26</v>
      </c>
      <c r="C80" s="12"/>
      <c r="D80" s="39"/>
      <c r="E80" s="39"/>
      <c r="F80" s="42" t="str">
        <f t="shared" si="2"/>
        <v/>
      </c>
      <c r="G80" s="45"/>
      <c r="H80" s="45"/>
      <c r="I80" s="45"/>
      <c r="J80" s="45"/>
      <c r="K80" s="45"/>
      <c r="L80" s="45"/>
      <c r="M80" s="45"/>
      <c r="N80" s="45"/>
      <c r="O80" s="45">
        <v>10</v>
      </c>
      <c r="P80" s="12" t="s">
        <v>83</v>
      </c>
      <c r="Q80" s="12"/>
    </row>
    <row r="81" spans="1:17">
      <c r="A81" s="15">
        <v>46344</v>
      </c>
      <c r="B81" s="12" t="s">
        <v>26</v>
      </c>
      <c r="C81" s="12"/>
      <c r="D81" s="39"/>
      <c r="E81" s="39"/>
      <c r="F81" s="42" t="str">
        <f t="shared" si="2"/>
        <v/>
      </c>
      <c r="G81" s="45"/>
      <c r="H81" s="45"/>
      <c r="I81" s="45"/>
      <c r="J81" s="45"/>
      <c r="K81" s="45"/>
      <c r="L81" s="45"/>
      <c r="M81" s="45"/>
      <c r="N81" s="45"/>
      <c r="O81" s="45">
        <v>10</v>
      </c>
      <c r="P81" s="12" t="s">
        <v>83</v>
      </c>
      <c r="Q81" s="12"/>
    </row>
    <row r="82" spans="1:17">
      <c r="A82" s="15">
        <v>46345</v>
      </c>
      <c r="B82" s="12" t="s">
        <v>26</v>
      </c>
      <c r="C82" s="12"/>
      <c r="D82" s="39"/>
      <c r="E82" s="39"/>
      <c r="F82" s="42" t="str">
        <f t="shared" si="2"/>
        <v/>
      </c>
      <c r="G82" s="45"/>
      <c r="H82" s="45"/>
      <c r="I82" s="45"/>
      <c r="J82" s="45"/>
      <c r="K82" s="45"/>
      <c r="L82" s="45"/>
      <c r="M82" s="45"/>
      <c r="N82" s="45"/>
      <c r="O82" s="45">
        <v>10</v>
      </c>
      <c r="P82" s="12" t="s">
        <v>83</v>
      </c>
      <c r="Q82" s="12"/>
    </row>
    <row r="83" spans="1:17">
      <c r="A83" s="15">
        <v>46346</v>
      </c>
      <c r="B83" s="12" t="s">
        <v>26</v>
      </c>
      <c r="C83" s="12"/>
      <c r="D83" s="39"/>
      <c r="E83" s="39"/>
      <c r="F83" s="42" t="str">
        <f t="shared" si="2"/>
        <v/>
      </c>
      <c r="G83" s="45"/>
      <c r="H83" s="45"/>
      <c r="I83" s="45"/>
      <c r="J83" s="45"/>
      <c r="K83" s="45"/>
      <c r="L83" s="45"/>
      <c r="M83" s="45"/>
      <c r="N83" s="45"/>
      <c r="O83" s="45">
        <v>10</v>
      </c>
      <c r="P83" s="12" t="s">
        <v>83</v>
      </c>
      <c r="Q83" s="12"/>
    </row>
    <row r="84" spans="1:17">
      <c r="A84" s="15">
        <v>46347</v>
      </c>
      <c r="B84" s="12" t="s">
        <v>26</v>
      </c>
      <c r="C84" s="12"/>
      <c r="D84" s="39"/>
      <c r="E84" s="39"/>
      <c r="F84" s="42" t="str">
        <f t="shared" si="2"/>
        <v/>
      </c>
      <c r="G84" s="45"/>
      <c r="H84" s="45"/>
      <c r="I84" s="45"/>
      <c r="J84" s="45"/>
      <c r="K84" s="45"/>
      <c r="L84" s="45"/>
      <c r="M84" s="45"/>
      <c r="N84" s="45"/>
      <c r="O84" s="45">
        <v>10</v>
      </c>
      <c r="P84" s="12" t="s">
        <v>83</v>
      </c>
      <c r="Q84" s="12"/>
    </row>
    <row r="85" spans="1:17">
      <c r="A85" s="15">
        <v>46348</v>
      </c>
      <c r="B85" s="12" t="s">
        <v>26</v>
      </c>
      <c r="C85" s="12"/>
      <c r="D85" s="39"/>
      <c r="E85" s="39"/>
      <c r="F85" s="42" t="str">
        <f t="shared" si="2"/>
        <v/>
      </c>
      <c r="G85" s="45"/>
      <c r="H85" s="45"/>
      <c r="I85" s="45"/>
      <c r="J85" s="45"/>
      <c r="K85" s="45"/>
      <c r="L85" s="45"/>
      <c r="M85" s="45"/>
      <c r="N85" s="45"/>
      <c r="O85" s="45">
        <v>10</v>
      </c>
      <c r="P85" s="12" t="s">
        <v>83</v>
      </c>
      <c r="Q85" s="12"/>
    </row>
    <row r="86" spans="1:17">
      <c r="A86" s="15">
        <v>46349</v>
      </c>
      <c r="B86" s="12" t="s">
        <v>26</v>
      </c>
      <c r="C86" s="12"/>
      <c r="D86" s="39"/>
      <c r="E86" s="39"/>
      <c r="F86" s="42" t="str">
        <f t="shared" si="2"/>
        <v/>
      </c>
      <c r="G86" s="45"/>
      <c r="H86" s="45"/>
      <c r="I86" s="45"/>
      <c r="J86" s="45"/>
      <c r="K86" s="45"/>
      <c r="L86" s="45"/>
      <c r="M86" s="45"/>
      <c r="N86" s="45"/>
      <c r="O86" s="45">
        <v>10</v>
      </c>
      <c r="P86" s="12" t="s">
        <v>83</v>
      </c>
      <c r="Q86" s="12"/>
    </row>
    <row r="87" spans="1:17">
      <c r="A87" s="15">
        <v>46350</v>
      </c>
      <c r="B87" s="12" t="s">
        <v>26</v>
      </c>
      <c r="C87" s="12"/>
      <c r="D87" s="39"/>
      <c r="E87" s="39"/>
      <c r="F87" s="42" t="str">
        <f t="shared" si="2"/>
        <v/>
      </c>
      <c r="G87" s="45"/>
      <c r="H87" s="45"/>
      <c r="I87" s="45"/>
      <c r="J87" s="45"/>
      <c r="K87" s="45"/>
      <c r="L87" s="45"/>
      <c r="M87" s="45"/>
      <c r="N87" s="45"/>
      <c r="O87" s="45">
        <v>10</v>
      </c>
      <c r="P87" s="12" t="s">
        <v>83</v>
      </c>
      <c r="Q87" s="12"/>
    </row>
    <row r="88" spans="1:17">
      <c r="A88" s="15">
        <v>46351</v>
      </c>
      <c r="B88" s="12" t="s">
        <v>26</v>
      </c>
      <c r="C88" s="12"/>
      <c r="D88" s="39"/>
      <c r="E88" s="39"/>
      <c r="F88" s="42" t="str">
        <f t="shared" si="2"/>
        <v/>
      </c>
      <c r="G88" s="45"/>
      <c r="H88" s="45"/>
      <c r="I88" s="45"/>
      <c r="J88" s="45"/>
      <c r="K88" s="45"/>
      <c r="L88" s="45"/>
      <c r="M88" s="45"/>
      <c r="N88" s="45"/>
      <c r="O88" s="45">
        <v>10</v>
      </c>
      <c r="P88" s="12" t="s">
        <v>83</v>
      </c>
      <c r="Q88" s="12"/>
    </row>
    <row r="89" spans="1:17">
      <c r="A89" s="15">
        <v>46352</v>
      </c>
      <c r="B89" s="12" t="s">
        <v>26</v>
      </c>
      <c r="C89" s="12"/>
      <c r="D89" s="39"/>
      <c r="E89" s="39"/>
      <c r="F89" s="42" t="str">
        <f t="shared" si="2"/>
        <v/>
      </c>
      <c r="G89" s="45"/>
      <c r="H89" s="45"/>
      <c r="I89" s="45"/>
      <c r="J89" s="45"/>
      <c r="K89" s="45"/>
      <c r="L89" s="45"/>
      <c r="M89" s="45"/>
      <c r="N89" s="45"/>
      <c r="O89" s="45">
        <v>10</v>
      </c>
      <c r="P89" s="12" t="s">
        <v>83</v>
      </c>
      <c r="Q89" s="12"/>
    </row>
    <row r="90" spans="1:17">
      <c r="A90" s="15">
        <v>46353</v>
      </c>
      <c r="B90" s="12" t="s">
        <v>26</v>
      </c>
      <c r="C90" s="12"/>
      <c r="D90" s="39"/>
      <c r="E90" s="39"/>
      <c r="F90" s="42" t="str">
        <f t="shared" si="2"/>
        <v/>
      </c>
      <c r="G90" s="45"/>
      <c r="H90" s="45"/>
      <c r="I90" s="45"/>
      <c r="J90" s="45"/>
      <c r="K90" s="45"/>
      <c r="L90" s="45"/>
      <c r="M90" s="45"/>
      <c r="N90" s="45"/>
      <c r="O90" s="45">
        <v>10</v>
      </c>
      <c r="P90" s="12" t="s">
        <v>83</v>
      </c>
      <c r="Q90" s="12"/>
    </row>
    <row r="91" spans="1:17">
      <c r="A91" s="15">
        <v>46354</v>
      </c>
      <c r="B91" s="12" t="s">
        <v>26</v>
      </c>
      <c r="C91" s="12"/>
      <c r="D91" s="39"/>
      <c r="E91" s="39"/>
      <c r="F91" s="42" t="str">
        <f t="shared" si="2"/>
        <v/>
      </c>
      <c r="G91" s="45"/>
      <c r="H91" s="45"/>
      <c r="I91" s="45"/>
      <c r="J91" s="45"/>
      <c r="K91" s="45"/>
      <c r="L91" s="45"/>
      <c r="M91" s="45"/>
      <c r="N91" s="45"/>
      <c r="O91" s="45">
        <v>10</v>
      </c>
      <c r="P91" s="12" t="s">
        <v>83</v>
      </c>
      <c r="Q91" s="12"/>
    </row>
    <row r="92" spans="1:17">
      <c r="A92" s="15">
        <v>46355</v>
      </c>
      <c r="B92" s="12" t="s">
        <v>26</v>
      </c>
      <c r="C92" s="12"/>
      <c r="D92" s="39"/>
      <c r="E92" s="39"/>
      <c r="F92" s="42" t="str">
        <f t="shared" si="2"/>
        <v/>
      </c>
      <c r="G92" s="45"/>
      <c r="H92" s="45"/>
      <c r="I92" s="45"/>
      <c r="J92" s="45"/>
      <c r="K92" s="45"/>
      <c r="L92" s="45"/>
      <c r="M92" s="45"/>
      <c r="N92" s="45"/>
      <c r="O92" s="45">
        <v>10</v>
      </c>
      <c r="P92" s="12" t="s">
        <v>83</v>
      </c>
      <c r="Q92" s="12"/>
    </row>
    <row r="93" spans="1:17">
      <c r="A93" s="16">
        <v>46356</v>
      </c>
      <c r="B93" s="13" t="s">
        <v>26</v>
      </c>
      <c r="C93" s="13"/>
      <c r="D93" s="40"/>
      <c r="E93" s="40"/>
      <c r="F93" s="43" t="str">
        <f t="shared" si="2"/>
        <v/>
      </c>
      <c r="G93" s="46"/>
      <c r="H93" s="46"/>
      <c r="I93" s="46"/>
      <c r="J93" s="46"/>
      <c r="K93" s="46"/>
      <c r="L93" s="46"/>
      <c r="M93" s="46"/>
      <c r="N93" s="46"/>
      <c r="O93" s="46">
        <v>10</v>
      </c>
      <c r="P93" s="13" t="s">
        <v>83</v>
      </c>
      <c r="Q93" s="13"/>
    </row>
  </sheetData>
  <mergeCells count="2">
    <mergeCell ref="A2:Q2"/>
    <mergeCell ref="A1:Q1"/>
  </mergeCells>
  <conditionalFormatting sqref="B4:B93">
    <cfRule type="containsText" dxfId="1" priority="1" operator="containsText" text="Hoàn thành"/>
    <cfRule type="containsText" dxfId="0" priority="2" operator="containsText" text="Thất bại"/>
  </conditionalFormatting>
  <dataValidations count="1">
    <dataValidation type="list" sqref="B4:B93" xr:uid="{00000000-0002-0000-0200-000000000000}">
      <formula1>"Chưa chạy,Đang chạy,Hoàn thành,Hoàn thành có lỗi,Thất bại,Bỏ qua"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93"/>
  <sheetViews>
    <sheetView showGridLines="0" workbookViewId="0"/>
  </sheetViews>
  <sheetFormatPr defaultRowHeight="14"/>
  <cols>
    <col min="1" max="15" width="13" customWidth="1"/>
    <col min="16" max="16" width="30" customWidth="1"/>
  </cols>
  <sheetData>
    <row r="1" spans="1:16" ht="30" customHeight="1">
      <c r="A1" s="75" t="s">
        <v>146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</row>
    <row r="2" spans="1:16" ht="14.5">
      <c r="A2" s="76" t="s">
        <v>147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</row>
    <row r="3" spans="1:16" ht="30" customHeight="1">
      <c r="A3" s="1" t="s">
        <v>30</v>
      </c>
      <c r="B3" s="1" t="s">
        <v>31</v>
      </c>
      <c r="C3" s="1" t="s">
        <v>148</v>
      </c>
      <c r="D3" s="1" t="s">
        <v>149</v>
      </c>
      <c r="E3" s="1" t="s">
        <v>150</v>
      </c>
      <c r="F3" s="1" t="s">
        <v>151</v>
      </c>
      <c r="G3" s="1" t="s">
        <v>152</v>
      </c>
      <c r="H3" s="1" t="s">
        <v>153</v>
      </c>
      <c r="I3" s="1" t="s">
        <v>154</v>
      </c>
      <c r="J3" s="1" t="s">
        <v>155</v>
      </c>
      <c r="K3" s="1" t="s">
        <v>156</v>
      </c>
      <c r="L3" s="1" t="s">
        <v>157</v>
      </c>
      <c r="M3" s="1" t="s">
        <v>158</v>
      </c>
      <c r="N3" s="1" t="s">
        <v>159</v>
      </c>
      <c r="O3" s="1" t="s">
        <v>160</v>
      </c>
      <c r="P3" s="1" t="s">
        <v>161</v>
      </c>
    </row>
    <row r="4" spans="1:16">
      <c r="A4" s="14">
        <v>46267</v>
      </c>
      <c r="B4" s="11" t="s">
        <v>53</v>
      </c>
      <c r="C4" s="11" t="s">
        <v>10</v>
      </c>
      <c r="D4" s="14">
        <v>46282</v>
      </c>
      <c r="E4" s="14">
        <v>46284</v>
      </c>
      <c r="F4" s="14">
        <v>46287</v>
      </c>
      <c r="G4" s="14">
        <v>46291</v>
      </c>
      <c r="H4" s="14">
        <v>46267</v>
      </c>
      <c r="I4" s="14">
        <v>46271</v>
      </c>
      <c r="J4" s="14">
        <v>46274</v>
      </c>
      <c r="K4" s="14">
        <v>46277</v>
      </c>
      <c r="L4" s="14">
        <v>46279</v>
      </c>
      <c r="M4" s="14">
        <v>46306</v>
      </c>
      <c r="N4" s="14">
        <v>46344</v>
      </c>
      <c r="O4" s="14">
        <v>46388</v>
      </c>
      <c r="P4" s="11" t="s">
        <v>162</v>
      </c>
    </row>
    <row r="5" spans="1:16">
      <c r="A5" s="15">
        <v>46268</v>
      </c>
      <c r="B5" s="12" t="s">
        <v>56</v>
      </c>
      <c r="C5" s="12" t="s">
        <v>10</v>
      </c>
      <c r="D5" s="15">
        <v>46282</v>
      </c>
      <c r="E5" s="15">
        <v>46284</v>
      </c>
      <c r="F5" s="15">
        <v>46287</v>
      </c>
      <c r="G5" s="15">
        <v>46291</v>
      </c>
      <c r="H5" s="15">
        <v>46295</v>
      </c>
      <c r="I5" s="15">
        <v>46271</v>
      </c>
      <c r="J5" s="15">
        <v>46274</v>
      </c>
      <c r="K5" s="15">
        <v>46277</v>
      </c>
      <c r="L5" s="15">
        <v>46279</v>
      </c>
      <c r="M5" s="15">
        <v>46306</v>
      </c>
      <c r="N5" s="15">
        <v>46344</v>
      </c>
      <c r="O5" s="15">
        <v>46388</v>
      </c>
      <c r="P5" s="12" t="s">
        <v>162</v>
      </c>
    </row>
    <row r="6" spans="1:16">
      <c r="A6" s="15">
        <v>46269</v>
      </c>
      <c r="B6" s="12" t="s">
        <v>58</v>
      </c>
      <c r="C6" s="12" t="s">
        <v>10</v>
      </c>
      <c r="D6" s="15">
        <v>46282</v>
      </c>
      <c r="E6" s="15">
        <v>46284</v>
      </c>
      <c r="F6" s="15">
        <v>46287</v>
      </c>
      <c r="G6" s="15">
        <v>46291</v>
      </c>
      <c r="H6" s="15">
        <v>46295</v>
      </c>
      <c r="I6" s="15">
        <v>46271</v>
      </c>
      <c r="J6" s="15">
        <v>46274</v>
      </c>
      <c r="K6" s="15">
        <v>46277</v>
      </c>
      <c r="L6" s="15">
        <v>46279</v>
      </c>
      <c r="M6" s="15">
        <v>46306</v>
      </c>
      <c r="N6" s="15">
        <v>46344</v>
      </c>
      <c r="O6" s="15">
        <v>46388</v>
      </c>
      <c r="P6" s="12" t="s">
        <v>162</v>
      </c>
    </row>
    <row r="7" spans="1:16">
      <c r="A7" s="15">
        <v>46270</v>
      </c>
      <c r="B7" s="12" t="s">
        <v>59</v>
      </c>
      <c r="C7" s="12" t="s">
        <v>10</v>
      </c>
      <c r="D7" s="15">
        <v>46282</v>
      </c>
      <c r="E7" s="15">
        <v>46284</v>
      </c>
      <c r="F7" s="15">
        <v>46287</v>
      </c>
      <c r="G7" s="15">
        <v>46291</v>
      </c>
      <c r="H7" s="15">
        <v>46295</v>
      </c>
      <c r="I7" s="15">
        <v>46271</v>
      </c>
      <c r="J7" s="15">
        <v>46274</v>
      </c>
      <c r="K7" s="15">
        <v>46277</v>
      </c>
      <c r="L7" s="15">
        <v>46279</v>
      </c>
      <c r="M7" s="15">
        <v>46306</v>
      </c>
      <c r="N7" s="15">
        <v>46344</v>
      </c>
      <c r="O7" s="15">
        <v>46388</v>
      </c>
      <c r="P7" s="12" t="s">
        <v>162</v>
      </c>
    </row>
    <row r="8" spans="1:16">
      <c r="A8" s="15">
        <v>46271</v>
      </c>
      <c r="B8" s="12" t="s">
        <v>60</v>
      </c>
      <c r="C8" s="12" t="s">
        <v>10</v>
      </c>
      <c r="D8" s="15">
        <v>46282</v>
      </c>
      <c r="E8" s="15">
        <v>46284</v>
      </c>
      <c r="F8" s="15">
        <v>46287</v>
      </c>
      <c r="G8" s="15">
        <v>46291</v>
      </c>
      <c r="H8" s="15">
        <v>46295</v>
      </c>
      <c r="I8" s="15">
        <v>46271</v>
      </c>
      <c r="J8" s="15">
        <v>46274</v>
      </c>
      <c r="K8" s="15">
        <v>46277</v>
      </c>
      <c r="L8" s="15">
        <v>46279</v>
      </c>
      <c r="M8" s="15">
        <v>46306</v>
      </c>
      <c r="N8" s="15">
        <v>46344</v>
      </c>
      <c r="O8" s="15">
        <v>46388</v>
      </c>
      <c r="P8" s="12" t="s">
        <v>162</v>
      </c>
    </row>
    <row r="9" spans="1:16">
      <c r="A9" s="15">
        <v>46272</v>
      </c>
      <c r="B9" s="12" t="s">
        <v>61</v>
      </c>
      <c r="C9" s="12" t="s">
        <v>10</v>
      </c>
      <c r="D9" s="15">
        <v>46282</v>
      </c>
      <c r="E9" s="15">
        <v>46284</v>
      </c>
      <c r="F9" s="15">
        <v>46287</v>
      </c>
      <c r="G9" s="15">
        <v>46291</v>
      </c>
      <c r="H9" s="15">
        <v>46295</v>
      </c>
      <c r="I9" s="15">
        <v>46299</v>
      </c>
      <c r="J9" s="15">
        <v>46274</v>
      </c>
      <c r="K9" s="15">
        <v>46277</v>
      </c>
      <c r="L9" s="15">
        <v>46279</v>
      </c>
      <c r="M9" s="15">
        <v>46306</v>
      </c>
      <c r="N9" s="15">
        <v>46344</v>
      </c>
      <c r="O9" s="15">
        <v>46388</v>
      </c>
      <c r="P9" s="12" t="s">
        <v>162</v>
      </c>
    </row>
    <row r="10" spans="1:16">
      <c r="A10" s="15">
        <v>46273</v>
      </c>
      <c r="B10" s="12" t="s">
        <v>62</v>
      </c>
      <c r="C10" s="12" t="s">
        <v>10</v>
      </c>
      <c r="D10" s="15">
        <v>46282</v>
      </c>
      <c r="E10" s="15">
        <v>46284</v>
      </c>
      <c r="F10" s="15">
        <v>46287</v>
      </c>
      <c r="G10" s="15">
        <v>46291</v>
      </c>
      <c r="H10" s="15">
        <v>46295</v>
      </c>
      <c r="I10" s="15">
        <v>46299</v>
      </c>
      <c r="J10" s="15">
        <v>46274</v>
      </c>
      <c r="K10" s="15">
        <v>46277</v>
      </c>
      <c r="L10" s="15">
        <v>46279</v>
      </c>
      <c r="M10" s="15">
        <v>46306</v>
      </c>
      <c r="N10" s="15">
        <v>46344</v>
      </c>
      <c r="O10" s="15">
        <v>46388</v>
      </c>
      <c r="P10" s="12" t="s">
        <v>162</v>
      </c>
    </row>
    <row r="11" spans="1:16">
      <c r="A11" s="15">
        <v>46274</v>
      </c>
      <c r="B11" s="12" t="s">
        <v>53</v>
      </c>
      <c r="C11" s="12" t="s">
        <v>10</v>
      </c>
      <c r="D11" s="15">
        <v>46282</v>
      </c>
      <c r="E11" s="15">
        <v>46284</v>
      </c>
      <c r="F11" s="15">
        <v>46287</v>
      </c>
      <c r="G11" s="15">
        <v>46291</v>
      </c>
      <c r="H11" s="15">
        <v>46295</v>
      </c>
      <c r="I11" s="15">
        <v>46299</v>
      </c>
      <c r="J11" s="15">
        <v>46274</v>
      </c>
      <c r="K11" s="15">
        <v>46277</v>
      </c>
      <c r="L11" s="15">
        <v>46279</v>
      </c>
      <c r="M11" s="15">
        <v>46306</v>
      </c>
      <c r="N11" s="15">
        <v>46344</v>
      </c>
      <c r="O11" s="15">
        <v>46388</v>
      </c>
      <c r="P11" s="12" t="s">
        <v>162</v>
      </c>
    </row>
    <row r="12" spans="1:16">
      <c r="A12" s="15">
        <v>46275</v>
      </c>
      <c r="B12" s="12" t="s">
        <v>56</v>
      </c>
      <c r="C12" s="12" t="s">
        <v>10</v>
      </c>
      <c r="D12" s="15">
        <v>46282</v>
      </c>
      <c r="E12" s="15">
        <v>46284</v>
      </c>
      <c r="F12" s="15">
        <v>46287</v>
      </c>
      <c r="G12" s="15">
        <v>46291</v>
      </c>
      <c r="H12" s="15">
        <v>46295</v>
      </c>
      <c r="I12" s="15">
        <v>46299</v>
      </c>
      <c r="J12" s="15">
        <v>46302</v>
      </c>
      <c r="K12" s="15">
        <v>46277</v>
      </c>
      <c r="L12" s="15">
        <v>46279</v>
      </c>
      <c r="M12" s="15">
        <v>46306</v>
      </c>
      <c r="N12" s="15">
        <v>46344</v>
      </c>
      <c r="O12" s="15">
        <v>46388</v>
      </c>
      <c r="P12" s="12" t="s">
        <v>162</v>
      </c>
    </row>
    <row r="13" spans="1:16">
      <c r="A13" s="15">
        <v>46276</v>
      </c>
      <c r="B13" s="12" t="s">
        <v>58</v>
      </c>
      <c r="C13" s="12" t="s">
        <v>10</v>
      </c>
      <c r="D13" s="15">
        <v>46282</v>
      </c>
      <c r="E13" s="15">
        <v>46284</v>
      </c>
      <c r="F13" s="15">
        <v>46287</v>
      </c>
      <c r="G13" s="15">
        <v>46291</v>
      </c>
      <c r="H13" s="15">
        <v>46295</v>
      </c>
      <c r="I13" s="15">
        <v>46299</v>
      </c>
      <c r="J13" s="15">
        <v>46302</v>
      </c>
      <c r="K13" s="15">
        <v>46277</v>
      </c>
      <c r="L13" s="15">
        <v>46279</v>
      </c>
      <c r="M13" s="15">
        <v>46306</v>
      </c>
      <c r="N13" s="15">
        <v>46344</v>
      </c>
      <c r="O13" s="15">
        <v>46388</v>
      </c>
      <c r="P13" s="12" t="s">
        <v>162</v>
      </c>
    </row>
    <row r="14" spans="1:16">
      <c r="A14" s="15">
        <v>46277</v>
      </c>
      <c r="B14" s="12" t="s">
        <v>59</v>
      </c>
      <c r="C14" s="12" t="s">
        <v>10</v>
      </c>
      <c r="D14" s="15">
        <v>46282</v>
      </c>
      <c r="E14" s="15">
        <v>46284</v>
      </c>
      <c r="F14" s="15">
        <v>46287</v>
      </c>
      <c r="G14" s="15">
        <v>46291</v>
      </c>
      <c r="H14" s="15">
        <v>46295</v>
      </c>
      <c r="I14" s="15">
        <v>46299</v>
      </c>
      <c r="J14" s="15">
        <v>46302</v>
      </c>
      <c r="K14" s="15">
        <v>46277</v>
      </c>
      <c r="L14" s="15">
        <v>46279</v>
      </c>
      <c r="M14" s="15">
        <v>46306</v>
      </c>
      <c r="N14" s="15">
        <v>46344</v>
      </c>
      <c r="O14" s="15">
        <v>46388</v>
      </c>
      <c r="P14" s="12" t="s">
        <v>162</v>
      </c>
    </row>
    <row r="15" spans="1:16">
      <c r="A15" s="15">
        <v>46278</v>
      </c>
      <c r="B15" s="12" t="s">
        <v>60</v>
      </c>
      <c r="C15" s="12" t="s">
        <v>10</v>
      </c>
      <c r="D15" s="15">
        <v>46282</v>
      </c>
      <c r="E15" s="15">
        <v>46284</v>
      </c>
      <c r="F15" s="15">
        <v>46287</v>
      </c>
      <c r="G15" s="15">
        <v>46291</v>
      </c>
      <c r="H15" s="15">
        <v>46295</v>
      </c>
      <c r="I15" s="15">
        <v>46299</v>
      </c>
      <c r="J15" s="15">
        <v>46302</v>
      </c>
      <c r="K15" s="15">
        <v>46305</v>
      </c>
      <c r="L15" s="15">
        <v>46279</v>
      </c>
      <c r="M15" s="15">
        <v>46306</v>
      </c>
      <c r="N15" s="15">
        <v>46344</v>
      </c>
      <c r="O15" s="15">
        <v>46388</v>
      </c>
      <c r="P15" s="12" t="s">
        <v>162</v>
      </c>
    </row>
    <row r="16" spans="1:16">
      <c r="A16" s="15">
        <v>46279</v>
      </c>
      <c r="B16" s="12" t="s">
        <v>61</v>
      </c>
      <c r="C16" s="12" t="s">
        <v>10</v>
      </c>
      <c r="D16" s="15">
        <v>46282</v>
      </c>
      <c r="E16" s="15">
        <v>46284</v>
      </c>
      <c r="F16" s="15">
        <v>46287</v>
      </c>
      <c r="G16" s="15">
        <v>46291</v>
      </c>
      <c r="H16" s="15">
        <v>46295</v>
      </c>
      <c r="I16" s="15">
        <v>46299</v>
      </c>
      <c r="J16" s="15">
        <v>46302</v>
      </c>
      <c r="K16" s="15">
        <v>46305</v>
      </c>
      <c r="L16" s="15">
        <v>46279</v>
      </c>
      <c r="M16" s="15">
        <v>46306</v>
      </c>
      <c r="N16" s="15">
        <v>46344</v>
      </c>
      <c r="O16" s="15">
        <v>46388</v>
      </c>
      <c r="P16" s="12" t="s">
        <v>162</v>
      </c>
    </row>
    <row r="17" spans="1:16">
      <c r="A17" s="15">
        <v>46280</v>
      </c>
      <c r="B17" s="12" t="s">
        <v>62</v>
      </c>
      <c r="C17" s="12" t="s">
        <v>10</v>
      </c>
      <c r="D17" s="15">
        <v>46282</v>
      </c>
      <c r="E17" s="15">
        <v>46284</v>
      </c>
      <c r="F17" s="15">
        <v>46287</v>
      </c>
      <c r="G17" s="15">
        <v>46291</v>
      </c>
      <c r="H17" s="15">
        <v>46295</v>
      </c>
      <c r="I17" s="15">
        <v>46299</v>
      </c>
      <c r="J17" s="15">
        <v>46302</v>
      </c>
      <c r="K17" s="15">
        <v>46305</v>
      </c>
      <c r="L17" s="15">
        <v>46307</v>
      </c>
      <c r="M17" s="15">
        <v>46306</v>
      </c>
      <c r="N17" s="15">
        <v>46344</v>
      </c>
      <c r="O17" s="15">
        <v>46388</v>
      </c>
      <c r="P17" s="12" t="s">
        <v>162</v>
      </c>
    </row>
    <row r="18" spans="1:16">
      <c r="A18" s="15">
        <v>46281</v>
      </c>
      <c r="B18" s="12" t="s">
        <v>53</v>
      </c>
      <c r="C18" s="12" t="s">
        <v>10</v>
      </c>
      <c r="D18" s="15">
        <v>46282</v>
      </c>
      <c r="E18" s="15">
        <v>46284</v>
      </c>
      <c r="F18" s="15">
        <v>46287</v>
      </c>
      <c r="G18" s="15">
        <v>46291</v>
      </c>
      <c r="H18" s="15">
        <v>46295</v>
      </c>
      <c r="I18" s="15">
        <v>46299</v>
      </c>
      <c r="J18" s="15">
        <v>46302</v>
      </c>
      <c r="K18" s="15">
        <v>46305</v>
      </c>
      <c r="L18" s="15">
        <v>46307</v>
      </c>
      <c r="M18" s="15">
        <v>46306</v>
      </c>
      <c r="N18" s="15">
        <v>46344</v>
      </c>
      <c r="O18" s="15">
        <v>46388</v>
      </c>
      <c r="P18" s="12" t="s">
        <v>162</v>
      </c>
    </row>
    <row r="19" spans="1:16">
      <c r="A19" s="15">
        <v>46282</v>
      </c>
      <c r="B19" s="12" t="s">
        <v>56</v>
      </c>
      <c r="C19" s="12" t="s">
        <v>10</v>
      </c>
      <c r="D19" s="15">
        <v>46282</v>
      </c>
      <c r="E19" s="15">
        <v>46284</v>
      </c>
      <c r="F19" s="15">
        <v>46287</v>
      </c>
      <c r="G19" s="15">
        <v>46291</v>
      </c>
      <c r="H19" s="15">
        <v>46295</v>
      </c>
      <c r="I19" s="15">
        <v>46299</v>
      </c>
      <c r="J19" s="15">
        <v>46302</v>
      </c>
      <c r="K19" s="15">
        <v>46305</v>
      </c>
      <c r="L19" s="15">
        <v>46307</v>
      </c>
      <c r="M19" s="15">
        <v>46306</v>
      </c>
      <c r="N19" s="15">
        <v>46344</v>
      </c>
      <c r="O19" s="15">
        <v>46388</v>
      </c>
      <c r="P19" s="12" t="s">
        <v>162</v>
      </c>
    </row>
    <row r="20" spans="1:16">
      <c r="A20" s="15">
        <v>46283</v>
      </c>
      <c r="B20" s="12" t="s">
        <v>58</v>
      </c>
      <c r="C20" s="12" t="s">
        <v>10</v>
      </c>
      <c r="D20" s="15">
        <v>46310</v>
      </c>
      <c r="E20" s="15">
        <v>46284</v>
      </c>
      <c r="F20" s="15">
        <v>46287</v>
      </c>
      <c r="G20" s="15">
        <v>46291</v>
      </c>
      <c r="H20" s="15">
        <v>46295</v>
      </c>
      <c r="I20" s="15">
        <v>46299</v>
      </c>
      <c r="J20" s="15">
        <v>46302</v>
      </c>
      <c r="K20" s="15">
        <v>46305</v>
      </c>
      <c r="L20" s="15">
        <v>46307</v>
      </c>
      <c r="M20" s="15">
        <v>46306</v>
      </c>
      <c r="N20" s="15">
        <v>46344</v>
      </c>
      <c r="O20" s="15">
        <v>46388</v>
      </c>
      <c r="P20" s="12" t="s">
        <v>162</v>
      </c>
    </row>
    <row r="21" spans="1:16">
      <c r="A21" s="15">
        <v>46284</v>
      </c>
      <c r="B21" s="12" t="s">
        <v>59</v>
      </c>
      <c r="C21" s="12" t="s">
        <v>10</v>
      </c>
      <c r="D21" s="15">
        <v>46310</v>
      </c>
      <c r="E21" s="15">
        <v>46284</v>
      </c>
      <c r="F21" s="15">
        <v>46287</v>
      </c>
      <c r="G21" s="15">
        <v>46291</v>
      </c>
      <c r="H21" s="15">
        <v>46295</v>
      </c>
      <c r="I21" s="15">
        <v>46299</v>
      </c>
      <c r="J21" s="15">
        <v>46302</v>
      </c>
      <c r="K21" s="15">
        <v>46305</v>
      </c>
      <c r="L21" s="15">
        <v>46307</v>
      </c>
      <c r="M21" s="15">
        <v>46306</v>
      </c>
      <c r="N21" s="15">
        <v>46344</v>
      </c>
      <c r="O21" s="15">
        <v>46388</v>
      </c>
      <c r="P21" s="12" t="s">
        <v>162</v>
      </c>
    </row>
    <row r="22" spans="1:16">
      <c r="A22" s="15">
        <v>46285</v>
      </c>
      <c r="B22" s="12" t="s">
        <v>60</v>
      </c>
      <c r="C22" s="12" t="s">
        <v>10</v>
      </c>
      <c r="D22" s="15">
        <v>46310</v>
      </c>
      <c r="E22" s="15">
        <v>46312</v>
      </c>
      <c r="F22" s="15">
        <v>46287</v>
      </c>
      <c r="G22" s="15">
        <v>46291</v>
      </c>
      <c r="H22" s="15">
        <v>46295</v>
      </c>
      <c r="I22" s="15">
        <v>46299</v>
      </c>
      <c r="J22" s="15">
        <v>46302</v>
      </c>
      <c r="K22" s="15">
        <v>46305</v>
      </c>
      <c r="L22" s="15">
        <v>46307</v>
      </c>
      <c r="M22" s="15">
        <v>46306</v>
      </c>
      <c r="N22" s="15">
        <v>46344</v>
      </c>
      <c r="O22" s="15">
        <v>46388</v>
      </c>
      <c r="P22" s="12" t="s">
        <v>162</v>
      </c>
    </row>
    <row r="23" spans="1:16">
      <c r="A23" s="15">
        <v>46286</v>
      </c>
      <c r="B23" s="12" t="s">
        <v>61</v>
      </c>
      <c r="C23" s="12" t="s">
        <v>10</v>
      </c>
      <c r="D23" s="15">
        <v>46310</v>
      </c>
      <c r="E23" s="15">
        <v>46312</v>
      </c>
      <c r="F23" s="15">
        <v>46287</v>
      </c>
      <c r="G23" s="15">
        <v>46291</v>
      </c>
      <c r="H23" s="15">
        <v>46295</v>
      </c>
      <c r="I23" s="15">
        <v>46299</v>
      </c>
      <c r="J23" s="15">
        <v>46302</v>
      </c>
      <c r="K23" s="15">
        <v>46305</v>
      </c>
      <c r="L23" s="15">
        <v>46307</v>
      </c>
      <c r="M23" s="15">
        <v>46306</v>
      </c>
      <c r="N23" s="15">
        <v>46344</v>
      </c>
      <c r="O23" s="15">
        <v>46388</v>
      </c>
      <c r="P23" s="12" t="s">
        <v>162</v>
      </c>
    </row>
    <row r="24" spans="1:16">
      <c r="A24" s="15">
        <v>46287</v>
      </c>
      <c r="B24" s="12" t="s">
        <v>62</v>
      </c>
      <c r="C24" s="12" t="s">
        <v>10</v>
      </c>
      <c r="D24" s="15">
        <v>46310</v>
      </c>
      <c r="E24" s="15">
        <v>46312</v>
      </c>
      <c r="F24" s="15">
        <v>46287</v>
      </c>
      <c r="G24" s="15">
        <v>46291</v>
      </c>
      <c r="H24" s="15">
        <v>46295</v>
      </c>
      <c r="I24" s="15">
        <v>46299</v>
      </c>
      <c r="J24" s="15">
        <v>46302</v>
      </c>
      <c r="K24" s="15">
        <v>46305</v>
      </c>
      <c r="L24" s="15">
        <v>46307</v>
      </c>
      <c r="M24" s="15">
        <v>46306</v>
      </c>
      <c r="N24" s="15">
        <v>46344</v>
      </c>
      <c r="O24" s="15">
        <v>46388</v>
      </c>
      <c r="P24" s="12" t="s">
        <v>162</v>
      </c>
    </row>
    <row r="25" spans="1:16">
      <c r="A25" s="15">
        <v>46288</v>
      </c>
      <c r="B25" s="12" t="s">
        <v>53</v>
      </c>
      <c r="C25" s="12" t="s">
        <v>10</v>
      </c>
      <c r="D25" s="15">
        <v>46310</v>
      </c>
      <c r="E25" s="15">
        <v>46312</v>
      </c>
      <c r="F25" s="15">
        <v>46315</v>
      </c>
      <c r="G25" s="15">
        <v>46291</v>
      </c>
      <c r="H25" s="15">
        <v>46295</v>
      </c>
      <c r="I25" s="15">
        <v>46299</v>
      </c>
      <c r="J25" s="15">
        <v>46302</v>
      </c>
      <c r="K25" s="15">
        <v>46305</v>
      </c>
      <c r="L25" s="15">
        <v>46307</v>
      </c>
      <c r="M25" s="15">
        <v>46306</v>
      </c>
      <c r="N25" s="15">
        <v>46344</v>
      </c>
      <c r="O25" s="15">
        <v>46388</v>
      </c>
      <c r="P25" s="12" t="s">
        <v>162</v>
      </c>
    </row>
    <row r="26" spans="1:16">
      <c r="A26" s="15">
        <v>46289</v>
      </c>
      <c r="B26" s="12" t="s">
        <v>56</v>
      </c>
      <c r="C26" s="12" t="s">
        <v>10</v>
      </c>
      <c r="D26" s="15">
        <v>46310</v>
      </c>
      <c r="E26" s="15">
        <v>46312</v>
      </c>
      <c r="F26" s="15">
        <v>46315</v>
      </c>
      <c r="G26" s="15">
        <v>46291</v>
      </c>
      <c r="H26" s="15">
        <v>46295</v>
      </c>
      <c r="I26" s="15">
        <v>46299</v>
      </c>
      <c r="J26" s="15">
        <v>46302</v>
      </c>
      <c r="K26" s="15">
        <v>46305</v>
      </c>
      <c r="L26" s="15">
        <v>46307</v>
      </c>
      <c r="M26" s="15">
        <v>46306</v>
      </c>
      <c r="N26" s="15">
        <v>46344</v>
      </c>
      <c r="O26" s="15">
        <v>46388</v>
      </c>
      <c r="P26" s="12" t="s">
        <v>162</v>
      </c>
    </row>
    <row r="27" spans="1:16">
      <c r="A27" s="15">
        <v>46290</v>
      </c>
      <c r="B27" s="12" t="s">
        <v>58</v>
      </c>
      <c r="C27" s="12" t="s">
        <v>10</v>
      </c>
      <c r="D27" s="15">
        <v>46310</v>
      </c>
      <c r="E27" s="15">
        <v>46312</v>
      </c>
      <c r="F27" s="15">
        <v>46315</v>
      </c>
      <c r="G27" s="15">
        <v>46291</v>
      </c>
      <c r="H27" s="15">
        <v>46295</v>
      </c>
      <c r="I27" s="15">
        <v>46299</v>
      </c>
      <c r="J27" s="15">
        <v>46302</v>
      </c>
      <c r="K27" s="15">
        <v>46305</v>
      </c>
      <c r="L27" s="15">
        <v>46307</v>
      </c>
      <c r="M27" s="15">
        <v>46306</v>
      </c>
      <c r="N27" s="15">
        <v>46344</v>
      </c>
      <c r="O27" s="15">
        <v>46388</v>
      </c>
      <c r="P27" s="12" t="s">
        <v>162</v>
      </c>
    </row>
    <row r="28" spans="1:16">
      <c r="A28" s="15">
        <v>46291</v>
      </c>
      <c r="B28" s="12" t="s">
        <v>59</v>
      </c>
      <c r="C28" s="12" t="s">
        <v>10</v>
      </c>
      <c r="D28" s="15">
        <v>46310</v>
      </c>
      <c r="E28" s="15">
        <v>46312</v>
      </c>
      <c r="F28" s="15">
        <v>46315</v>
      </c>
      <c r="G28" s="15">
        <v>46291</v>
      </c>
      <c r="H28" s="15">
        <v>46295</v>
      </c>
      <c r="I28" s="15">
        <v>46299</v>
      </c>
      <c r="J28" s="15">
        <v>46302</v>
      </c>
      <c r="K28" s="15">
        <v>46305</v>
      </c>
      <c r="L28" s="15">
        <v>46307</v>
      </c>
      <c r="M28" s="15">
        <v>46306</v>
      </c>
      <c r="N28" s="15">
        <v>46344</v>
      </c>
      <c r="O28" s="15">
        <v>46388</v>
      </c>
      <c r="P28" s="12" t="s">
        <v>162</v>
      </c>
    </row>
    <row r="29" spans="1:16">
      <c r="A29" s="15">
        <v>46292</v>
      </c>
      <c r="B29" s="12" t="s">
        <v>60</v>
      </c>
      <c r="C29" s="12" t="s">
        <v>10</v>
      </c>
      <c r="D29" s="15">
        <v>46310</v>
      </c>
      <c r="E29" s="15">
        <v>46312</v>
      </c>
      <c r="F29" s="15">
        <v>46315</v>
      </c>
      <c r="G29" s="15">
        <v>46319</v>
      </c>
      <c r="H29" s="15">
        <v>46295</v>
      </c>
      <c r="I29" s="15">
        <v>46299</v>
      </c>
      <c r="J29" s="15">
        <v>46302</v>
      </c>
      <c r="K29" s="15">
        <v>46305</v>
      </c>
      <c r="L29" s="15">
        <v>46307</v>
      </c>
      <c r="M29" s="15">
        <v>46306</v>
      </c>
      <c r="N29" s="15">
        <v>46344</v>
      </c>
      <c r="O29" s="15">
        <v>46388</v>
      </c>
      <c r="P29" s="12" t="s">
        <v>162</v>
      </c>
    </row>
    <row r="30" spans="1:16">
      <c r="A30" s="15">
        <v>46293</v>
      </c>
      <c r="B30" s="12" t="s">
        <v>61</v>
      </c>
      <c r="C30" s="12" t="s">
        <v>10</v>
      </c>
      <c r="D30" s="15">
        <v>46310</v>
      </c>
      <c r="E30" s="15">
        <v>46312</v>
      </c>
      <c r="F30" s="15">
        <v>46315</v>
      </c>
      <c r="G30" s="15">
        <v>46319</v>
      </c>
      <c r="H30" s="15">
        <v>46295</v>
      </c>
      <c r="I30" s="15">
        <v>46299</v>
      </c>
      <c r="J30" s="15">
        <v>46302</v>
      </c>
      <c r="K30" s="15">
        <v>46305</v>
      </c>
      <c r="L30" s="15">
        <v>46307</v>
      </c>
      <c r="M30" s="15">
        <v>46306</v>
      </c>
      <c r="N30" s="15">
        <v>46344</v>
      </c>
      <c r="O30" s="15">
        <v>46388</v>
      </c>
      <c r="P30" s="12" t="s">
        <v>162</v>
      </c>
    </row>
    <row r="31" spans="1:16">
      <c r="A31" s="15">
        <v>46294</v>
      </c>
      <c r="B31" s="12" t="s">
        <v>62</v>
      </c>
      <c r="C31" s="12" t="s">
        <v>10</v>
      </c>
      <c r="D31" s="15">
        <v>46310</v>
      </c>
      <c r="E31" s="15">
        <v>46312</v>
      </c>
      <c r="F31" s="15">
        <v>46315</v>
      </c>
      <c r="G31" s="15">
        <v>46319</v>
      </c>
      <c r="H31" s="15">
        <v>46295</v>
      </c>
      <c r="I31" s="15">
        <v>46299</v>
      </c>
      <c r="J31" s="15">
        <v>46302</v>
      </c>
      <c r="K31" s="15">
        <v>46305</v>
      </c>
      <c r="L31" s="15">
        <v>46307</v>
      </c>
      <c r="M31" s="15">
        <v>46306</v>
      </c>
      <c r="N31" s="15">
        <v>46344</v>
      </c>
      <c r="O31" s="15">
        <v>46388</v>
      </c>
      <c r="P31" s="12" t="s">
        <v>162</v>
      </c>
    </row>
    <row r="32" spans="1:16">
      <c r="A32" s="15">
        <v>46295</v>
      </c>
      <c r="B32" s="12" t="s">
        <v>53</v>
      </c>
      <c r="C32" s="12" t="s">
        <v>10</v>
      </c>
      <c r="D32" s="15">
        <v>46310</v>
      </c>
      <c r="E32" s="15">
        <v>46312</v>
      </c>
      <c r="F32" s="15">
        <v>46315</v>
      </c>
      <c r="G32" s="15">
        <v>46319</v>
      </c>
      <c r="H32" s="15">
        <v>46295</v>
      </c>
      <c r="I32" s="15">
        <v>46299</v>
      </c>
      <c r="J32" s="15">
        <v>46302</v>
      </c>
      <c r="K32" s="15">
        <v>46305</v>
      </c>
      <c r="L32" s="15">
        <v>46307</v>
      </c>
      <c r="M32" s="15">
        <v>46306</v>
      </c>
      <c r="N32" s="15">
        <v>46344</v>
      </c>
      <c r="O32" s="15">
        <v>46388</v>
      </c>
      <c r="P32" s="12" t="s">
        <v>162</v>
      </c>
    </row>
    <row r="33" spans="1:16">
      <c r="A33" s="15">
        <v>46296</v>
      </c>
      <c r="B33" s="12" t="s">
        <v>56</v>
      </c>
      <c r="C33" s="12" t="s">
        <v>10</v>
      </c>
      <c r="D33" s="15">
        <v>46310</v>
      </c>
      <c r="E33" s="15">
        <v>46312</v>
      </c>
      <c r="F33" s="15">
        <v>46315</v>
      </c>
      <c r="G33" s="15">
        <v>46319</v>
      </c>
      <c r="H33" s="15">
        <v>46323</v>
      </c>
      <c r="I33" s="15">
        <v>46299</v>
      </c>
      <c r="J33" s="15">
        <v>46302</v>
      </c>
      <c r="K33" s="15">
        <v>46305</v>
      </c>
      <c r="L33" s="15">
        <v>46307</v>
      </c>
      <c r="M33" s="15">
        <v>46306</v>
      </c>
      <c r="N33" s="15">
        <v>46344</v>
      </c>
      <c r="O33" s="15">
        <v>46388</v>
      </c>
      <c r="P33" s="12" t="s">
        <v>162</v>
      </c>
    </row>
    <row r="34" spans="1:16">
      <c r="A34" s="15">
        <v>46297</v>
      </c>
      <c r="B34" s="12" t="s">
        <v>58</v>
      </c>
      <c r="C34" s="12" t="s">
        <v>10</v>
      </c>
      <c r="D34" s="15">
        <v>46310</v>
      </c>
      <c r="E34" s="15">
        <v>46312</v>
      </c>
      <c r="F34" s="15">
        <v>46315</v>
      </c>
      <c r="G34" s="15">
        <v>46319</v>
      </c>
      <c r="H34" s="15">
        <v>46323</v>
      </c>
      <c r="I34" s="15">
        <v>46299</v>
      </c>
      <c r="J34" s="15">
        <v>46302</v>
      </c>
      <c r="K34" s="15">
        <v>46305</v>
      </c>
      <c r="L34" s="15">
        <v>46307</v>
      </c>
      <c r="M34" s="15">
        <v>46306</v>
      </c>
      <c r="N34" s="15">
        <v>46344</v>
      </c>
      <c r="O34" s="15">
        <v>46388</v>
      </c>
      <c r="P34" s="12" t="s">
        <v>162</v>
      </c>
    </row>
    <row r="35" spans="1:16">
      <c r="A35" s="15">
        <v>46298</v>
      </c>
      <c r="B35" s="12" t="s">
        <v>59</v>
      </c>
      <c r="C35" s="12" t="s">
        <v>10</v>
      </c>
      <c r="D35" s="15">
        <v>46310</v>
      </c>
      <c r="E35" s="15">
        <v>46312</v>
      </c>
      <c r="F35" s="15">
        <v>46315</v>
      </c>
      <c r="G35" s="15">
        <v>46319</v>
      </c>
      <c r="H35" s="15">
        <v>46323</v>
      </c>
      <c r="I35" s="15">
        <v>46299</v>
      </c>
      <c r="J35" s="15">
        <v>46302</v>
      </c>
      <c r="K35" s="15">
        <v>46305</v>
      </c>
      <c r="L35" s="15">
        <v>46307</v>
      </c>
      <c r="M35" s="15">
        <v>46306</v>
      </c>
      <c r="N35" s="15">
        <v>46344</v>
      </c>
      <c r="O35" s="15">
        <v>46388</v>
      </c>
      <c r="P35" s="12" t="s">
        <v>162</v>
      </c>
    </row>
    <row r="36" spans="1:16">
      <c r="A36" s="15">
        <v>46299</v>
      </c>
      <c r="B36" s="12" t="s">
        <v>60</v>
      </c>
      <c r="C36" s="12" t="s">
        <v>10</v>
      </c>
      <c r="D36" s="15">
        <v>46310</v>
      </c>
      <c r="E36" s="15">
        <v>46312</v>
      </c>
      <c r="F36" s="15">
        <v>46315</v>
      </c>
      <c r="G36" s="15">
        <v>46319</v>
      </c>
      <c r="H36" s="15">
        <v>46323</v>
      </c>
      <c r="I36" s="15">
        <v>46299</v>
      </c>
      <c r="J36" s="15">
        <v>46302</v>
      </c>
      <c r="K36" s="15">
        <v>46305</v>
      </c>
      <c r="L36" s="15">
        <v>46307</v>
      </c>
      <c r="M36" s="15">
        <v>46306</v>
      </c>
      <c r="N36" s="15">
        <v>46344</v>
      </c>
      <c r="O36" s="15">
        <v>46388</v>
      </c>
      <c r="P36" s="12" t="s">
        <v>162</v>
      </c>
    </row>
    <row r="37" spans="1:16">
      <c r="A37" s="15">
        <v>46300</v>
      </c>
      <c r="B37" s="12" t="s">
        <v>61</v>
      </c>
      <c r="C37" s="12" t="s">
        <v>10</v>
      </c>
      <c r="D37" s="15">
        <v>46310</v>
      </c>
      <c r="E37" s="15">
        <v>46312</v>
      </c>
      <c r="F37" s="15">
        <v>46315</v>
      </c>
      <c r="G37" s="15">
        <v>46319</v>
      </c>
      <c r="H37" s="15">
        <v>46323</v>
      </c>
      <c r="I37" s="15">
        <v>46327</v>
      </c>
      <c r="J37" s="15">
        <v>46302</v>
      </c>
      <c r="K37" s="15">
        <v>46305</v>
      </c>
      <c r="L37" s="15">
        <v>46307</v>
      </c>
      <c r="M37" s="15">
        <v>46306</v>
      </c>
      <c r="N37" s="15">
        <v>46344</v>
      </c>
      <c r="O37" s="15">
        <v>46388</v>
      </c>
      <c r="P37" s="12" t="s">
        <v>162</v>
      </c>
    </row>
    <row r="38" spans="1:16">
      <c r="A38" s="15">
        <v>46301</v>
      </c>
      <c r="B38" s="12" t="s">
        <v>62</v>
      </c>
      <c r="C38" s="12" t="s">
        <v>10</v>
      </c>
      <c r="D38" s="15">
        <v>46310</v>
      </c>
      <c r="E38" s="15">
        <v>46312</v>
      </c>
      <c r="F38" s="15">
        <v>46315</v>
      </c>
      <c r="G38" s="15">
        <v>46319</v>
      </c>
      <c r="H38" s="15">
        <v>46323</v>
      </c>
      <c r="I38" s="15">
        <v>46327</v>
      </c>
      <c r="J38" s="15">
        <v>46302</v>
      </c>
      <c r="K38" s="15">
        <v>46305</v>
      </c>
      <c r="L38" s="15">
        <v>46307</v>
      </c>
      <c r="M38" s="15">
        <v>46306</v>
      </c>
      <c r="N38" s="15">
        <v>46344</v>
      </c>
      <c r="O38" s="15">
        <v>46388</v>
      </c>
      <c r="P38" s="12" t="s">
        <v>162</v>
      </c>
    </row>
    <row r="39" spans="1:16">
      <c r="A39" s="15">
        <v>46302</v>
      </c>
      <c r="B39" s="12" t="s">
        <v>53</v>
      </c>
      <c r="C39" s="12" t="s">
        <v>10</v>
      </c>
      <c r="D39" s="15">
        <v>46310</v>
      </c>
      <c r="E39" s="15">
        <v>46312</v>
      </c>
      <c r="F39" s="15">
        <v>46315</v>
      </c>
      <c r="G39" s="15">
        <v>46319</v>
      </c>
      <c r="H39" s="15">
        <v>46323</v>
      </c>
      <c r="I39" s="15">
        <v>46327</v>
      </c>
      <c r="J39" s="15">
        <v>46302</v>
      </c>
      <c r="K39" s="15">
        <v>46305</v>
      </c>
      <c r="L39" s="15">
        <v>46307</v>
      </c>
      <c r="M39" s="15">
        <v>46306</v>
      </c>
      <c r="N39" s="15">
        <v>46344</v>
      </c>
      <c r="O39" s="15">
        <v>46388</v>
      </c>
      <c r="P39" s="12" t="s">
        <v>162</v>
      </c>
    </row>
    <row r="40" spans="1:16">
      <c r="A40" s="15">
        <v>46303</v>
      </c>
      <c r="B40" s="12" t="s">
        <v>56</v>
      </c>
      <c r="C40" s="12" t="s">
        <v>10</v>
      </c>
      <c r="D40" s="15">
        <v>46310</v>
      </c>
      <c r="E40" s="15">
        <v>46312</v>
      </c>
      <c r="F40" s="15">
        <v>46315</v>
      </c>
      <c r="G40" s="15">
        <v>46319</v>
      </c>
      <c r="H40" s="15">
        <v>46323</v>
      </c>
      <c r="I40" s="15">
        <v>46327</v>
      </c>
      <c r="J40" s="15">
        <v>46330</v>
      </c>
      <c r="K40" s="15">
        <v>46305</v>
      </c>
      <c r="L40" s="15">
        <v>46307</v>
      </c>
      <c r="M40" s="15">
        <v>46306</v>
      </c>
      <c r="N40" s="15">
        <v>46344</v>
      </c>
      <c r="O40" s="15">
        <v>46388</v>
      </c>
      <c r="P40" s="12" t="s">
        <v>162</v>
      </c>
    </row>
    <row r="41" spans="1:16">
      <c r="A41" s="15">
        <v>46304</v>
      </c>
      <c r="B41" s="12" t="s">
        <v>58</v>
      </c>
      <c r="C41" s="12" t="s">
        <v>10</v>
      </c>
      <c r="D41" s="15">
        <v>46310</v>
      </c>
      <c r="E41" s="15">
        <v>46312</v>
      </c>
      <c r="F41" s="15">
        <v>46315</v>
      </c>
      <c r="G41" s="15">
        <v>46319</v>
      </c>
      <c r="H41" s="15">
        <v>46323</v>
      </c>
      <c r="I41" s="15">
        <v>46327</v>
      </c>
      <c r="J41" s="15">
        <v>46330</v>
      </c>
      <c r="K41" s="15">
        <v>46305</v>
      </c>
      <c r="L41" s="15">
        <v>46307</v>
      </c>
      <c r="M41" s="15">
        <v>46306</v>
      </c>
      <c r="N41" s="15">
        <v>46344</v>
      </c>
      <c r="O41" s="15">
        <v>46388</v>
      </c>
      <c r="P41" s="12" t="s">
        <v>162</v>
      </c>
    </row>
    <row r="42" spans="1:16">
      <c r="A42" s="15">
        <v>46305</v>
      </c>
      <c r="B42" s="12" t="s">
        <v>59</v>
      </c>
      <c r="C42" s="12" t="s">
        <v>10</v>
      </c>
      <c r="D42" s="15">
        <v>46310</v>
      </c>
      <c r="E42" s="15">
        <v>46312</v>
      </c>
      <c r="F42" s="15">
        <v>46315</v>
      </c>
      <c r="G42" s="15">
        <v>46319</v>
      </c>
      <c r="H42" s="15">
        <v>46323</v>
      </c>
      <c r="I42" s="15">
        <v>46327</v>
      </c>
      <c r="J42" s="15">
        <v>46330</v>
      </c>
      <c r="K42" s="15">
        <v>46305</v>
      </c>
      <c r="L42" s="15">
        <v>46307</v>
      </c>
      <c r="M42" s="15">
        <v>46306</v>
      </c>
      <c r="N42" s="15">
        <v>46344</v>
      </c>
      <c r="O42" s="15">
        <v>46388</v>
      </c>
      <c r="P42" s="12" t="s">
        <v>162</v>
      </c>
    </row>
    <row r="43" spans="1:16">
      <c r="A43" s="15">
        <v>46306</v>
      </c>
      <c r="B43" s="12" t="s">
        <v>60</v>
      </c>
      <c r="C43" s="12" t="s">
        <v>10</v>
      </c>
      <c r="D43" s="15">
        <v>46310</v>
      </c>
      <c r="E43" s="15">
        <v>46312</v>
      </c>
      <c r="F43" s="15">
        <v>46315</v>
      </c>
      <c r="G43" s="15">
        <v>46319</v>
      </c>
      <c r="H43" s="15">
        <v>46323</v>
      </c>
      <c r="I43" s="15">
        <v>46327</v>
      </c>
      <c r="J43" s="15">
        <v>46330</v>
      </c>
      <c r="K43" s="15">
        <v>46333</v>
      </c>
      <c r="L43" s="15">
        <v>46307</v>
      </c>
      <c r="M43" s="15">
        <v>46306</v>
      </c>
      <c r="N43" s="15">
        <v>46344</v>
      </c>
      <c r="O43" s="15">
        <v>46388</v>
      </c>
      <c r="P43" s="12" t="s">
        <v>162</v>
      </c>
    </row>
    <row r="44" spans="1:16">
      <c r="A44" s="15">
        <v>46307</v>
      </c>
      <c r="B44" s="12" t="s">
        <v>61</v>
      </c>
      <c r="C44" s="12" t="s">
        <v>10</v>
      </c>
      <c r="D44" s="15">
        <v>46310</v>
      </c>
      <c r="E44" s="15">
        <v>46312</v>
      </c>
      <c r="F44" s="15">
        <v>46315</v>
      </c>
      <c r="G44" s="15">
        <v>46319</v>
      </c>
      <c r="H44" s="15">
        <v>46323</v>
      </c>
      <c r="I44" s="15">
        <v>46327</v>
      </c>
      <c r="J44" s="15">
        <v>46330</v>
      </c>
      <c r="K44" s="15">
        <v>46333</v>
      </c>
      <c r="L44" s="15">
        <v>46307</v>
      </c>
      <c r="M44" s="15">
        <v>46362</v>
      </c>
      <c r="N44" s="15">
        <v>46344</v>
      </c>
      <c r="O44" s="15">
        <v>46388</v>
      </c>
      <c r="P44" s="12" t="s">
        <v>162</v>
      </c>
    </row>
    <row r="45" spans="1:16">
      <c r="A45" s="15">
        <v>46308</v>
      </c>
      <c r="B45" s="12" t="s">
        <v>62</v>
      </c>
      <c r="C45" s="12" t="s">
        <v>10</v>
      </c>
      <c r="D45" s="15">
        <v>46310</v>
      </c>
      <c r="E45" s="15">
        <v>46312</v>
      </c>
      <c r="F45" s="15">
        <v>46315</v>
      </c>
      <c r="G45" s="15">
        <v>46319</v>
      </c>
      <c r="H45" s="15">
        <v>46323</v>
      </c>
      <c r="I45" s="15">
        <v>46327</v>
      </c>
      <c r="J45" s="15">
        <v>46330</v>
      </c>
      <c r="K45" s="15">
        <v>46333</v>
      </c>
      <c r="L45" s="15">
        <v>46335</v>
      </c>
      <c r="M45" s="15">
        <v>46362</v>
      </c>
      <c r="N45" s="15">
        <v>46344</v>
      </c>
      <c r="O45" s="15">
        <v>46388</v>
      </c>
      <c r="P45" s="12" t="s">
        <v>162</v>
      </c>
    </row>
    <row r="46" spans="1:16">
      <c r="A46" s="15">
        <v>46309</v>
      </c>
      <c r="B46" s="12" t="s">
        <v>53</v>
      </c>
      <c r="C46" s="12" t="s">
        <v>10</v>
      </c>
      <c r="D46" s="15">
        <v>46310</v>
      </c>
      <c r="E46" s="15">
        <v>46312</v>
      </c>
      <c r="F46" s="15">
        <v>46315</v>
      </c>
      <c r="G46" s="15">
        <v>46319</v>
      </c>
      <c r="H46" s="15">
        <v>46323</v>
      </c>
      <c r="I46" s="15">
        <v>46327</v>
      </c>
      <c r="J46" s="15">
        <v>46330</v>
      </c>
      <c r="K46" s="15">
        <v>46333</v>
      </c>
      <c r="L46" s="15">
        <v>46335</v>
      </c>
      <c r="M46" s="15">
        <v>46362</v>
      </c>
      <c r="N46" s="15">
        <v>46344</v>
      </c>
      <c r="O46" s="15">
        <v>46388</v>
      </c>
      <c r="P46" s="12" t="s">
        <v>162</v>
      </c>
    </row>
    <row r="47" spans="1:16">
      <c r="A47" s="15">
        <v>46310</v>
      </c>
      <c r="B47" s="12" t="s">
        <v>56</v>
      </c>
      <c r="C47" s="12" t="s">
        <v>10</v>
      </c>
      <c r="D47" s="15">
        <v>46310</v>
      </c>
      <c r="E47" s="15">
        <v>46312</v>
      </c>
      <c r="F47" s="15">
        <v>46315</v>
      </c>
      <c r="G47" s="15">
        <v>46319</v>
      </c>
      <c r="H47" s="15">
        <v>46323</v>
      </c>
      <c r="I47" s="15">
        <v>46327</v>
      </c>
      <c r="J47" s="15">
        <v>46330</v>
      </c>
      <c r="K47" s="15">
        <v>46333</v>
      </c>
      <c r="L47" s="15">
        <v>46335</v>
      </c>
      <c r="M47" s="15">
        <v>46362</v>
      </c>
      <c r="N47" s="15">
        <v>46344</v>
      </c>
      <c r="O47" s="15">
        <v>46388</v>
      </c>
      <c r="P47" s="12" t="s">
        <v>162</v>
      </c>
    </row>
    <row r="48" spans="1:16">
      <c r="A48" s="15">
        <v>46311</v>
      </c>
      <c r="B48" s="12" t="s">
        <v>58</v>
      </c>
      <c r="C48" s="12" t="s">
        <v>10</v>
      </c>
      <c r="D48" s="15">
        <v>46338</v>
      </c>
      <c r="E48" s="15">
        <v>46312</v>
      </c>
      <c r="F48" s="15">
        <v>46315</v>
      </c>
      <c r="G48" s="15">
        <v>46319</v>
      </c>
      <c r="H48" s="15">
        <v>46323</v>
      </c>
      <c r="I48" s="15">
        <v>46327</v>
      </c>
      <c r="J48" s="15">
        <v>46330</v>
      </c>
      <c r="K48" s="15">
        <v>46333</v>
      </c>
      <c r="L48" s="15">
        <v>46335</v>
      </c>
      <c r="M48" s="15">
        <v>46362</v>
      </c>
      <c r="N48" s="15">
        <v>46344</v>
      </c>
      <c r="O48" s="15">
        <v>46388</v>
      </c>
      <c r="P48" s="12" t="s">
        <v>162</v>
      </c>
    </row>
    <row r="49" spans="1:16">
      <c r="A49" s="15">
        <v>46312</v>
      </c>
      <c r="B49" s="12" t="s">
        <v>59</v>
      </c>
      <c r="C49" s="12" t="s">
        <v>10</v>
      </c>
      <c r="D49" s="15">
        <v>46338</v>
      </c>
      <c r="E49" s="15">
        <v>46312</v>
      </c>
      <c r="F49" s="15">
        <v>46315</v>
      </c>
      <c r="G49" s="15">
        <v>46319</v>
      </c>
      <c r="H49" s="15">
        <v>46323</v>
      </c>
      <c r="I49" s="15">
        <v>46327</v>
      </c>
      <c r="J49" s="15">
        <v>46330</v>
      </c>
      <c r="K49" s="15">
        <v>46333</v>
      </c>
      <c r="L49" s="15">
        <v>46335</v>
      </c>
      <c r="M49" s="15">
        <v>46362</v>
      </c>
      <c r="N49" s="15">
        <v>46344</v>
      </c>
      <c r="O49" s="15">
        <v>46388</v>
      </c>
      <c r="P49" s="12" t="s">
        <v>162</v>
      </c>
    </row>
    <row r="50" spans="1:16">
      <c r="A50" s="15">
        <v>46313</v>
      </c>
      <c r="B50" s="12" t="s">
        <v>60</v>
      </c>
      <c r="C50" s="12" t="s">
        <v>10</v>
      </c>
      <c r="D50" s="15">
        <v>46338</v>
      </c>
      <c r="E50" s="15">
        <v>46340</v>
      </c>
      <c r="F50" s="15">
        <v>46315</v>
      </c>
      <c r="G50" s="15">
        <v>46319</v>
      </c>
      <c r="H50" s="15">
        <v>46323</v>
      </c>
      <c r="I50" s="15">
        <v>46327</v>
      </c>
      <c r="J50" s="15">
        <v>46330</v>
      </c>
      <c r="K50" s="15">
        <v>46333</v>
      </c>
      <c r="L50" s="15">
        <v>46335</v>
      </c>
      <c r="M50" s="15">
        <v>46362</v>
      </c>
      <c r="N50" s="15">
        <v>46344</v>
      </c>
      <c r="O50" s="15">
        <v>46388</v>
      </c>
      <c r="P50" s="12" t="s">
        <v>162</v>
      </c>
    </row>
    <row r="51" spans="1:16">
      <c r="A51" s="15">
        <v>46314</v>
      </c>
      <c r="B51" s="12" t="s">
        <v>61</v>
      </c>
      <c r="C51" s="12" t="s">
        <v>10</v>
      </c>
      <c r="D51" s="15">
        <v>46338</v>
      </c>
      <c r="E51" s="15">
        <v>46340</v>
      </c>
      <c r="F51" s="15">
        <v>46315</v>
      </c>
      <c r="G51" s="15">
        <v>46319</v>
      </c>
      <c r="H51" s="15">
        <v>46323</v>
      </c>
      <c r="I51" s="15">
        <v>46327</v>
      </c>
      <c r="J51" s="15">
        <v>46330</v>
      </c>
      <c r="K51" s="15">
        <v>46333</v>
      </c>
      <c r="L51" s="15">
        <v>46335</v>
      </c>
      <c r="M51" s="15">
        <v>46362</v>
      </c>
      <c r="N51" s="15">
        <v>46344</v>
      </c>
      <c r="O51" s="15">
        <v>46388</v>
      </c>
      <c r="P51" s="12" t="s">
        <v>162</v>
      </c>
    </row>
    <row r="52" spans="1:16">
      <c r="A52" s="15">
        <v>46315</v>
      </c>
      <c r="B52" s="12" t="s">
        <v>62</v>
      </c>
      <c r="C52" s="12" t="s">
        <v>10</v>
      </c>
      <c r="D52" s="15">
        <v>46338</v>
      </c>
      <c r="E52" s="15">
        <v>46340</v>
      </c>
      <c r="F52" s="15">
        <v>46315</v>
      </c>
      <c r="G52" s="15">
        <v>46319</v>
      </c>
      <c r="H52" s="15">
        <v>46323</v>
      </c>
      <c r="I52" s="15">
        <v>46327</v>
      </c>
      <c r="J52" s="15">
        <v>46330</v>
      </c>
      <c r="K52" s="15">
        <v>46333</v>
      </c>
      <c r="L52" s="15">
        <v>46335</v>
      </c>
      <c r="M52" s="15">
        <v>46362</v>
      </c>
      <c r="N52" s="15">
        <v>46344</v>
      </c>
      <c r="O52" s="15">
        <v>46388</v>
      </c>
      <c r="P52" s="12" t="s">
        <v>162</v>
      </c>
    </row>
    <row r="53" spans="1:16">
      <c r="A53" s="15">
        <v>46316</v>
      </c>
      <c r="B53" s="12" t="s">
        <v>53</v>
      </c>
      <c r="C53" s="12" t="s">
        <v>10</v>
      </c>
      <c r="D53" s="15">
        <v>46338</v>
      </c>
      <c r="E53" s="15">
        <v>46340</v>
      </c>
      <c r="F53" s="15">
        <v>46343</v>
      </c>
      <c r="G53" s="15">
        <v>46319</v>
      </c>
      <c r="H53" s="15">
        <v>46323</v>
      </c>
      <c r="I53" s="15">
        <v>46327</v>
      </c>
      <c r="J53" s="15">
        <v>46330</v>
      </c>
      <c r="K53" s="15">
        <v>46333</v>
      </c>
      <c r="L53" s="15">
        <v>46335</v>
      </c>
      <c r="M53" s="15">
        <v>46362</v>
      </c>
      <c r="N53" s="15">
        <v>46344</v>
      </c>
      <c r="O53" s="15">
        <v>46388</v>
      </c>
      <c r="P53" s="12" t="s">
        <v>162</v>
      </c>
    </row>
    <row r="54" spans="1:16">
      <c r="A54" s="15">
        <v>46317</v>
      </c>
      <c r="B54" s="12" t="s">
        <v>56</v>
      </c>
      <c r="C54" s="12" t="s">
        <v>10</v>
      </c>
      <c r="D54" s="15">
        <v>46338</v>
      </c>
      <c r="E54" s="15">
        <v>46340</v>
      </c>
      <c r="F54" s="15">
        <v>46343</v>
      </c>
      <c r="G54" s="15">
        <v>46319</v>
      </c>
      <c r="H54" s="15">
        <v>46323</v>
      </c>
      <c r="I54" s="15">
        <v>46327</v>
      </c>
      <c r="J54" s="15">
        <v>46330</v>
      </c>
      <c r="K54" s="15">
        <v>46333</v>
      </c>
      <c r="L54" s="15">
        <v>46335</v>
      </c>
      <c r="M54" s="15">
        <v>46362</v>
      </c>
      <c r="N54" s="15">
        <v>46344</v>
      </c>
      <c r="O54" s="15">
        <v>46388</v>
      </c>
      <c r="P54" s="12" t="s">
        <v>162</v>
      </c>
    </row>
    <row r="55" spans="1:16">
      <c r="A55" s="15">
        <v>46318</v>
      </c>
      <c r="B55" s="12" t="s">
        <v>58</v>
      </c>
      <c r="C55" s="12" t="s">
        <v>10</v>
      </c>
      <c r="D55" s="15">
        <v>46338</v>
      </c>
      <c r="E55" s="15">
        <v>46340</v>
      </c>
      <c r="F55" s="15">
        <v>46343</v>
      </c>
      <c r="G55" s="15">
        <v>46319</v>
      </c>
      <c r="H55" s="15">
        <v>46323</v>
      </c>
      <c r="I55" s="15">
        <v>46327</v>
      </c>
      <c r="J55" s="15">
        <v>46330</v>
      </c>
      <c r="K55" s="15">
        <v>46333</v>
      </c>
      <c r="L55" s="15">
        <v>46335</v>
      </c>
      <c r="M55" s="15">
        <v>46362</v>
      </c>
      <c r="N55" s="15">
        <v>46344</v>
      </c>
      <c r="O55" s="15">
        <v>46388</v>
      </c>
      <c r="P55" s="12" t="s">
        <v>162</v>
      </c>
    </row>
    <row r="56" spans="1:16">
      <c r="A56" s="15">
        <v>46319</v>
      </c>
      <c r="B56" s="12" t="s">
        <v>59</v>
      </c>
      <c r="C56" s="12" t="s">
        <v>10</v>
      </c>
      <c r="D56" s="15">
        <v>46338</v>
      </c>
      <c r="E56" s="15">
        <v>46340</v>
      </c>
      <c r="F56" s="15">
        <v>46343</v>
      </c>
      <c r="G56" s="15">
        <v>46319</v>
      </c>
      <c r="H56" s="15">
        <v>46323</v>
      </c>
      <c r="I56" s="15">
        <v>46327</v>
      </c>
      <c r="J56" s="15">
        <v>46330</v>
      </c>
      <c r="K56" s="15">
        <v>46333</v>
      </c>
      <c r="L56" s="15">
        <v>46335</v>
      </c>
      <c r="M56" s="15">
        <v>46362</v>
      </c>
      <c r="N56" s="15">
        <v>46344</v>
      </c>
      <c r="O56" s="15">
        <v>46388</v>
      </c>
      <c r="P56" s="12" t="s">
        <v>162</v>
      </c>
    </row>
    <row r="57" spans="1:16">
      <c r="A57" s="15">
        <v>46320</v>
      </c>
      <c r="B57" s="12" t="s">
        <v>60</v>
      </c>
      <c r="C57" s="12" t="s">
        <v>10</v>
      </c>
      <c r="D57" s="15">
        <v>46338</v>
      </c>
      <c r="E57" s="15">
        <v>46340</v>
      </c>
      <c r="F57" s="15">
        <v>46343</v>
      </c>
      <c r="G57" s="15">
        <v>46347</v>
      </c>
      <c r="H57" s="15">
        <v>46323</v>
      </c>
      <c r="I57" s="15">
        <v>46327</v>
      </c>
      <c r="J57" s="15">
        <v>46330</v>
      </c>
      <c r="K57" s="15">
        <v>46333</v>
      </c>
      <c r="L57" s="15">
        <v>46335</v>
      </c>
      <c r="M57" s="15">
        <v>46362</v>
      </c>
      <c r="N57" s="15">
        <v>46344</v>
      </c>
      <c r="O57" s="15">
        <v>46388</v>
      </c>
      <c r="P57" s="12" t="s">
        <v>162</v>
      </c>
    </row>
    <row r="58" spans="1:16">
      <c r="A58" s="15">
        <v>46321</v>
      </c>
      <c r="B58" s="12" t="s">
        <v>61</v>
      </c>
      <c r="C58" s="12" t="s">
        <v>10</v>
      </c>
      <c r="D58" s="15">
        <v>46338</v>
      </c>
      <c r="E58" s="15">
        <v>46340</v>
      </c>
      <c r="F58" s="15">
        <v>46343</v>
      </c>
      <c r="G58" s="15">
        <v>46347</v>
      </c>
      <c r="H58" s="15">
        <v>46323</v>
      </c>
      <c r="I58" s="15">
        <v>46327</v>
      </c>
      <c r="J58" s="15">
        <v>46330</v>
      </c>
      <c r="K58" s="15">
        <v>46333</v>
      </c>
      <c r="L58" s="15">
        <v>46335</v>
      </c>
      <c r="M58" s="15">
        <v>46362</v>
      </c>
      <c r="N58" s="15">
        <v>46344</v>
      </c>
      <c r="O58" s="15">
        <v>46388</v>
      </c>
      <c r="P58" s="12" t="s">
        <v>162</v>
      </c>
    </row>
    <row r="59" spans="1:16">
      <c r="A59" s="15">
        <v>46322</v>
      </c>
      <c r="B59" s="12" t="s">
        <v>62</v>
      </c>
      <c r="C59" s="12" t="s">
        <v>10</v>
      </c>
      <c r="D59" s="15">
        <v>46338</v>
      </c>
      <c r="E59" s="15">
        <v>46340</v>
      </c>
      <c r="F59" s="15">
        <v>46343</v>
      </c>
      <c r="G59" s="15">
        <v>46347</v>
      </c>
      <c r="H59" s="15">
        <v>46323</v>
      </c>
      <c r="I59" s="15">
        <v>46327</v>
      </c>
      <c r="J59" s="15">
        <v>46330</v>
      </c>
      <c r="K59" s="15">
        <v>46333</v>
      </c>
      <c r="L59" s="15">
        <v>46335</v>
      </c>
      <c r="M59" s="15">
        <v>46362</v>
      </c>
      <c r="N59" s="15">
        <v>46344</v>
      </c>
      <c r="O59" s="15">
        <v>46388</v>
      </c>
      <c r="P59" s="12" t="s">
        <v>162</v>
      </c>
    </row>
    <row r="60" spans="1:16">
      <c r="A60" s="15">
        <v>46323</v>
      </c>
      <c r="B60" s="12" t="s">
        <v>53</v>
      </c>
      <c r="C60" s="12" t="s">
        <v>10</v>
      </c>
      <c r="D60" s="15">
        <v>46338</v>
      </c>
      <c r="E60" s="15">
        <v>46340</v>
      </c>
      <c r="F60" s="15">
        <v>46343</v>
      </c>
      <c r="G60" s="15">
        <v>46347</v>
      </c>
      <c r="H60" s="15">
        <v>46323</v>
      </c>
      <c r="I60" s="15">
        <v>46327</v>
      </c>
      <c r="J60" s="15">
        <v>46330</v>
      </c>
      <c r="K60" s="15">
        <v>46333</v>
      </c>
      <c r="L60" s="15">
        <v>46335</v>
      </c>
      <c r="M60" s="15">
        <v>46362</v>
      </c>
      <c r="N60" s="15">
        <v>46344</v>
      </c>
      <c r="O60" s="15">
        <v>46388</v>
      </c>
      <c r="P60" s="12" t="s">
        <v>162</v>
      </c>
    </row>
    <row r="61" spans="1:16">
      <c r="A61" s="15">
        <v>46324</v>
      </c>
      <c r="B61" s="12" t="s">
        <v>56</v>
      </c>
      <c r="C61" s="12" t="s">
        <v>10</v>
      </c>
      <c r="D61" s="15">
        <v>46338</v>
      </c>
      <c r="E61" s="15">
        <v>46340</v>
      </c>
      <c r="F61" s="15">
        <v>46343</v>
      </c>
      <c r="G61" s="15">
        <v>46347</v>
      </c>
      <c r="H61" s="15">
        <v>46351</v>
      </c>
      <c r="I61" s="15">
        <v>46327</v>
      </c>
      <c r="J61" s="15">
        <v>46330</v>
      </c>
      <c r="K61" s="15">
        <v>46333</v>
      </c>
      <c r="L61" s="15">
        <v>46335</v>
      </c>
      <c r="M61" s="15">
        <v>46362</v>
      </c>
      <c r="N61" s="15">
        <v>46344</v>
      </c>
      <c r="O61" s="15">
        <v>46388</v>
      </c>
      <c r="P61" s="12" t="s">
        <v>162</v>
      </c>
    </row>
    <row r="62" spans="1:16">
      <c r="A62" s="15">
        <v>46325</v>
      </c>
      <c r="B62" s="12" t="s">
        <v>58</v>
      </c>
      <c r="C62" s="12" t="s">
        <v>10</v>
      </c>
      <c r="D62" s="15">
        <v>46338</v>
      </c>
      <c r="E62" s="15">
        <v>46340</v>
      </c>
      <c r="F62" s="15">
        <v>46343</v>
      </c>
      <c r="G62" s="15">
        <v>46347</v>
      </c>
      <c r="H62" s="15">
        <v>46351</v>
      </c>
      <c r="I62" s="15">
        <v>46327</v>
      </c>
      <c r="J62" s="15">
        <v>46330</v>
      </c>
      <c r="K62" s="15">
        <v>46333</v>
      </c>
      <c r="L62" s="15">
        <v>46335</v>
      </c>
      <c r="M62" s="15">
        <v>46362</v>
      </c>
      <c r="N62" s="15">
        <v>46344</v>
      </c>
      <c r="O62" s="15">
        <v>46388</v>
      </c>
      <c r="P62" s="12" t="s">
        <v>162</v>
      </c>
    </row>
    <row r="63" spans="1:16">
      <c r="A63" s="15">
        <v>46326</v>
      </c>
      <c r="B63" s="12" t="s">
        <v>59</v>
      </c>
      <c r="C63" s="12" t="s">
        <v>10</v>
      </c>
      <c r="D63" s="15">
        <v>46338</v>
      </c>
      <c r="E63" s="15">
        <v>46340</v>
      </c>
      <c r="F63" s="15">
        <v>46343</v>
      </c>
      <c r="G63" s="15">
        <v>46347</v>
      </c>
      <c r="H63" s="15">
        <v>46351</v>
      </c>
      <c r="I63" s="15">
        <v>46327</v>
      </c>
      <c r="J63" s="15">
        <v>46330</v>
      </c>
      <c r="K63" s="15">
        <v>46333</v>
      </c>
      <c r="L63" s="15">
        <v>46335</v>
      </c>
      <c r="M63" s="15">
        <v>46362</v>
      </c>
      <c r="N63" s="15">
        <v>46344</v>
      </c>
      <c r="O63" s="15">
        <v>46388</v>
      </c>
      <c r="P63" s="12" t="s">
        <v>162</v>
      </c>
    </row>
    <row r="64" spans="1:16">
      <c r="A64" s="15">
        <v>46327</v>
      </c>
      <c r="B64" s="12" t="s">
        <v>60</v>
      </c>
      <c r="C64" s="12" t="s">
        <v>10</v>
      </c>
      <c r="D64" s="15">
        <v>46338</v>
      </c>
      <c r="E64" s="15">
        <v>46340</v>
      </c>
      <c r="F64" s="15">
        <v>46343</v>
      </c>
      <c r="G64" s="15">
        <v>46347</v>
      </c>
      <c r="H64" s="15">
        <v>46351</v>
      </c>
      <c r="I64" s="15">
        <v>46327</v>
      </c>
      <c r="J64" s="15">
        <v>46330</v>
      </c>
      <c r="K64" s="15">
        <v>46333</v>
      </c>
      <c r="L64" s="15">
        <v>46335</v>
      </c>
      <c r="M64" s="15">
        <v>46362</v>
      </c>
      <c r="N64" s="15">
        <v>46344</v>
      </c>
      <c r="O64" s="15">
        <v>46388</v>
      </c>
      <c r="P64" s="12" t="s">
        <v>162</v>
      </c>
    </row>
    <row r="65" spans="1:16">
      <c r="A65" s="15">
        <v>46328</v>
      </c>
      <c r="B65" s="12" t="s">
        <v>61</v>
      </c>
      <c r="C65" s="12" t="s">
        <v>10</v>
      </c>
      <c r="D65" s="15">
        <v>46338</v>
      </c>
      <c r="E65" s="15">
        <v>46340</v>
      </c>
      <c r="F65" s="15">
        <v>46343</v>
      </c>
      <c r="G65" s="15">
        <v>46347</v>
      </c>
      <c r="H65" s="15">
        <v>46351</v>
      </c>
      <c r="I65" s="15">
        <v>46355</v>
      </c>
      <c r="J65" s="15">
        <v>46330</v>
      </c>
      <c r="K65" s="15">
        <v>46333</v>
      </c>
      <c r="L65" s="15">
        <v>46335</v>
      </c>
      <c r="M65" s="15">
        <v>46362</v>
      </c>
      <c r="N65" s="15">
        <v>46344</v>
      </c>
      <c r="O65" s="15">
        <v>46388</v>
      </c>
      <c r="P65" s="12" t="s">
        <v>162</v>
      </c>
    </row>
    <row r="66" spans="1:16">
      <c r="A66" s="15">
        <v>46329</v>
      </c>
      <c r="B66" s="12" t="s">
        <v>62</v>
      </c>
      <c r="C66" s="12" t="s">
        <v>10</v>
      </c>
      <c r="D66" s="15">
        <v>46338</v>
      </c>
      <c r="E66" s="15">
        <v>46340</v>
      </c>
      <c r="F66" s="15">
        <v>46343</v>
      </c>
      <c r="G66" s="15">
        <v>46347</v>
      </c>
      <c r="H66" s="15">
        <v>46351</v>
      </c>
      <c r="I66" s="15">
        <v>46355</v>
      </c>
      <c r="J66" s="15">
        <v>46330</v>
      </c>
      <c r="K66" s="15">
        <v>46333</v>
      </c>
      <c r="L66" s="15">
        <v>46335</v>
      </c>
      <c r="M66" s="15">
        <v>46362</v>
      </c>
      <c r="N66" s="15">
        <v>46344</v>
      </c>
      <c r="O66" s="15">
        <v>46388</v>
      </c>
      <c r="P66" s="12" t="s">
        <v>162</v>
      </c>
    </row>
    <row r="67" spans="1:16">
      <c r="A67" s="15">
        <v>46330</v>
      </c>
      <c r="B67" s="12" t="s">
        <v>53</v>
      </c>
      <c r="C67" s="12" t="s">
        <v>10</v>
      </c>
      <c r="D67" s="15">
        <v>46338</v>
      </c>
      <c r="E67" s="15">
        <v>46340</v>
      </c>
      <c r="F67" s="15">
        <v>46343</v>
      </c>
      <c r="G67" s="15">
        <v>46347</v>
      </c>
      <c r="H67" s="15">
        <v>46351</v>
      </c>
      <c r="I67" s="15">
        <v>46355</v>
      </c>
      <c r="J67" s="15">
        <v>46330</v>
      </c>
      <c r="K67" s="15">
        <v>46333</v>
      </c>
      <c r="L67" s="15">
        <v>46335</v>
      </c>
      <c r="M67" s="15">
        <v>46362</v>
      </c>
      <c r="N67" s="15">
        <v>46344</v>
      </c>
      <c r="O67" s="15">
        <v>46388</v>
      </c>
      <c r="P67" s="12" t="s">
        <v>162</v>
      </c>
    </row>
    <row r="68" spans="1:16">
      <c r="A68" s="15">
        <v>46331</v>
      </c>
      <c r="B68" s="12" t="s">
        <v>56</v>
      </c>
      <c r="C68" s="12" t="s">
        <v>10</v>
      </c>
      <c r="D68" s="15">
        <v>46338</v>
      </c>
      <c r="E68" s="15">
        <v>46340</v>
      </c>
      <c r="F68" s="15">
        <v>46343</v>
      </c>
      <c r="G68" s="15">
        <v>46347</v>
      </c>
      <c r="H68" s="15">
        <v>46351</v>
      </c>
      <c r="I68" s="15">
        <v>46355</v>
      </c>
      <c r="J68" s="15">
        <v>46358</v>
      </c>
      <c r="K68" s="15">
        <v>46333</v>
      </c>
      <c r="L68" s="15">
        <v>46335</v>
      </c>
      <c r="M68" s="15">
        <v>46362</v>
      </c>
      <c r="N68" s="15">
        <v>46344</v>
      </c>
      <c r="O68" s="15">
        <v>46388</v>
      </c>
      <c r="P68" s="12" t="s">
        <v>162</v>
      </c>
    </row>
    <row r="69" spans="1:16">
      <c r="A69" s="15">
        <v>46332</v>
      </c>
      <c r="B69" s="12" t="s">
        <v>58</v>
      </c>
      <c r="C69" s="12" t="s">
        <v>10</v>
      </c>
      <c r="D69" s="15">
        <v>46338</v>
      </c>
      <c r="E69" s="15">
        <v>46340</v>
      </c>
      <c r="F69" s="15">
        <v>46343</v>
      </c>
      <c r="G69" s="15">
        <v>46347</v>
      </c>
      <c r="H69" s="15">
        <v>46351</v>
      </c>
      <c r="I69" s="15">
        <v>46355</v>
      </c>
      <c r="J69" s="15">
        <v>46358</v>
      </c>
      <c r="K69" s="15">
        <v>46333</v>
      </c>
      <c r="L69" s="15">
        <v>46335</v>
      </c>
      <c r="M69" s="15">
        <v>46362</v>
      </c>
      <c r="N69" s="15">
        <v>46344</v>
      </c>
      <c r="O69" s="15">
        <v>46388</v>
      </c>
      <c r="P69" s="12" t="s">
        <v>162</v>
      </c>
    </row>
    <row r="70" spans="1:16">
      <c r="A70" s="15">
        <v>46333</v>
      </c>
      <c r="B70" s="12" t="s">
        <v>59</v>
      </c>
      <c r="C70" s="12" t="s">
        <v>10</v>
      </c>
      <c r="D70" s="15">
        <v>46338</v>
      </c>
      <c r="E70" s="15">
        <v>46340</v>
      </c>
      <c r="F70" s="15">
        <v>46343</v>
      </c>
      <c r="G70" s="15">
        <v>46347</v>
      </c>
      <c r="H70" s="15">
        <v>46351</v>
      </c>
      <c r="I70" s="15">
        <v>46355</v>
      </c>
      <c r="J70" s="15">
        <v>46358</v>
      </c>
      <c r="K70" s="15">
        <v>46333</v>
      </c>
      <c r="L70" s="15">
        <v>46335</v>
      </c>
      <c r="M70" s="15">
        <v>46362</v>
      </c>
      <c r="N70" s="15">
        <v>46344</v>
      </c>
      <c r="O70" s="15">
        <v>46388</v>
      </c>
      <c r="P70" s="12" t="s">
        <v>162</v>
      </c>
    </row>
    <row r="71" spans="1:16">
      <c r="A71" s="15">
        <v>46334</v>
      </c>
      <c r="B71" s="12" t="s">
        <v>60</v>
      </c>
      <c r="C71" s="12" t="s">
        <v>10</v>
      </c>
      <c r="D71" s="15">
        <v>46338</v>
      </c>
      <c r="E71" s="15">
        <v>46340</v>
      </c>
      <c r="F71" s="15">
        <v>46343</v>
      </c>
      <c r="G71" s="15">
        <v>46347</v>
      </c>
      <c r="H71" s="15">
        <v>46351</v>
      </c>
      <c r="I71" s="15">
        <v>46355</v>
      </c>
      <c r="J71" s="15">
        <v>46358</v>
      </c>
      <c r="K71" s="15">
        <v>46361</v>
      </c>
      <c r="L71" s="15">
        <v>46335</v>
      </c>
      <c r="M71" s="15">
        <v>46362</v>
      </c>
      <c r="N71" s="15">
        <v>46344</v>
      </c>
      <c r="O71" s="15">
        <v>46388</v>
      </c>
      <c r="P71" s="12" t="s">
        <v>162</v>
      </c>
    </row>
    <row r="72" spans="1:16">
      <c r="A72" s="15">
        <v>46335</v>
      </c>
      <c r="B72" s="12" t="s">
        <v>61</v>
      </c>
      <c r="C72" s="12" t="s">
        <v>10</v>
      </c>
      <c r="D72" s="15">
        <v>46338</v>
      </c>
      <c r="E72" s="15">
        <v>46340</v>
      </c>
      <c r="F72" s="15">
        <v>46343</v>
      </c>
      <c r="G72" s="15">
        <v>46347</v>
      </c>
      <c r="H72" s="15">
        <v>46351</v>
      </c>
      <c r="I72" s="15">
        <v>46355</v>
      </c>
      <c r="J72" s="15">
        <v>46358</v>
      </c>
      <c r="K72" s="15">
        <v>46361</v>
      </c>
      <c r="L72" s="15">
        <v>46335</v>
      </c>
      <c r="M72" s="15">
        <v>46362</v>
      </c>
      <c r="N72" s="15">
        <v>46344</v>
      </c>
      <c r="O72" s="15">
        <v>46388</v>
      </c>
      <c r="P72" s="12" t="s">
        <v>162</v>
      </c>
    </row>
    <row r="73" spans="1:16">
      <c r="A73" s="15">
        <v>46336</v>
      </c>
      <c r="B73" s="12" t="s">
        <v>62</v>
      </c>
      <c r="C73" s="12" t="s">
        <v>10</v>
      </c>
      <c r="D73" s="15">
        <v>46338</v>
      </c>
      <c r="E73" s="15">
        <v>46340</v>
      </c>
      <c r="F73" s="15">
        <v>46343</v>
      </c>
      <c r="G73" s="15">
        <v>46347</v>
      </c>
      <c r="H73" s="15">
        <v>46351</v>
      </c>
      <c r="I73" s="15">
        <v>46355</v>
      </c>
      <c r="J73" s="15">
        <v>46358</v>
      </c>
      <c r="K73" s="15">
        <v>46361</v>
      </c>
      <c r="L73" s="15">
        <v>46363</v>
      </c>
      <c r="M73" s="15">
        <v>46362</v>
      </c>
      <c r="N73" s="15">
        <v>46344</v>
      </c>
      <c r="O73" s="15">
        <v>46388</v>
      </c>
      <c r="P73" s="12" t="s">
        <v>162</v>
      </c>
    </row>
    <row r="74" spans="1:16">
      <c r="A74" s="15">
        <v>46337</v>
      </c>
      <c r="B74" s="12" t="s">
        <v>53</v>
      </c>
      <c r="C74" s="12" t="s">
        <v>10</v>
      </c>
      <c r="D74" s="15">
        <v>46338</v>
      </c>
      <c r="E74" s="15">
        <v>46340</v>
      </c>
      <c r="F74" s="15">
        <v>46343</v>
      </c>
      <c r="G74" s="15">
        <v>46347</v>
      </c>
      <c r="H74" s="15">
        <v>46351</v>
      </c>
      <c r="I74" s="15">
        <v>46355</v>
      </c>
      <c r="J74" s="15">
        <v>46358</v>
      </c>
      <c r="K74" s="15">
        <v>46361</v>
      </c>
      <c r="L74" s="15">
        <v>46363</v>
      </c>
      <c r="M74" s="15">
        <v>46362</v>
      </c>
      <c r="N74" s="15">
        <v>46344</v>
      </c>
      <c r="O74" s="15">
        <v>46388</v>
      </c>
      <c r="P74" s="12" t="s">
        <v>162</v>
      </c>
    </row>
    <row r="75" spans="1:16">
      <c r="A75" s="15">
        <v>46338</v>
      </c>
      <c r="B75" s="12" t="s">
        <v>56</v>
      </c>
      <c r="C75" s="12" t="s">
        <v>10</v>
      </c>
      <c r="D75" s="15">
        <v>46338</v>
      </c>
      <c r="E75" s="15">
        <v>46340</v>
      </c>
      <c r="F75" s="15">
        <v>46343</v>
      </c>
      <c r="G75" s="15">
        <v>46347</v>
      </c>
      <c r="H75" s="15">
        <v>46351</v>
      </c>
      <c r="I75" s="15">
        <v>46355</v>
      </c>
      <c r="J75" s="15">
        <v>46358</v>
      </c>
      <c r="K75" s="15">
        <v>46361</v>
      </c>
      <c r="L75" s="15">
        <v>46363</v>
      </c>
      <c r="M75" s="15">
        <v>46362</v>
      </c>
      <c r="N75" s="15">
        <v>46344</v>
      </c>
      <c r="O75" s="15">
        <v>46388</v>
      </c>
      <c r="P75" s="12" t="s">
        <v>162</v>
      </c>
    </row>
    <row r="76" spans="1:16">
      <c r="A76" s="15">
        <v>46339</v>
      </c>
      <c r="B76" s="12" t="s">
        <v>58</v>
      </c>
      <c r="C76" s="12" t="s">
        <v>10</v>
      </c>
      <c r="D76" s="15">
        <v>46366</v>
      </c>
      <c r="E76" s="15">
        <v>46340</v>
      </c>
      <c r="F76" s="15">
        <v>46343</v>
      </c>
      <c r="G76" s="15">
        <v>46347</v>
      </c>
      <c r="H76" s="15">
        <v>46351</v>
      </c>
      <c r="I76" s="15">
        <v>46355</v>
      </c>
      <c r="J76" s="15">
        <v>46358</v>
      </c>
      <c r="K76" s="15">
        <v>46361</v>
      </c>
      <c r="L76" s="15">
        <v>46363</v>
      </c>
      <c r="M76" s="15">
        <v>46362</v>
      </c>
      <c r="N76" s="15">
        <v>46344</v>
      </c>
      <c r="O76" s="15">
        <v>46388</v>
      </c>
      <c r="P76" s="12" t="s">
        <v>162</v>
      </c>
    </row>
    <row r="77" spans="1:16">
      <c r="A77" s="15">
        <v>46340</v>
      </c>
      <c r="B77" s="12" t="s">
        <v>59</v>
      </c>
      <c r="C77" s="12" t="s">
        <v>10</v>
      </c>
      <c r="D77" s="15">
        <v>46366</v>
      </c>
      <c r="E77" s="15">
        <v>46340</v>
      </c>
      <c r="F77" s="15">
        <v>46343</v>
      </c>
      <c r="G77" s="15">
        <v>46347</v>
      </c>
      <c r="H77" s="15">
        <v>46351</v>
      </c>
      <c r="I77" s="15">
        <v>46355</v>
      </c>
      <c r="J77" s="15">
        <v>46358</v>
      </c>
      <c r="K77" s="15">
        <v>46361</v>
      </c>
      <c r="L77" s="15">
        <v>46363</v>
      </c>
      <c r="M77" s="15">
        <v>46362</v>
      </c>
      <c r="N77" s="15">
        <v>46344</v>
      </c>
      <c r="O77" s="15">
        <v>46388</v>
      </c>
      <c r="P77" s="12" t="s">
        <v>162</v>
      </c>
    </row>
    <row r="78" spans="1:16">
      <c r="A78" s="15">
        <v>46341</v>
      </c>
      <c r="B78" s="12" t="s">
        <v>60</v>
      </c>
      <c r="C78" s="12" t="s">
        <v>10</v>
      </c>
      <c r="D78" s="15">
        <v>46366</v>
      </c>
      <c r="E78" s="15">
        <v>46368</v>
      </c>
      <c r="F78" s="15">
        <v>46343</v>
      </c>
      <c r="G78" s="15">
        <v>46347</v>
      </c>
      <c r="H78" s="15">
        <v>46351</v>
      </c>
      <c r="I78" s="15">
        <v>46355</v>
      </c>
      <c r="J78" s="15">
        <v>46358</v>
      </c>
      <c r="K78" s="15">
        <v>46361</v>
      </c>
      <c r="L78" s="15">
        <v>46363</v>
      </c>
      <c r="M78" s="15">
        <v>46362</v>
      </c>
      <c r="N78" s="15">
        <v>46344</v>
      </c>
      <c r="O78" s="15">
        <v>46388</v>
      </c>
      <c r="P78" s="12" t="s">
        <v>162</v>
      </c>
    </row>
    <row r="79" spans="1:16">
      <c r="A79" s="15">
        <v>46342</v>
      </c>
      <c r="B79" s="12" t="s">
        <v>61</v>
      </c>
      <c r="C79" s="12" t="s">
        <v>10</v>
      </c>
      <c r="D79" s="15">
        <v>46366</v>
      </c>
      <c r="E79" s="15">
        <v>46368</v>
      </c>
      <c r="F79" s="15">
        <v>46343</v>
      </c>
      <c r="G79" s="15">
        <v>46347</v>
      </c>
      <c r="H79" s="15">
        <v>46351</v>
      </c>
      <c r="I79" s="15">
        <v>46355</v>
      </c>
      <c r="J79" s="15">
        <v>46358</v>
      </c>
      <c r="K79" s="15">
        <v>46361</v>
      </c>
      <c r="L79" s="15">
        <v>46363</v>
      </c>
      <c r="M79" s="15">
        <v>46362</v>
      </c>
      <c r="N79" s="15">
        <v>46344</v>
      </c>
      <c r="O79" s="15">
        <v>46388</v>
      </c>
      <c r="P79" s="12" t="s">
        <v>162</v>
      </c>
    </row>
    <row r="80" spans="1:16">
      <c r="A80" s="15">
        <v>46343</v>
      </c>
      <c r="B80" s="12" t="s">
        <v>62</v>
      </c>
      <c r="C80" s="12" t="s">
        <v>10</v>
      </c>
      <c r="D80" s="15">
        <v>46366</v>
      </c>
      <c r="E80" s="15">
        <v>46368</v>
      </c>
      <c r="F80" s="15">
        <v>46343</v>
      </c>
      <c r="G80" s="15">
        <v>46347</v>
      </c>
      <c r="H80" s="15">
        <v>46351</v>
      </c>
      <c r="I80" s="15">
        <v>46355</v>
      </c>
      <c r="J80" s="15">
        <v>46358</v>
      </c>
      <c r="K80" s="15">
        <v>46361</v>
      </c>
      <c r="L80" s="15">
        <v>46363</v>
      </c>
      <c r="M80" s="15">
        <v>46362</v>
      </c>
      <c r="N80" s="15">
        <v>46344</v>
      </c>
      <c r="O80" s="15">
        <v>46388</v>
      </c>
      <c r="P80" s="12" t="s">
        <v>162</v>
      </c>
    </row>
    <row r="81" spans="1:16">
      <c r="A81" s="15">
        <v>46344</v>
      </c>
      <c r="B81" s="12" t="s">
        <v>53</v>
      </c>
      <c r="C81" s="12" t="s">
        <v>10</v>
      </c>
      <c r="D81" s="15">
        <v>46366</v>
      </c>
      <c r="E81" s="15">
        <v>46368</v>
      </c>
      <c r="F81" s="15">
        <v>46371</v>
      </c>
      <c r="G81" s="15">
        <v>46347</v>
      </c>
      <c r="H81" s="15">
        <v>46351</v>
      </c>
      <c r="I81" s="15">
        <v>46355</v>
      </c>
      <c r="J81" s="15">
        <v>46358</v>
      </c>
      <c r="K81" s="15">
        <v>46361</v>
      </c>
      <c r="L81" s="15">
        <v>46363</v>
      </c>
      <c r="M81" s="15">
        <v>46362</v>
      </c>
      <c r="N81" s="15">
        <v>46344</v>
      </c>
      <c r="O81" s="15">
        <v>46388</v>
      </c>
      <c r="P81" s="12" t="s">
        <v>162</v>
      </c>
    </row>
    <row r="82" spans="1:16">
      <c r="A82" s="15">
        <v>46345</v>
      </c>
      <c r="B82" s="12" t="s">
        <v>56</v>
      </c>
      <c r="C82" s="12" t="s">
        <v>10</v>
      </c>
      <c r="D82" s="15">
        <v>46366</v>
      </c>
      <c r="E82" s="15">
        <v>46368</v>
      </c>
      <c r="F82" s="15">
        <v>46371</v>
      </c>
      <c r="G82" s="15">
        <v>46347</v>
      </c>
      <c r="H82" s="15">
        <v>46351</v>
      </c>
      <c r="I82" s="15">
        <v>46355</v>
      </c>
      <c r="J82" s="15">
        <v>46358</v>
      </c>
      <c r="K82" s="15">
        <v>46361</v>
      </c>
      <c r="L82" s="15">
        <v>46363</v>
      </c>
      <c r="M82" s="15">
        <v>46362</v>
      </c>
      <c r="N82" s="15">
        <v>46428</v>
      </c>
      <c r="O82" s="15">
        <v>46388</v>
      </c>
      <c r="P82" s="12" t="s">
        <v>162</v>
      </c>
    </row>
    <row r="83" spans="1:16">
      <c r="A83" s="15">
        <v>46346</v>
      </c>
      <c r="B83" s="12" t="s">
        <v>58</v>
      </c>
      <c r="C83" s="12" t="s">
        <v>10</v>
      </c>
      <c r="D83" s="15">
        <v>46366</v>
      </c>
      <c r="E83" s="15">
        <v>46368</v>
      </c>
      <c r="F83" s="15">
        <v>46371</v>
      </c>
      <c r="G83" s="15">
        <v>46347</v>
      </c>
      <c r="H83" s="15">
        <v>46351</v>
      </c>
      <c r="I83" s="15">
        <v>46355</v>
      </c>
      <c r="J83" s="15">
        <v>46358</v>
      </c>
      <c r="K83" s="15">
        <v>46361</v>
      </c>
      <c r="L83" s="15">
        <v>46363</v>
      </c>
      <c r="M83" s="15">
        <v>46362</v>
      </c>
      <c r="N83" s="15">
        <v>46428</v>
      </c>
      <c r="O83" s="15">
        <v>46388</v>
      </c>
      <c r="P83" s="12" t="s">
        <v>162</v>
      </c>
    </row>
    <row r="84" spans="1:16">
      <c r="A84" s="15">
        <v>46347</v>
      </c>
      <c r="B84" s="12" t="s">
        <v>59</v>
      </c>
      <c r="C84" s="12" t="s">
        <v>10</v>
      </c>
      <c r="D84" s="15">
        <v>46366</v>
      </c>
      <c r="E84" s="15">
        <v>46368</v>
      </c>
      <c r="F84" s="15">
        <v>46371</v>
      </c>
      <c r="G84" s="15">
        <v>46347</v>
      </c>
      <c r="H84" s="15">
        <v>46351</v>
      </c>
      <c r="I84" s="15">
        <v>46355</v>
      </c>
      <c r="J84" s="15">
        <v>46358</v>
      </c>
      <c r="K84" s="15">
        <v>46361</v>
      </c>
      <c r="L84" s="15">
        <v>46363</v>
      </c>
      <c r="M84" s="15">
        <v>46362</v>
      </c>
      <c r="N84" s="15">
        <v>46428</v>
      </c>
      <c r="O84" s="15">
        <v>46388</v>
      </c>
      <c r="P84" s="12" t="s">
        <v>162</v>
      </c>
    </row>
    <row r="85" spans="1:16">
      <c r="A85" s="15">
        <v>46348</v>
      </c>
      <c r="B85" s="12" t="s">
        <v>60</v>
      </c>
      <c r="C85" s="12" t="s">
        <v>10</v>
      </c>
      <c r="D85" s="15">
        <v>46366</v>
      </c>
      <c r="E85" s="15">
        <v>46368</v>
      </c>
      <c r="F85" s="15">
        <v>46371</v>
      </c>
      <c r="G85" s="15">
        <v>46375</v>
      </c>
      <c r="H85" s="15">
        <v>46351</v>
      </c>
      <c r="I85" s="15">
        <v>46355</v>
      </c>
      <c r="J85" s="15">
        <v>46358</v>
      </c>
      <c r="K85" s="15">
        <v>46361</v>
      </c>
      <c r="L85" s="15">
        <v>46363</v>
      </c>
      <c r="M85" s="15">
        <v>46362</v>
      </c>
      <c r="N85" s="15">
        <v>46428</v>
      </c>
      <c r="O85" s="15">
        <v>46388</v>
      </c>
      <c r="P85" s="12" t="s">
        <v>162</v>
      </c>
    </row>
    <row r="86" spans="1:16">
      <c r="A86" s="15">
        <v>46349</v>
      </c>
      <c r="B86" s="12" t="s">
        <v>61</v>
      </c>
      <c r="C86" s="12" t="s">
        <v>10</v>
      </c>
      <c r="D86" s="15">
        <v>46366</v>
      </c>
      <c r="E86" s="15">
        <v>46368</v>
      </c>
      <c r="F86" s="15">
        <v>46371</v>
      </c>
      <c r="G86" s="15">
        <v>46375</v>
      </c>
      <c r="H86" s="15">
        <v>46351</v>
      </c>
      <c r="I86" s="15">
        <v>46355</v>
      </c>
      <c r="J86" s="15">
        <v>46358</v>
      </c>
      <c r="K86" s="15">
        <v>46361</v>
      </c>
      <c r="L86" s="15">
        <v>46363</v>
      </c>
      <c r="M86" s="15">
        <v>46362</v>
      </c>
      <c r="N86" s="15">
        <v>46428</v>
      </c>
      <c r="O86" s="15">
        <v>46388</v>
      </c>
      <c r="P86" s="12" t="s">
        <v>162</v>
      </c>
    </row>
    <row r="87" spans="1:16">
      <c r="A87" s="15">
        <v>46350</v>
      </c>
      <c r="B87" s="12" t="s">
        <v>62</v>
      </c>
      <c r="C87" s="12" t="s">
        <v>10</v>
      </c>
      <c r="D87" s="15">
        <v>46366</v>
      </c>
      <c r="E87" s="15">
        <v>46368</v>
      </c>
      <c r="F87" s="15">
        <v>46371</v>
      </c>
      <c r="G87" s="15">
        <v>46375</v>
      </c>
      <c r="H87" s="15">
        <v>46351</v>
      </c>
      <c r="I87" s="15">
        <v>46355</v>
      </c>
      <c r="J87" s="15">
        <v>46358</v>
      </c>
      <c r="K87" s="15">
        <v>46361</v>
      </c>
      <c r="L87" s="15">
        <v>46363</v>
      </c>
      <c r="M87" s="15">
        <v>46362</v>
      </c>
      <c r="N87" s="15">
        <v>46428</v>
      </c>
      <c r="O87" s="15">
        <v>46388</v>
      </c>
      <c r="P87" s="12" t="s">
        <v>162</v>
      </c>
    </row>
    <row r="88" spans="1:16">
      <c r="A88" s="15">
        <v>46351</v>
      </c>
      <c r="B88" s="12" t="s">
        <v>53</v>
      </c>
      <c r="C88" s="12" t="s">
        <v>10</v>
      </c>
      <c r="D88" s="15">
        <v>46366</v>
      </c>
      <c r="E88" s="15">
        <v>46368</v>
      </c>
      <c r="F88" s="15">
        <v>46371</v>
      </c>
      <c r="G88" s="15">
        <v>46375</v>
      </c>
      <c r="H88" s="15">
        <v>46351</v>
      </c>
      <c r="I88" s="15">
        <v>46355</v>
      </c>
      <c r="J88" s="15">
        <v>46358</v>
      </c>
      <c r="K88" s="15">
        <v>46361</v>
      </c>
      <c r="L88" s="15">
        <v>46363</v>
      </c>
      <c r="M88" s="15">
        <v>46362</v>
      </c>
      <c r="N88" s="15">
        <v>46428</v>
      </c>
      <c r="O88" s="15">
        <v>46388</v>
      </c>
      <c r="P88" s="12" t="s">
        <v>162</v>
      </c>
    </row>
    <row r="89" spans="1:16">
      <c r="A89" s="15">
        <v>46352</v>
      </c>
      <c r="B89" s="12" t="s">
        <v>56</v>
      </c>
      <c r="C89" s="12" t="s">
        <v>10</v>
      </c>
      <c r="D89" s="15">
        <v>46366</v>
      </c>
      <c r="E89" s="15">
        <v>46368</v>
      </c>
      <c r="F89" s="15">
        <v>46371</v>
      </c>
      <c r="G89" s="15">
        <v>46375</v>
      </c>
      <c r="H89" s="15">
        <v>46379</v>
      </c>
      <c r="I89" s="15">
        <v>46355</v>
      </c>
      <c r="J89" s="15">
        <v>46358</v>
      </c>
      <c r="K89" s="15">
        <v>46361</v>
      </c>
      <c r="L89" s="15">
        <v>46363</v>
      </c>
      <c r="M89" s="15">
        <v>46362</v>
      </c>
      <c r="N89" s="15">
        <v>46428</v>
      </c>
      <c r="O89" s="15">
        <v>46388</v>
      </c>
      <c r="P89" s="12" t="s">
        <v>162</v>
      </c>
    </row>
    <row r="90" spans="1:16">
      <c r="A90" s="15">
        <v>46353</v>
      </c>
      <c r="B90" s="12" t="s">
        <v>58</v>
      </c>
      <c r="C90" s="12" t="s">
        <v>10</v>
      </c>
      <c r="D90" s="15">
        <v>46366</v>
      </c>
      <c r="E90" s="15">
        <v>46368</v>
      </c>
      <c r="F90" s="15">
        <v>46371</v>
      </c>
      <c r="G90" s="15">
        <v>46375</v>
      </c>
      <c r="H90" s="15">
        <v>46379</v>
      </c>
      <c r="I90" s="15">
        <v>46355</v>
      </c>
      <c r="J90" s="15">
        <v>46358</v>
      </c>
      <c r="K90" s="15">
        <v>46361</v>
      </c>
      <c r="L90" s="15">
        <v>46363</v>
      </c>
      <c r="M90" s="15">
        <v>46362</v>
      </c>
      <c r="N90" s="15">
        <v>46428</v>
      </c>
      <c r="O90" s="15">
        <v>46388</v>
      </c>
      <c r="P90" s="12" t="s">
        <v>162</v>
      </c>
    </row>
    <row r="91" spans="1:16">
      <c r="A91" s="15">
        <v>46354</v>
      </c>
      <c r="B91" s="12" t="s">
        <v>59</v>
      </c>
      <c r="C91" s="12" t="s">
        <v>10</v>
      </c>
      <c r="D91" s="15">
        <v>46366</v>
      </c>
      <c r="E91" s="15">
        <v>46368</v>
      </c>
      <c r="F91" s="15">
        <v>46371</v>
      </c>
      <c r="G91" s="15">
        <v>46375</v>
      </c>
      <c r="H91" s="15">
        <v>46379</v>
      </c>
      <c r="I91" s="15">
        <v>46355</v>
      </c>
      <c r="J91" s="15">
        <v>46358</v>
      </c>
      <c r="K91" s="15">
        <v>46361</v>
      </c>
      <c r="L91" s="15">
        <v>46363</v>
      </c>
      <c r="M91" s="15">
        <v>46362</v>
      </c>
      <c r="N91" s="15">
        <v>46428</v>
      </c>
      <c r="O91" s="15">
        <v>46388</v>
      </c>
      <c r="P91" s="12" t="s">
        <v>162</v>
      </c>
    </row>
    <row r="92" spans="1:16">
      <c r="A92" s="15">
        <v>46355</v>
      </c>
      <c r="B92" s="12" t="s">
        <v>60</v>
      </c>
      <c r="C92" s="12" t="s">
        <v>10</v>
      </c>
      <c r="D92" s="15">
        <v>46366</v>
      </c>
      <c r="E92" s="15">
        <v>46368</v>
      </c>
      <c r="F92" s="15">
        <v>46371</v>
      </c>
      <c r="G92" s="15">
        <v>46375</v>
      </c>
      <c r="H92" s="15">
        <v>46379</v>
      </c>
      <c r="I92" s="15">
        <v>46355</v>
      </c>
      <c r="J92" s="15">
        <v>46358</v>
      </c>
      <c r="K92" s="15">
        <v>46361</v>
      </c>
      <c r="L92" s="15">
        <v>46363</v>
      </c>
      <c r="M92" s="15">
        <v>46362</v>
      </c>
      <c r="N92" s="15">
        <v>46428</v>
      </c>
      <c r="O92" s="15">
        <v>46388</v>
      </c>
      <c r="P92" s="12" t="s">
        <v>162</v>
      </c>
    </row>
    <row r="93" spans="1:16">
      <c r="A93" s="16">
        <v>46356</v>
      </c>
      <c r="B93" s="13" t="s">
        <v>61</v>
      </c>
      <c r="C93" s="13" t="s">
        <v>10</v>
      </c>
      <c r="D93" s="16">
        <v>46366</v>
      </c>
      <c r="E93" s="16">
        <v>46368</v>
      </c>
      <c r="F93" s="16">
        <v>46371</v>
      </c>
      <c r="G93" s="16">
        <v>46375</v>
      </c>
      <c r="H93" s="16">
        <v>46379</v>
      </c>
      <c r="I93" s="16">
        <v>46383</v>
      </c>
      <c r="J93" s="16">
        <v>46358</v>
      </c>
      <c r="K93" s="16">
        <v>46361</v>
      </c>
      <c r="L93" s="16">
        <v>46363</v>
      </c>
      <c r="M93" s="16">
        <v>46362</v>
      </c>
      <c r="N93" s="16">
        <v>46428</v>
      </c>
      <c r="O93" s="16">
        <v>46388</v>
      </c>
      <c r="P93" s="13" t="s">
        <v>162</v>
      </c>
    </row>
  </sheetData>
  <mergeCells count="2">
    <mergeCell ref="A1:P1"/>
    <mergeCell ref="A2:P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3"/>
  <sheetViews>
    <sheetView showGridLines="0" workbookViewId="0"/>
  </sheetViews>
  <sheetFormatPr defaultRowHeight="14"/>
  <cols>
    <col min="1" max="8" width="14" customWidth="1"/>
    <col min="9" max="9" width="34" customWidth="1"/>
  </cols>
  <sheetData>
    <row r="1" spans="1:9" ht="30" customHeight="1">
      <c r="A1" s="75" t="s">
        <v>163</v>
      </c>
      <c r="B1" s="72"/>
      <c r="C1" s="72"/>
      <c r="D1" s="72"/>
      <c r="E1" s="72"/>
      <c r="F1" s="72"/>
      <c r="G1" s="72"/>
      <c r="H1" s="72"/>
      <c r="I1" s="72"/>
    </row>
    <row r="2" spans="1:9" ht="14.5">
      <c r="A2" s="76" t="s">
        <v>164</v>
      </c>
      <c r="B2" s="72"/>
      <c r="C2" s="72"/>
      <c r="D2" s="72"/>
      <c r="E2" s="72"/>
      <c r="F2" s="72"/>
      <c r="G2" s="72"/>
      <c r="H2" s="72"/>
      <c r="I2" s="72"/>
    </row>
    <row r="3" spans="1:9" ht="30" customHeight="1">
      <c r="A3" s="1" t="s">
        <v>30</v>
      </c>
      <c r="B3" s="1" t="s">
        <v>31</v>
      </c>
      <c r="C3" s="1" t="s">
        <v>148</v>
      </c>
      <c r="D3" s="1" t="s">
        <v>165</v>
      </c>
      <c r="E3" s="1" t="s">
        <v>166</v>
      </c>
      <c r="F3" s="1" t="s">
        <v>167</v>
      </c>
      <c r="G3" s="1" t="s">
        <v>168</v>
      </c>
      <c r="H3" s="1" t="s">
        <v>169</v>
      </c>
      <c r="I3" s="1" t="s">
        <v>161</v>
      </c>
    </row>
    <row r="4" spans="1:9">
      <c r="A4" s="14">
        <v>46267</v>
      </c>
      <c r="B4" s="11" t="s">
        <v>53</v>
      </c>
      <c r="C4" s="11" t="s">
        <v>10</v>
      </c>
      <c r="D4" s="14">
        <v>46289</v>
      </c>
      <c r="E4" s="14">
        <v>46292</v>
      </c>
      <c r="F4" s="14">
        <v>46268</v>
      </c>
      <c r="G4" s="14">
        <v>46281</v>
      </c>
      <c r="H4" s="14">
        <v>46411</v>
      </c>
      <c r="I4" s="11" t="s">
        <v>170</v>
      </c>
    </row>
    <row r="5" spans="1:9">
      <c r="A5" s="15">
        <v>46268</v>
      </c>
      <c r="B5" s="12" t="s">
        <v>56</v>
      </c>
      <c r="C5" s="12" t="s">
        <v>10</v>
      </c>
      <c r="D5" s="15">
        <v>46289</v>
      </c>
      <c r="E5" s="15">
        <v>46292</v>
      </c>
      <c r="F5" s="15">
        <v>46268</v>
      </c>
      <c r="G5" s="15">
        <v>46281</v>
      </c>
      <c r="H5" s="15">
        <v>46411</v>
      </c>
      <c r="I5" s="12" t="s">
        <v>170</v>
      </c>
    </row>
    <row r="6" spans="1:9">
      <c r="A6" s="15">
        <v>46269</v>
      </c>
      <c r="B6" s="12" t="s">
        <v>58</v>
      </c>
      <c r="C6" s="12" t="s">
        <v>10</v>
      </c>
      <c r="D6" s="15">
        <v>46289</v>
      </c>
      <c r="E6" s="15">
        <v>46292</v>
      </c>
      <c r="F6" s="15">
        <v>46296</v>
      </c>
      <c r="G6" s="15">
        <v>46281</v>
      </c>
      <c r="H6" s="15">
        <v>46411</v>
      </c>
      <c r="I6" s="12" t="s">
        <v>170</v>
      </c>
    </row>
    <row r="7" spans="1:9">
      <c r="A7" s="15">
        <v>46270</v>
      </c>
      <c r="B7" s="12" t="s">
        <v>59</v>
      </c>
      <c r="C7" s="12" t="s">
        <v>10</v>
      </c>
      <c r="D7" s="15">
        <v>46289</v>
      </c>
      <c r="E7" s="15">
        <v>46292</v>
      </c>
      <c r="F7" s="15">
        <v>46296</v>
      </c>
      <c r="G7" s="15">
        <v>46281</v>
      </c>
      <c r="H7" s="15">
        <v>46411</v>
      </c>
      <c r="I7" s="12" t="s">
        <v>170</v>
      </c>
    </row>
    <row r="8" spans="1:9">
      <c r="A8" s="15">
        <v>46271</v>
      </c>
      <c r="B8" s="12" t="s">
        <v>60</v>
      </c>
      <c r="C8" s="12" t="s">
        <v>10</v>
      </c>
      <c r="D8" s="15">
        <v>46289</v>
      </c>
      <c r="E8" s="15">
        <v>46292</v>
      </c>
      <c r="F8" s="15">
        <v>46296</v>
      </c>
      <c r="G8" s="15">
        <v>46281</v>
      </c>
      <c r="H8" s="15">
        <v>46411</v>
      </c>
      <c r="I8" s="12" t="s">
        <v>170</v>
      </c>
    </row>
    <row r="9" spans="1:9">
      <c r="A9" s="15">
        <v>46272</v>
      </c>
      <c r="B9" s="12" t="s">
        <v>61</v>
      </c>
      <c r="C9" s="12" t="s">
        <v>10</v>
      </c>
      <c r="D9" s="15">
        <v>46289</v>
      </c>
      <c r="E9" s="15">
        <v>46292</v>
      </c>
      <c r="F9" s="15">
        <v>46296</v>
      </c>
      <c r="G9" s="15">
        <v>46281</v>
      </c>
      <c r="H9" s="15">
        <v>46411</v>
      </c>
      <c r="I9" s="12" t="s">
        <v>170</v>
      </c>
    </row>
    <row r="10" spans="1:9">
      <c r="A10" s="15">
        <v>46273</v>
      </c>
      <c r="B10" s="12" t="s">
        <v>62</v>
      </c>
      <c r="C10" s="12" t="s">
        <v>10</v>
      </c>
      <c r="D10" s="15">
        <v>46289</v>
      </c>
      <c r="E10" s="15">
        <v>46292</v>
      </c>
      <c r="F10" s="15">
        <v>46296</v>
      </c>
      <c r="G10" s="15">
        <v>46281</v>
      </c>
      <c r="H10" s="15">
        <v>46411</v>
      </c>
      <c r="I10" s="12" t="s">
        <v>170</v>
      </c>
    </row>
    <row r="11" spans="1:9">
      <c r="A11" s="15">
        <v>46274</v>
      </c>
      <c r="B11" s="12" t="s">
        <v>53</v>
      </c>
      <c r="C11" s="12" t="s">
        <v>10</v>
      </c>
      <c r="D11" s="15">
        <v>46289</v>
      </c>
      <c r="E11" s="15">
        <v>46292</v>
      </c>
      <c r="F11" s="15">
        <v>46296</v>
      </c>
      <c r="G11" s="15">
        <v>46281</v>
      </c>
      <c r="H11" s="15">
        <v>46411</v>
      </c>
      <c r="I11" s="12" t="s">
        <v>170</v>
      </c>
    </row>
    <row r="12" spans="1:9">
      <c r="A12" s="15">
        <v>46275</v>
      </c>
      <c r="B12" s="12" t="s">
        <v>56</v>
      </c>
      <c r="C12" s="12" t="s">
        <v>10</v>
      </c>
      <c r="D12" s="15">
        <v>46289</v>
      </c>
      <c r="E12" s="15">
        <v>46292</v>
      </c>
      <c r="F12" s="15">
        <v>46296</v>
      </c>
      <c r="G12" s="15">
        <v>46281</v>
      </c>
      <c r="H12" s="15">
        <v>46411</v>
      </c>
      <c r="I12" s="12" t="s">
        <v>170</v>
      </c>
    </row>
    <row r="13" spans="1:9">
      <c r="A13" s="15">
        <v>46276</v>
      </c>
      <c r="B13" s="12" t="s">
        <v>58</v>
      </c>
      <c r="C13" s="12" t="s">
        <v>10</v>
      </c>
      <c r="D13" s="15">
        <v>46289</v>
      </c>
      <c r="E13" s="15">
        <v>46292</v>
      </c>
      <c r="F13" s="15">
        <v>46296</v>
      </c>
      <c r="G13" s="15">
        <v>46281</v>
      </c>
      <c r="H13" s="15">
        <v>46411</v>
      </c>
      <c r="I13" s="12" t="s">
        <v>170</v>
      </c>
    </row>
    <row r="14" spans="1:9">
      <c r="A14" s="15">
        <v>46277</v>
      </c>
      <c r="B14" s="12" t="s">
        <v>59</v>
      </c>
      <c r="C14" s="12" t="s">
        <v>10</v>
      </c>
      <c r="D14" s="15">
        <v>46289</v>
      </c>
      <c r="E14" s="15">
        <v>46292</v>
      </c>
      <c r="F14" s="15">
        <v>46296</v>
      </c>
      <c r="G14" s="15">
        <v>46281</v>
      </c>
      <c r="H14" s="15">
        <v>46411</v>
      </c>
      <c r="I14" s="12" t="s">
        <v>170</v>
      </c>
    </row>
    <row r="15" spans="1:9">
      <c r="A15" s="15">
        <v>46278</v>
      </c>
      <c r="B15" s="12" t="s">
        <v>60</v>
      </c>
      <c r="C15" s="12" t="s">
        <v>10</v>
      </c>
      <c r="D15" s="15">
        <v>46289</v>
      </c>
      <c r="E15" s="15">
        <v>46292</v>
      </c>
      <c r="F15" s="15">
        <v>46296</v>
      </c>
      <c r="G15" s="15">
        <v>46281</v>
      </c>
      <c r="H15" s="15">
        <v>46411</v>
      </c>
      <c r="I15" s="12" t="s">
        <v>170</v>
      </c>
    </row>
    <row r="16" spans="1:9">
      <c r="A16" s="15">
        <v>46279</v>
      </c>
      <c r="B16" s="12" t="s">
        <v>61</v>
      </c>
      <c r="C16" s="12" t="s">
        <v>10</v>
      </c>
      <c r="D16" s="15">
        <v>46289</v>
      </c>
      <c r="E16" s="15">
        <v>46292</v>
      </c>
      <c r="F16" s="15">
        <v>46296</v>
      </c>
      <c r="G16" s="15">
        <v>46281</v>
      </c>
      <c r="H16" s="15">
        <v>46411</v>
      </c>
      <c r="I16" s="12" t="s">
        <v>170</v>
      </c>
    </row>
    <row r="17" spans="1:9">
      <c r="A17" s="15">
        <v>46280</v>
      </c>
      <c r="B17" s="12" t="s">
        <v>62</v>
      </c>
      <c r="C17" s="12" t="s">
        <v>10</v>
      </c>
      <c r="D17" s="15">
        <v>46289</v>
      </c>
      <c r="E17" s="15">
        <v>46292</v>
      </c>
      <c r="F17" s="15">
        <v>46296</v>
      </c>
      <c r="G17" s="15">
        <v>46281</v>
      </c>
      <c r="H17" s="15">
        <v>46411</v>
      </c>
      <c r="I17" s="12" t="s">
        <v>170</v>
      </c>
    </row>
    <row r="18" spans="1:9">
      <c r="A18" s="15">
        <v>46281</v>
      </c>
      <c r="B18" s="12" t="s">
        <v>53</v>
      </c>
      <c r="C18" s="12" t="s">
        <v>10</v>
      </c>
      <c r="D18" s="15">
        <v>46289</v>
      </c>
      <c r="E18" s="15">
        <v>46292</v>
      </c>
      <c r="F18" s="15">
        <v>46296</v>
      </c>
      <c r="G18" s="15">
        <v>46281</v>
      </c>
      <c r="H18" s="15">
        <v>46411</v>
      </c>
      <c r="I18" s="12" t="s">
        <v>170</v>
      </c>
    </row>
    <row r="19" spans="1:9">
      <c r="A19" s="15">
        <v>46282</v>
      </c>
      <c r="B19" s="12" t="s">
        <v>56</v>
      </c>
      <c r="C19" s="12" t="s">
        <v>10</v>
      </c>
      <c r="D19" s="15">
        <v>46289</v>
      </c>
      <c r="E19" s="15">
        <v>46292</v>
      </c>
      <c r="F19" s="15">
        <v>46296</v>
      </c>
      <c r="G19" s="15">
        <v>46309</v>
      </c>
      <c r="H19" s="15">
        <v>46411</v>
      </c>
      <c r="I19" s="12" t="s">
        <v>170</v>
      </c>
    </row>
    <row r="20" spans="1:9">
      <c r="A20" s="15">
        <v>46283</v>
      </c>
      <c r="B20" s="12" t="s">
        <v>58</v>
      </c>
      <c r="C20" s="12" t="s">
        <v>10</v>
      </c>
      <c r="D20" s="15">
        <v>46289</v>
      </c>
      <c r="E20" s="15">
        <v>46292</v>
      </c>
      <c r="F20" s="15">
        <v>46296</v>
      </c>
      <c r="G20" s="15">
        <v>46309</v>
      </c>
      <c r="H20" s="15">
        <v>46411</v>
      </c>
      <c r="I20" s="12" t="s">
        <v>170</v>
      </c>
    </row>
    <row r="21" spans="1:9">
      <c r="A21" s="15">
        <v>46284</v>
      </c>
      <c r="B21" s="12" t="s">
        <v>59</v>
      </c>
      <c r="C21" s="12" t="s">
        <v>10</v>
      </c>
      <c r="D21" s="15">
        <v>46289</v>
      </c>
      <c r="E21" s="15">
        <v>46292</v>
      </c>
      <c r="F21" s="15">
        <v>46296</v>
      </c>
      <c r="G21" s="15">
        <v>46309</v>
      </c>
      <c r="H21" s="15">
        <v>46411</v>
      </c>
      <c r="I21" s="12" t="s">
        <v>170</v>
      </c>
    </row>
    <row r="22" spans="1:9">
      <c r="A22" s="15">
        <v>46285</v>
      </c>
      <c r="B22" s="12" t="s">
        <v>60</v>
      </c>
      <c r="C22" s="12" t="s">
        <v>10</v>
      </c>
      <c r="D22" s="15">
        <v>46289</v>
      </c>
      <c r="E22" s="15">
        <v>46292</v>
      </c>
      <c r="F22" s="15">
        <v>46296</v>
      </c>
      <c r="G22" s="15">
        <v>46309</v>
      </c>
      <c r="H22" s="15">
        <v>46411</v>
      </c>
      <c r="I22" s="12" t="s">
        <v>170</v>
      </c>
    </row>
    <row r="23" spans="1:9">
      <c r="A23" s="15">
        <v>46286</v>
      </c>
      <c r="B23" s="12" t="s">
        <v>61</v>
      </c>
      <c r="C23" s="12" t="s">
        <v>10</v>
      </c>
      <c r="D23" s="15">
        <v>46289</v>
      </c>
      <c r="E23" s="15">
        <v>46292</v>
      </c>
      <c r="F23" s="15">
        <v>46296</v>
      </c>
      <c r="G23" s="15">
        <v>46309</v>
      </c>
      <c r="H23" s="15">
        <v>46411</v>
      </c>
      <c r="I23" s="12" t="s">
        <v>170</v>
      </c>
    </row>
    <row r="24" spans="1:9">
      <c r="A24" s="15">
        <v>46287</v>
      </c>
      <c r="B24" s="12" t="s">
        <v>62</v>
      </c>
      <c r="C24" s="12" t="s">
        <v>10</v>
      </c>
      <c r="D24" s="15">
        <v>46289</v>
      </c>
      <c r="E24" s="15">
        <v>46292</v>
      </c>
      <c r="F24" s="15">
        <v>46296</v>
      </c>
      <c r="G24" s="15">
        <v>46309</v>
      </c>
      <c r="H24" s="15">
        <v>46411</v>
      </c>
      <c r="I24" s="12" t="s">
        <v>170</v>
      </c>
    </row>
    <row r="25" spans="1:9">
      <c r="A25" s="15">
        <v>46288</v>
      </c>
      <c r="B25" s="12" t="s">
        <v>53</v>
      </c>
      <c r="C25" s="12" t="s">
        <v>10</v>
      </c>
      <c r="D25" s="15">
        <v>46289</v>
      </c>
      <c r="E25" s="15">
        <v>46292</v>
      </c>
      <c r="F25" s="15">
        <v>46296</v>
      </c>
      <c r="G25" s="15">
        <v>46309</v>
      </c>
      <c r="H25" s="15">
        <v>46411</v>
      </c>
      <c r="I25" s="12" t="s">
        <v>170</v>
      </c>
    </row>
    <row r="26" spans="1:9">
      <c r="A26" s="15">
        <v>46289</v>
      </c>
      <c r="B26" s="12" t="s">
        <v>56</v>
      </c>
      <c r="C26" s="12" t="s">
        <v>10</v>
      </c>
      <c r="D26" s="15">
        <v>46289</v>
      </c>
      <c r="E26" s="15">
        <v>46292</v>
      </c>
      <c r="F26" s="15">
        <v>46296</v>
      </c>
      <c r="G26" s="15">
        <v>46309</v>
      </c>
      <c r="H26" s="15">
        <v>46411</v>
      </c>
      <c r="I26" s="12" t="s">
        <v>170</v>
      </c>
    </row>
    <row r="27" spans="1:9">
      <c r="A27" s="15">
        <v>46290</v>
      </c>
      <c r="B27" s="12" t="s">
        <v>58</v>
      </c>
      <c r="C27" s="12" t="s">
        <v>10</v>
      </c>
      <c r="D27" s="15">
        <v>46317</v>
      </c>
      <c r="E27" s="15">
        <v>46292</v>
      </c>
      <c r="F27" s="15">
        <v>46296</v>
      </c>
      <c r="G27" s="15">
        <v>46309</v>
      </c>
      <c r="H27" s="15">
        <v>46411</v>
      </c>
      <c r="I27" s="12" t="s">
        <v>170</v>
      </c>
    </row>
    <row r="28" spans="1:9">
      <c r="A28" s="15">
        <v>46291</v>
      </c>
      <c r="B28" s="12" t="s">
        <v>59</v>
      </c>
      <c r="C28" s="12" t="s">
        <v>10</v>
      </c>
      <c r="D28" s="15">
        <v>46317</v>
      </c>
      <c r="E28" s="15">
        <v>46292</v>
      </c>
      <c r="F28" s="15">
        <v>46296</v>
      </c>
      <c r="G28" s="15">
        <v>46309</v>
      </c>
      <c r="H28" s="15">
        <v>46411</v>
      </c>
      <c r="I28" s="12" t="s">
        <v>170</v>
      </c>
    </row>
    <row r="29" spans="1:9">
      <c r="A29" s="15">
        <v>46292</v>
      </c>
      <c r="B29" s="12" t="s">
        <v>60</v>
      </c>
      <c r="C29" s="12" t="s">
        <v>10</v>
      </c>
      <c r="D29" s="15">
        <v>46317</v>
      </c>
      <c r="E29" s="15">
        <v>46292</v>
      </c>
      <c r="F29" s="15">
        <v>46296</v>
      </c>
      <c r="G29" s="15">
        <v>46309</v>
      </c>
      <c r="H29" s="15">
        <v>46411</v>
      </c>
      <c r="I29" s="12" t="s">
        <v>170</v>
      </c>
    </row>
    <row r="30" spans="1:9">
      <c r="A30" s="15">
        <v>46293</v>
      </c>
      <c r="B30" s="12" t="s">
        <v>61</v>
      </c>
      <c r="C30" s="12" t="s">
        <v>10</v>
      </c>
      <c r="D30" s="15">
        <v>46317</v>
      </c>
      <c r="E30" s="15">
        <v>46320</v>
      </c>
      <c r="F30" s="15">
        <v>46296</v>
      </c>
      <c r="G30" s="15">
        <v>46309</v>
      </c>
      <c r="H30" s="15">
        <v>46411</v>
      </c>
      <c r="I30" s="12" t="s">
        <v>170</v>
      </c>
    </row>
    <row r="31" spans="1:9">
      <c r="A31" s="15">
        <v>46294</v>
      </c>
      <c r="B31" s="12" t="s">
        <v>62</v>
      </c>
      <c r="C31" s="12" t="s">
        <v>10</v>
      </c>
      <c r="D31" s="15">
        <v>46317</v>
      </c>
      <c r="E31" s="15">
        <v>46320</v>
      </c>
      <c r="F31" s="15">
        <v>46296</v>
      </c>
      <c r="G31" s="15">
        <v>46309</v>
      </c>
      <c r="H31" s="15">
        <v>46411</v>
      </c>
      <c r="I31" s="12" t="s">
        <v>170</v>
      </c>
    </row>
    <row r="32" spans="1:9">
      <c r="A32" s="15">
        <v>46295</v>
      </c>
      <c r="B32" s="12" t="s">
        <v>53</v>
      </c>
      <c r="C32" s="12" t="s">
        <v>10</v>
      </c>
      <c r="D32" s="15">
        <v>46317</v>
      </c>
      <c r="E32" s="15">
        <v>46320</v>
      </c>
      <c r="F32" s="15">
        <v>46296</v>
      </c>
      <c r="G32" s="15">
        <v>46309</v>
      </c>
      <c r="H32" s="15">
        <v>46411</v>
      </c>
      <c r="I32" s="12" t="s">
        <v>170</v>
      </c>
    </row>
    <row r="33" spans="1:9">
      <c r="A33" s="15">
        <v>46296</v>
      </c>
      <c r="B33" s="12" t="s">
        <v>56</v>
      </c>
      <c r="C33" s="12" t="s">
        <v>10</v>
      </c>
      <c r="D33" s="15">
        <v>46317</v>
      </c>
      <c r="E33" s="15">
        <v>46320</v>
      </c>
      <c r="F33" s="15">
        <v>46296</v>
      </c>
      <c r="G33" s="15">
        <v>46309</v>
      </c>
      <c r="H33" s="15">
        <v>46411</v>
      </c>
      <c r="I33" s="12" t="s">
        <v>170</v>
      </c>
    </row>
    <row r="34" spans="1:9">
      <c r="A34" s="15">
        <v>46297</v>
      </c>
      <c r="B34" s="12" t="s">
        <v>58</v>
      </c>
      <c r="C34" s="12" t="s">
        <v>10</v>
      </c>
      <c r="D34" s="15">
        <v>46317</v>
      </c>
      <c r="E34" s="15">
        <v>46320</v>
      </c>
      <c r="F34" s="15">
        <v>46324</v>
      </c>
      <c r="G34" s="15">
        <v>46309</v>
      </c>
      <c r="H34" s="15">
        <v>46411</v>
      </c>
      <c r="I34" s="12" t="s">
        <v>170</v>
      </c>
    </row>
    <row r="35" spans="1:9">
      <c r="A35" s="15">
        <v>46298</v>
      </c>
      <c r="B35" s="12" t="s">
        <v>59</v>
      </c>
      <c r="C35" s="12" t="s">
        <v>10</v>
      </c>
      <c r="D35" s="15">
        <v>46317</v>
      </c>
      <c r="E35" s="15">
        <v>46320</v>
      </c>
      <c r="F35" s="15">
        <v>46324</v>
      </c>
      <c r="G35" s="15">
        <v>46309</v>
      </c>
      <c r="H35" s="15">
        <v>46411</v>
      </c>
      <c r="I35" s="12" t="s">
        <v>170</v>
      </c>
    </row>
    <row r="36" spans="1:9">
      <c r="A36" s="15">
        <v>46299</v>
      </c>
      <c r="B36" s="12" t="s">
        <v>60</v>
      </c>
      <c r="C36" s="12" t="s">
        <v>10</v>
      </c>
      <c r="D36" s="15">
        <v>46317</v>
      </c>
      <c r="E36" s="15">
        <v>46320</v>
      </c>
      <c r="F36" s="15">
        <v>46324</v>
      </c>
      <c r="G36" s="15">
        <v>46309</v>
      </c>
      <c r="H36" s="15">
        <v>46411</v>
      </c>
      <c r="I36" s="12" t="s">
        <v>170</v>
      </c>
    </row>
    <row r="37" spans="1:9">
      <c r="A37" s="15">
        <v>46300</v>
      </c>
      <c r="B37" s="12" t="s">
        <v>61</v>
      </c>
      <c r="C37" s="12" t="s">
        <v>10</v>
      </c>
      <c r="D37" s="15">
        <v>46317</v>
      </c>
      <c r="E37" s="15">
        <v>46320</v>
      </c>
      <c r="F37" s="15">
        <v>46324</v>
      </c>
      <c r="G37" s="15">
        <v>46309</v>
      </c>
      <c r="H37" s="15">
        <v>46411</v>
      </c>
      <c r="I37" s="12" t="s">
        <v>170</v>
      </c>
    </row>
    <row r="38" spans="1:9">
      <c r="A38" s="15">
        <v>46301</v>
      </c>
      <c r="B38" s="12" t="s">
        <v>62</v>
      </c>
      <c r="C38" s="12" t="s">
        <v>10</v>
      </c>
      <c r="D38" s="15">
        <v>46317</v>
      </c>
      <c r="E38" s="15">
        <v>46320</v>
      </c>
      <c r="F38" s="15">
        <v>46324</v>
      </c>
      <c r="G38" s="15">
        <v>46309</v>
      </c>
      <c r="H38" s="15">
        <v>46411</v>
      </c>
      <c r="I38" s="12" t="s">
        <v>170</v>
      </c>
    </row>
    <row r="39" spans="1:9">
      <c r="A39" s="15">
        <v>46302</v>
      </c>
      <c r="B39" s="12" t="s">
        <v>53</v>
      </c>
      <c r="C39" s="12" t="s">
        <v>10</v>
      </c>
      <c r="D39" s="15">
        <v>46317</v>
      </c>
      <c r="E39" s="15">
        <v>46320</v>
      </c>
      <c r="F39" s="15">
        <v>46324</v>
      </c>
      <c r="G39" s="15">
        <v>46309</v>
      </c>
      <c r="H39" s="15">
        <v>46411</v>
      </c>
      <c r="I39" s="12" t="s">
        <v>170</v>
      </c>
    </row>
    <row r="40" spans="1:9">
      <c r="A40" s="15">
        <v>46303</v>
      </c>
      <c r="B40" s="12" t="s">
        <v>56</v>
      </c>
      <c r="C40" s="12" t="s">
        <v>10</v>
      </c>
      <c r="D40" s="15">
        <v>46317</v>
      </c>
      <c r="E40" s="15">
        <v>46320</v>
      </c>
      <c r="F40" s="15">
        <v>46324</v>
      </c>
      <c r="G40" s="15">
        <v>46309</v>
      </c>
      <c r="H40" s="15">
        <v>46411</v>
      </c>
      <c r="I40" s="12" t="s">
        <v>170</v>
      </c>
    </row>
    <row r="41" spans="1:9">
      <c r="A41" s="15">
        <v>46304</v>
      </c>
      <c r="B41" s="12" t="s">
        <v>58</v>
      </c>
      <c r="C41" s="12" t="s">
        <v>10</v>
      </c>
      <c r="D41" s="15">
        <v>46317</v>
      </c>
      <c r="E41" s="15">
        <v>46320</v>
      </c>
      <c r="F41" s="15">
        <v>46324</v>
      </c>
      <c r="G41" s="15">
        <v>46309</v>
      </c>
      <c r="H41" s="15">
        <v>46411</v>
      </c>
      <c r="I41" s="12" t="s">
        <v>170</v>
      </c>
    </row>
    <row r="42" spans="1:9">
      <c r="A42" s="15">
        <v>46305</v>
      </c>
      <c r="B42" s="12" t="s">
        <v>59</v>
      </c>
      <c r="C42" s="12" t="s">
        <v>10</v>
      </c>
      <c r="D42" s="15">
        <v>46317</v>
      </c>
      <c r="E42" s="15">
        <v>46320</v>
      </c>
      <c r="F42" s="15">
        <v>46324</v>
      </c>
      <c r="G42" s="15">
        <v>46309</v>
      </c>
      <c r="H42" s="15">
        <v>46411</v>
      </c>
      <c r="I42" s="12" t="s">
        <v>170</v>
      </c>
    </row>
    <row r="43" spans="1:9">
      <c r="A43" s="15">
        <v>46306</v>
      </c>
      <c r="B43" s="12" t="s">
        <v>60</v>
      </c>
      <c r="C43" s="12" t="s">
        <v>10</v>
      </c>
      <c r="D43" s="15">
        <v>46317</v>
      </c>
      <c r="E43" s="15">
        <v>46320</v>
      </c>
      <c r="F43" s="15">
        <v>46324</v>
      </c>
      <c r="G43" s="15">
        <v>46309</v>
      </c>
      <c r="H43" s="15">
        <v>46411</v>
      </c>
      <c r="I43" s="12" t="s">
        <v>170</v>
      </c>
    </row>
    <row r="44" spans="1:9">
      <c r="A44" s="15">
        <v>46307</v>
      </c>
      <c r="B44" s="12" t="s">
        <v>61</v>
      </c>
      <c r="C44" s="12" t="s">
        <v>10</v>
      </c>
      <c r="D44" s="15">
        <v>46317</v>
      </c>
      <c r="E44" s="15">
        <v>46320</v>
      </c>
      <c r="F44" s="15">
        <v>46324</v>
      </c>
      <c r="G44" s="15">
        <v>46309</v>
      </c>
      <c r="H44" s="15">
        <v>46411</v>
      </c>
      <c r="I44" s="12" t="s">
        <v>170</v>
      </c>
    </row>
    <row r="45" spans="1:9">
      <c r="A45" s="15">
        <v>46308</v>
      </c>
      <c r="B45" s="12" t="s">
        <v>62</v>
      </c>
      <c r="C45" s="12" t="s">
        <v>10</v>
      </c>
      <c r="D45" s="15">
        <v>46317</v>
      </c>
      <c r="E45" s="15">
        <v>46320</v>
      </c>
      <c r="F45" s="15">
        <v>46324</v>
      </c>
      <c r="G45" s="15">
        <v>46309</v>
      </c>
      <c r="H45" s="15">
        <v>46411</v>
      </c>
      <c r="I45" s="12" t="s">
        <v>170</v>
      </c>
    </row>
    <row r="46" spans="1:9">
      <c r="A46" s="15">
        <v>46309</v>
      </c>
      <c r="B46" s="12" t="s">
        <v>53</v>
      </c>
      <c r="C46" s="12" t="s">
        <v>10</v>
      </c>
      <c r="D46" s="15">
        <v>46317</v>
      </c>
      <c r="E46" s="15">
        <v>46320</v>
      </c>
      <c r="F46" s="15">
        <v>46324</v>
      </c>
      <c r="G46" s="15">
        <v>46309</v>
      </c>
      <c r="H46" s="15">
        <v>46411</v>
      </c>
      <c r="I46" s="12" t="s">
        <v>170</v>
      </c>
    </row>
    <row r="47" spans="1:9">
      <c r="A47" s="15">
        <v>46310</v>
      </c>
      <c r="B47" s="12" t="s">
        <v>56</v>
      </c>
      <c r="C47" s="12" t="s">
        <v>10</v>
      </c>
      <c r="D47" s="15">
        <v>46317</v>
      </c>
      <c r="E47" s="15">
        <v>46320</v>
      </c>
      <c r="F47" s="15">
        <v>46324</v>
      </c>
      <c r="G47" s="15">
        <v>46337</v>
      </c>
      <c r="H47" s="15">
        <v>46411</v>
      </c>
      <c r="I47" s="12" t="s">
        <v>170</v>
      </c>
    </row>
    <row r="48" spans="1:9">
      <c r="A48" s="15">
        <v>46311</v>
      </c>
      <c r="B48" s="12" t="s">
        <v>58</v>
      </c>
      <c r="C48" s="12" t="s">
        <v>10</v>
      </c>
      <c r="D48" s="15">
        <v>46317</v>
      </c>
      <c r="E48" s="15">
        <v>46320</v>
      </c>
      <c r="F48" s="15">
        <v>46324</v>
      </c>
      <c r="G48" s="15">
        <v>46337</v>
      </c>
      <c r="H48" s="15">
        <v>46411</v>
      </c>
      <c r="I48" s="12" t="s">
        <v>170</v>
      </c>
    </row>
    <row r="49" spans="1:9">
      <c r="A49" s="15">
        <v>46312</v>
      </c>
      <c r="B49" s="12" t="s">
        <v>59</v>
      </c>
      <c r="C49" s="12" t="s">
        <v>10</v>
      </c>
      <c r="D49" s="15">
        <v>46317</v>
      </c>
      <c r="E49" s="15">
        <v>46320</v>
      </c>
      <c r="F49" s="15">
        <v>46324</v>
      </c>
      <c r="G49" s="15">
        <v>46337</v>
      </c>
      <c r="H49" s="15">
        <v>46411</v>
      </c>
      <c r="I49" s="12" t="s">
        <v>170</v>
      </c>
    </row>
    <row r="50" spans="1:9">
      <c r="A50" s="15">
        <v>46313</v>
      </c>
      <c r="B50" s="12" t="s">
        <v>60</v>
      </c>
      <c r="C50" s="12" t="s">
        <v>10</v>
      </c>
      <c r="D50" s="15">
        <v>46317</v>
      </c>
      <c r="E50" s="15">
        <v>46320</v>
      </c>
      <c r="F50" s="15">
        <v>46324</v>
      </c>
      <c r="G50" s="15">
        <v>46337</v>
      </c>
      <c r="H50" s="15">
        <v>46411</v>
      </c>
      <c r="I50" s="12" t="s">
        <v>170</v>
      </c>
    </row>
    <row r="51" spans="1:9">
      <c r="A51" s="15">
        <v>46314</v>
      </c>
      <c r="B51" s="12" t="s">
        <v>61</v>
      </c>
      <c r="C51" s="12" t="s">
        <v>10</v>
      </c>
      <c r="D51" s="15">
        <v>46317</v>
      </c>
      <c r="E51" s="15">
        <v>46320</v>
      </c>
      <c r="F51" s="15">
        <v>46324</v>
      </c>
      <c r="G51" s="15">
        <v>46337</v>
      </c>
      <c r="H51" s="15">
        <v>46411</v>
      </c>
      <c r="I51" s="12" t="s">
        <v>170</v>
      </c>
    </row>
    <row r="52" spans="1:9">
      <c r="A52" s="15">
        <v>46315</v>
      </c>
      <c r="B52" s="12" t="s">
        <v>62</v>
      </c>
      <c r="C52" s="12" t="s">
        <v>10</v>
      </c>
      <c r="D52" s="15">
        <v>46317</v>
      </c>
      <c r="E52" s="15">
        <v>46320</v>
      </c>
      <c r="F52" s="15">
        <v>46324</v>
      </c>
      <c r="G52" s="15">
        <v>46337</v>
      </c>
      <c r="H52" s="15">
        <v>46411</v>
      </c>
      <c r="I52" s="12" t="s">
        <v>170</v>
      </c>
    </row>
    <row r="53" spans="1:9">
      <c r="A53" s="15">
        <v>46316</v>
      </c>
      <c r="B53" s="12" t="s">
        <v>53</v>
      </c>
      <c r="C53" s="12" t="s">
        <v>10</v>
      </c>
      <c r="D53" s="15">
        <v>46317</v>
      </c>
      <c r="E53" s="15">
        <v>46320</v>
      </c>
      <c r="F53" s="15">
        <v>46324</v>
      </c>
      <c r="G53" s="15">
        <v>46337</v>
      </c>
      <c r="H53" s="15">
        <v>46411</v>
      </c>
      <c r="I53" s="12" t="s">
        <v>170</v>
      </c>
    </row>
    <row r="54" spans="1:9">
      <c r="A54" s="15">
        <v>46317</v>
      </c>
      <c r="B54" s="12" t="s">
        <v>56</v>
      </c>
      <c r="C54" s="12" t="s">
        <v>10</v>
      </c>
      <c r="D54" s="15">
        <v>46317</v>
      </c>
      <c r="E54" s="15">
        <v>46320</v>
      </c>
      <c r="F54" s="15">
        <v>46324</v>
      </c>
      <c r="G54" s="15">
        <v>46337</v>
      </c>
      <c r="H54" s="15">
        <v>46411</v>
      </c>
      <c r="I54" s="12" t="s">
        <v>170</v>
      </c>
    </row>
    <row r="55" spans="1:9">
      <c r="A55" s="15">
        <v>46318</v>
      </c>
      <c r="B55" s="12" t="s">
        <v>58</v>
      </c>
      <c r="C55" s="12" t="s">
        <v>10</v>
      </c>
      <c r="D55" s="15">
        <v>46345</v>
      </c>
      <c r="E55" s="15">
        <v>46320</v>
      </c>
      <c r="F55" s="15">
        <v>46324</v>
      </c>
      <c r="G55" s="15">
        <v>46337</v>
      </c>
      <c r="H55" s="15">
        <v>46411</v>
      </c>
      <c r="I55" s="12" t="s">
        <v>170</v>
      </c>
    </row>
    <row r="56" spans="1:9">
      <c r="A56" s="15">
        <v>46319</v>
      </c>
      <c r="B56" s="12" t="s">
        <v>59</v>
      </c>
      <c r="C56" s="12" t="s">
        <v>10</v>
      </c>
      <c r="D56" s="15">
        <v>46345</v>
      </c>
      <c r="E56" s="15">
        <v>46320</v>
      </c>
      <c r="F56" s="15">
        <v>46324</v>
      </c>
      <c r="G56" s="15">
        <v>46337</v>
      </c>
      <c r="H56" s="15">
        <v>46411</v>
      </c>
      <c r="I56" s="12" t="s">
        <v>170</v>
      </c>
    </row>
    <row r="57" spans="1:9">
      <c r="A57" s="15">
        <v>46320</v>
      </c>
      <c r="B57" s="12" t="s">
        <v>60</v>
      </c>
      <c r="C57" s="12" t="s">
        <v>10</v>
      </c>
      <c r="D57" s="15">
        <v>46345</v>
      </c>
      <c r="E57" s="15">
        <v>46320</v>
      </c>
      <c r="F57" s="15">
        <v>46324</v>
      </c>
      <c r="G57" s="15">
        <v>46337</v>
      </c>
      <c r="H57" s="15">
        <v>46411</v>
      </c>
      <c r="I57" s="12" t="s">
        <v>170</v>
      </c>
    </row>
    <row r="58" spans="1:9">
      <c r="A58" s="15">
        <v>46321</v>
      </c>
      <c r="B58" s="12" t="s">
        <v>61</v>
      </c>
      <c r="C58" s="12" t="s">
        <v>10</v>
      </c>
      <c r="D58" s="15">
        <v>46345</v>
      </c>
      <c r="E58" s="15">
        <v>46348</v>
      </c>
      <c r="F58" s="15">
        <v>46324</v>
      </c>
      <c r="G58" s="15">
        <v>46337</v>
      </c>
      <c r="H58" s="15">
        <v>46411</v>
      </c>
      <c r="I58" s="12" t="s">
        <v>170</v>
      </c>
    </row>
    <row r="59" spans="1:9">
      <c r="A59" s="15">
        <v>46322</v>
      </c>
      <c r="B59" s="12" t="s">
        <v>62</v>
      </c>
      <c r="C59" s="12" t="s">
        <v>10</v>
      </c>
      <c r="D59" s="15">
        <v>46345</v>
      </c>
      <c r="E59" s="15">
        <v>46348</v>
      </c>
      <c r="F59" s="15">
        <v>46324</v>
      </c>
      <c r="G59" s="15">
        <v>46337</v>
      </c>
      <c r="H59" s="15">
        <v>46411</v>
      </c>
      <c r="I59" s="12" t="s">
        <v>170</v>
      </c>
    </row>
    <row r="60" spans="1:9">
      <c r="A60" s="15">
        <v>46323</v>
      </c>
      <c r="B60" s="12" t="s">
        <v>53</v>
      </c>
      <c r="C60" s="12" t="s">
        <v>10</v>
      </c>
      <c r="D60" s="15">
        <v>46345</v>
      </c>
      <c r="E60" s="15">
        <v>46348</v>
      </c>
      <c r="F60" s="15">
        <v>46324</v>
      </c>
      <c r="G60" s="15">
        <v>46337</v>
      </c>
      <c r="H60" s="15">
        <v>46411</v>
      </c>
      <c r="I60" s="12" t="s">
        <v>170</v>
      </c>
    </row>
    <row r="61" spans="1:9">
      <c r="A61" s="15">
        <v>46324</v>
      </c>
      <c r="B61" s="12" t="s">
        <v>56</v>
      </c>
      <c r="C61" s="12" t="s">
        <v>10</v>
      </c>
      <c r="D61" s="15">
        <v>46345</v>
      </c>
      <c r="E61" s="15">
        <v>46348</v>
      </c>
      <c r="F61" s="15">
        <v>46324</v>
      </c>
      <c r="G61" s="15">
        <v>46337</v>
      </c>
      <c r="H61" s="15">
        <v>46411</v>
      </c>
      <c r="I61" s="12" t="s">
        <v>170</v>
      </c>
    </row>
    <row r="62" spans="1:9">
      <c r="A62" s="15">
        <v>46325</v>
      </c>
      <c r="B62" s="12" t="s">
        <v>58</v>
      </c>
      <c r="C62" s="12" t="s">
        <v>10</v>
      </c>
      <c r="D62" s="15">
        <v>46345</v>
      </c>
      <c r="E62" s="15">
        <v>46348</v>
      </c>
      <c r="F62" s="15">
        <v>46352</v>
      </c>
      <c r="G62" s="15">
        <v>46337</v>
      </c>
      <c r="H62" s="15">
        <v>46411</v>
      </c>
      <c r="I62" s="12" t="s">
        <v>170</v>
      </c>
    </row>
    <row r="63" spans="1:9">
      <c r="A63" s="15">
        <v>46326</v>
      </c>
      <c r="B63" s="12" t="s">
        <v>59</v>
      </c>
      <c r="C63" s="12" t="s">
        <v>10</v>
      </c>
      <c r="D63" s="15">
        <v>46345</v>
      </c>
      <c r="E63" s="15">
        <v>46348</v>
      </c>
      <c r="F63" s="15">
        <v>46352</v>
      </c>
      <c r="G63" s="15">
        <v>46337</v>
      </c>
      <c r="H63" s="15">
        <v>46411</v>
      </c>
      <c r="I63" s="12" t="s">
        <v>170</v>
      </c>
    </row>
    <row r="64" spans="1:9">
      <c r="A64" s="15">
        <v>46327</v>
      </c>
      <c r="B64" s="12" t="s">
        <v>60</v>
      </c>
      <c r="C64" s="12" t="s">
        <v>10</v>
      </c>
      <c r="D64" s="15">
        <v>46345</v>
      </c>
      <c r="E64" s="15">
        <v>46348</v>
      </c>
      <c r="F64" s="15">
        <v>46352</v>
      </c>
      <c r="G64" s="15">
        <v>46337</v>
      </c>
      <c r="H64" s="15">
        <v>46411</v>
      </c>
      <c r="I64" s="12" t="s">
        <v>170</v>
      </c>
    </row>
    <row r="65" spans="1:9">
      <c r="A65" s="15">
        <v>46328</v>
      </c>
      <c r="B65" s="12" t="s">
        <v>61</v>
      </c>
      <c r="C65" s="12" t="s">
        <v>10</v>
      </c>
      <c r="D65" s="15">
        <v>46345</v>
      </c>
      <c r="E65" s="15">
        <v>46348</v>
      </c>
      <c r="F65" s="15">
        <v>46352</v>
      </c>
      <c r="G65" s="15">
        <v>46337</v>
      </c>
      <c r="H65" s="15">
        <v>46411</v>
      </c>
      <c r="I65" s="12" t="s">
        <v>170</v>
      </c>
    </row>
    <row r="66" spans="1:9">
      <c r="A66" s="15">
        <v>46329</v>
      </c>
      <c r="B66" s="12" t="s">
        <v>62</v>
      </c>
      <c r="C66" s="12" t="s">
        <v>10</v>
      </c>
      <c r="D66" s="15">
        <v>46345</v>
      </c>
      <c r="E66" s="15">
        <v>46348</v>
      </c>
      <c r="F66" s="15">
        <v>46352</v>
      </c>
      <c r="G66" s="15">
        <v>46337</v>
      </c>
      <c r="H66" s="15">
        <v>46411</v>
      </c>
      <c r="I66" s="12" t="s">
        <v>170</v>
      </c>
    </row>
    <row r="67" spans="1:9">
      <c r="A67" s="15">
        <v>46330</v>
      </c>
      <c r="B67" s="12" t="s">
        <v>53</v>
      </c>
      <c r="C67" s="12" t="s">
        <v>10</v>
      </c>
      <c r="D67" s="15">
        <v>46345</v>
      </c>
      <c r="E67" s="15">
        <v>46348</v>
      </c>
      <c r="F67" s="15">
        <v>46352</v>
      </c>
      <c r="G67" s="15">
        <v>46337</v>
      </c>
      <c r="H67" s="15">
        <v>46411</v>
      </c>
      <c r="I67" s="12" t="s">
        <v>170</v>
      </c>
    </row>
    <row r="68" spans="1:9">
      <c r="A68" s="15">
        <v>46331</v>
      </c>
      <c r="B68" s="12" t="s">
        <v>56</v>
      </c>
      <c r="C68" s="12" t="s">
        <v>10</v>
      </c>
      <c r="D68" s="15">
        <v>46345</v>
      </c>
      <c r="E68" s="15">
        <v>46348</v>
      </c>
      <c r="F68" s="15">
        <v>46352</v>
      </c>
      <c r="G68" s="15">
        <v>46337</v>
      </c>
      <c r="H68" s="15">
        <v>46411</v>
      </c>
      <c r="I68" s="12" t="s">
        <v>170</v>
      </c>
    </row>
    <row r="69" spans="1:9">
      <c r="A69" s="15">
        <v>46332</v>
      </c>
      <c r="B69" s="12" t="s">
        <v>58</v>
      </c>
      <c r="C69" s="12" t="s">
        <v>10</v>
      </c>
      <c r="D69" s="15">
        <v>46345</v>
      </c>
      <c r="E69" s="15">
        <v>46348</v>
      </c>
      <c r="F69" s="15">
        <v>46352</v>
      </c>
      <c r="G69" s="15">
        <v>46337</v>
      </c>
      <c r="H69" s="15">
        <v>46411</v>
      </c>
      <c r="I69" s="12" t="s">
        <v>170</v>
      </c>
    </row>
    <row r="70" spans="1:9">
      <c r="A70" s="15">
        <v>46333</v>
      </c>
      <c r="B70" s="12" t="s">
        <v>59</v>
      </c>
      <c r="C70" s="12" t="s">
        <v>10</v>
      </c>
      <c r="D70" s="15">
        <v>46345</v>
      </c>
      <c r="E70" s="15">
        <v>46348</v>
      </c>
      <c r="F70" s="15">
        <v>46352</v>
      </c>
      <c r="G70" s="15">
        <v>46337</v>
      </c>
      <c r="H70" s="15">
        <v>46411</v>
      </c>
      <c r="I70" s="12" t="s">
        <v>170</v>
      </c>
    </row>
    <row r="71" spans="1:9">
      <c r="A71" s="15">
        <v>46334</v>
      </c>
      <c r="B71" s="12" t="s">
        <v>60</v>
      </c>
      <c r="C71" s="12" t="s">
        <v>10</v>
      </c>
      <c r="D71" s="15">
        <v>46345</v>
      </c>
      <c r="E71" s="15">
        <v>46348</v>
      </c>
      <c r="F71" s="15">
        <v>46352</v>
      </c>
      <c r="G71" s="15">
        <v>46337</v>
      </c>
      <c r="H71" s="15">
        <v>46411</v>
      </c>
      <c r="I71" s="12" t="s">
        <v>170</v>
      </c>
    </row>
    <row r="72" spans="1:9">
      <c r="A72" s="15">
        <v>46335</v>
      </c>
      <c r="B72" s="12" t="s">
        <v>61</v>
      </c>
      <c r="C72" s="12" t="s">
        <v>10</v>
      </c>
      <c r="D72" s="15">
        <v>46345</v>
      </c>
      <c r="E72" s="15">
        <v>46348</v>
      </c>
      <c r="F72" s="15">
        <v>46352</v>
      </c>
      <c r="G72" s="15">
        <v>46337</v>
      </c>
      <c r="H72" s="15">
        <v>46411</v>
      </c>
      <c r="I72" s="12" t="s">
        <v>170</v>
      </c>
    </row>
    <row r="73" spans="1:9">
      <c r="A73" s="15">
        <v>46336</v>
      </c>
      <c r="B73" s="12" t="s">
        <v>62</v>
      </c>
      <c r="C73" s="12" t="s">
        <v>10</v>
      </c>
      <c r="D73" s="15">
        <v>46345</v>
      </c>
      <c r="E73" s="15">
        <v>46348</v>
      </c>
      <c r="F73" s="15">
        <v>46352</v>
      </c>
      <c r="G73" s="15">
        <v>46337</v>
      </c>
      <c r="H73" s="15">
        <v>46411</v>
      </c>
      <c r="I73" s="12" t="s">
        <v>170</v>
      </c>
    </row>
    <row r="74" spans="1:9">
      <c r="A74" s="15">
        <v>46337</v>
      </c>
      <c r="B74" s="12" t="s">
        <v>53</v>
      </c>
      <c r="C74" s="12" t="s">
        <v>10</v>
      </c>
      <c r="D74" s="15">
        <v>46345</v>
      </c>
      <c r="E74" s="15">
        <v>46348</v>
      </c>
      <c r="F74" s="15">
        <v>46352</v>
      </c>
      <c r="G74" s="15">
        <v>46337</v>
      </c>
      <c r="H74" s="15">
        <v>46411</v>
      </c>
      <c r="I74" s="12" t="s">
        <v>170</v>
      </c>
    </row>
    <row r="75" spans="1:9">
      <c r="A75" s="15">
        <v>46338</v>
      </c>
      <c r="B75" s="12" t="s">
        <v>56</v>
      </c>
      <c r="C75" s="12" t="s">
        <v>10</v>
      </c>
      <c r="D75" s="15">
        <v>46345</v>
      </c>
      <c r="E75" s="15">
        <v>46348</v>
      </c>
      <c r="F75" s="15">
        <v>46352</v>
      </c>
      <c r="G75" s="15">
        <v>46365</v>
      </c>
      <c r="H75" s="15">
        <v>46411</v>
      </c>
      <c r="I75" s="12" t="s">
        <v>170</v>
      </c>
    </row>
    <row r="76" spans="1:9">
      <c r="A76" s="15">
        <v>46339</v>
      </c>
      <c r="B76" s="12" t="s">
        <v>58</v>
      </c>
      <c r="C76" s="12" t="s">
        <v>10</v>
      </c>
      <c r="D76" s="15">
        <v>46345</v>
      </c>
      <c r="E76" s="15">
        <v>46348</v>
      </c>
      <c r="F76" s="15">
        <v>46352</v>
      </c>
      <c r="G76" s="15">
        <v>46365</v>
      </c>
      <c r="H76" s="15">
        <v>46411</v>
      </c>
      <c r="I76" s="12" t="s">
        <v>170</v>
      </c>
    </row>
    <row r="77" spans="1:9">
      <c r="A77" s="15">
        <v>46340</v>
      </c>
      <c r="B77" s="12" t="s">
        <v>59</v>
      </c>
      <c r="C77" s="12" t="s">
        <v>10</v>
      </c>
      <c r="D77" s="15">
        <v>46345</v>
      </c>
      <c r="E77" s="15">
        <v>46348</v>
      </c>
      <c r="F77" s="15">
        <v>46352</v>
      </c>
      <c r="G77" s="15">
        <v>46365</v>
      </c>
      <c r="H77" s="15">
        <v>46411</v>
      </c>
      <c r="I77" s="12" t="s">
        <v>170</v>
      </c>
    </row>
    <row r="78" spans="1:9">
      <c r="A78" s="15">
        <v>46341</v>
      </c>
      <c r="B78" s="12" t="s">
        <v>60</v>
      </c>
      <c r="C78" s="12" t="s">
        <v>10</v>
      </c>
      <c r="D78" s="15">
        <v>46345</v>
      </c>
      <c r="E78" s="15">
        <v>46348</v>
      </c>
      <c r="F78" s="15">
        <v>46352</v>
      </c>
      <c r="G78" s="15">
        <v>46365</v>
      </c>
      <c r="H78" s="15">
        <v>46411</v>
      </c>
      <c r="I78" s="12" t="s">
        <v>170</v>
      </c>
    </row>
    <row r="79" spans="1:9">
      <c r="A79" s="15">
        <v>46342</v>
      </c>
      <c r="B79" s="12" t="s">
        <v>61</v>
      </c>
      <c r="C79" s="12" t="s">
        <v>10</v>
      </c>
      <c r="D79" s="15">
        <v>46345</v>
      </c>
      <c r="E79" s="15">
        <v>46348</v>
      </c>
      <c r="F79" s="15">
        <v>46352</v>
      </c>
      <c r="G79" s="15">
        <v>46365</v>
      </c>
      <c r="H79" s="15">
        <v>46411</v>
      </c>
      <c r="I79" s="12" t="s">
        <v>170</v>
      </c>
    </row>
    <row r="80" spans="1:9">
      <c r="A80" s="15">
        <v>46343</v>
      </c>
      <c r="B80" s="12" t="s">
        <v>62</v>
      </c>
      <c r="C80" s="12" t="s">
        <v>10</v>
      </c>
      <c r="D80" s="15">
        <v>46345</v>
      </c>
      <c r="E80" s="15">
        <v>46348</v>
      </c>
      <c r="F80" s="15">
        <v>46352</v>
      </c>
      <c r="G80" s="15">
        <v>46365</v>
      </c>
      <c r="H80" s="15">
        <v>46411</v>
      </c>
      <c r="I80" s="12" t="s">
        <v>170</v>
      </c>
    </row>
    <row r="81" spans="1:9">
      <c r="A81" s="15">
        <v>46344</v>
      </c>
      <c r="B81" s="12" t="s">
        <v>53</v>
      </c>
      <c r="C81" s="12" t="s">
        <v>10</v>
      </c>
      <c r="D81" s="15">
        <v>46345</v>
      </c>
      <c r="E81" s="15">
        <v>46348</v>
      </c>
      <c r="F81" s="15">
        <v>46352</v>
      </c>
      <c r="G81" s="15">
        <v>46365</v>
      </c>
      <c r="H81" s="15">
        <v>46411</v>
      </c>
      <c r="I81" s="12" t="s">
        <v>170</v>
      </c>
    </row>
    <row r="82" spans="1:9">
      <c r="A82" s="15">
        <v>46345</v>
      </c>
      <c r="B82" s="12" t="s">
        <v>56</v>
      </c>
      <c r="C82" s="12" t="s">
        <v>10</v>
      </c>
      <c r="D82" s="15">
        <v>46345</v>
      </c>
      <c r="E82" s="15">
        <v>46348</v>
      </c>
      <c r="F82" s="15">
        <v>46352</v>
      </c>
      <c r="G82" s="15">
        <v>46365</v>
      </c>
      <c r="H82" s="15">
        <v>46411</v>
      </c>
      <c r="I82" s="12" t="s">
        <v>170</v>
      </c>
    </row>
    <row r="83" spans="1:9">
      <c r="A83" s="15">
        <v>46346</v>
      </c>
      <c r="B83" s="12" t="s">
        <v>58</v>
      </c>
      <c r="C83" s="12" t="s">
        <v>10</v>
      </c>
      <c r="D83" s="15">
        <v>46373</v>
      </c>
      <c r="E83" s="15">
        <v>46348</v>
      </c>
      <c r="F83" s="15">
        <v>46352</v>
      </c>
      <c r="G83" s="15">
        <v>46365</v>
      </c>
      <c r="H83" s="15">
        <v>46411</v>
      </c>
      <c r="I83" s="12" t="s">
        <v>170</v>
      </c>
    </row>
    <row r="84" spans="1:9">
      <c r="A84" s="15">
        <v>46347</v>
      </c>
      <c r="B84" s="12" t="s">
        <v>59</v>
      </c>
      <c r="C84" s="12" t="s">
        <v>10</v>
      </c>
      <c r="D84" s="15">
        <v>46373</v>
      </c>
      <c r="E84" s="15">
        <v>46348</v>
      </c>
      <c r="F84" s="15">
        <v>46352</v>
      </c>
      <c r="G84" s="15">
        <v>46365</v>
      </c>
      <c r="H84" s="15">
        <v>46411</v>
      </c>
      <c r="I84" s="12" t="s">
        <v>170</v>
      </c>
    </row>
    <row r="85" spans="1:9">
      <c r="A85" s="15">
        <v>46348</v>
      </c>
      <c r="B85" s="12" t="s">
        <v>60</v>
      </c>
      <c r="C85" s="12" t="s">
        <v>10</v>
      </c>
      <c r="D85" s="15">
        <v>46373</v>
      </c>
      <c r="E85" s="15">
        <v>46348</v>
      </c>
      <c r="F85" s="15">
        <v>46352</v>
      </c>
      <c r="G85" s="15">
        <v>46365</v>
      </c>
      <c r="H85" s="15">
        <v>46411</v>
      </c>
      <c r="I85" s="12" t="s">
        <v>170</v>
      </c>
    </row>
    <row r="86" spans="1:9">
      <c r="A86" s="15">
        <v>46349</v>
      </c>
      <c r="B86" s="12" t="s">
        <v>61</v>
      </c>
      <c r="C86" s="12" t="s">
        <v>10</v>
      </c>
      <c r="D86" s="15">
        <v>46373</v>
      </c>
      <c r="E86" s="15">
        <v>46376</v>
      </c>
      <c r="F86" s="15">
        <v>46352</v>
      </c>
      <c r="G86" s="15">
        <v>46365</v>
      </c>
      <c r="H86" s="15">
        <v>46411</v>
      </c>
      <c r="I86" s="12" t="s">
        <v>170</v>
      </c>
    </row>
    <row r="87" spans="1:9">
      <c r="A87" s="15">
        <v>46350</v>
      </c>
      <c r="B87" s="12" t="s">
        <v>62</v>
      </c>
      <c r="C87" s="12" t="s">
        <v>10</v>
      </c>
      <c r="D87" s="15">
        <v>46373</v>
      </c>
      <c r="E87" s="15">
        <v>46376</v>
      </c>
      <c r="F87" s="15">
        <v>46352</v>
      </c>
      <c r="G87" s="15">
        <v>46365</v>
      </c>
      <c r="H87" s="15">
        <v>46411</v>
      </c>
      <c r="I87" s="12" t="s">
        <v>170</v>
      </c>
    </row>
    <row r="88" spans="1:9">
      <c r="A88" s="15">
        <v>46351</v>
      </c>
      <c r="B88" s="12" t="s">
        <v>53</v>
      </c>
      <c r="C88" s="12" t="s">
        <v>10</v>
      </c>
      <c r="D88" s="15">
        <v>46373</v>
      </c>
      <c r="E88" s="15">
        <v>46376</v>
      </c>
      <c r="F88" s="15">
        <v>46352</v>
      </c>
      <c r="G88" s="15">
        <v>46365</v>
      </c>
      <c r="H88" s="15">
        <v>46411</v>
      </c>
      <c r="I88" s="12" t="s">
        <v>170</v>
      </c>
    </row>
    <row r="89" spans="1:9">
      <c r="A89" s="15">
        <v>46352</v>
      </c>
      <c r="B89" s="12" t="s">
        <v>56</v>
      </c>
      <c r="C89" s="12" t="s">
        <v>10</v>
      </c>
      <c r="D89" s="15">
        <v>46373</v>
      </c>
      <c r="E89" s="15">
        <v>46376</v>
      </c>
      <c r="F89" s="15">
        <v>46352</v>
      </c>
      <c r="G89" s="15">
        <v>46365</v>
      </c>
      <c r="H89" s="15">
        <v>46411</v>
      </c>
      <c r="I89" s="12" t="s">
        <v>170</v>
      </c>
    </row>
    <row r="90" spans="1:9">
      <c r="A90" s="15">
        <v>46353</v>
      </c>
      <c r="B90" s="12" t="s">
        <v>58</v>
      </c>
      <c r="C90" s="12" t="s">
        <v>10</v>
      </c>
      <c r="D90" s="15">
        <v>46373</v>
      </c>
      <c r="E90" s="15">
        <v>46376</v>
      </c>
      <c r="F90" s="15">
        <v>46380</v>
      </c>
      <c r="G90" s="15">
        <v>46365</v>
      </c>
      <c r="H90" s="15">
        <v>46411</v>
      </c>
      <c r="I90" s="12" t="s">
        <v>170</v>
      </c>
    </row>
    <row r="91" spans="1:9">
      <c r="A91" s="15">
        <v>46354</v>
      </c>
      <c r="B91" s="12" t="s">
        <v>59</v>
      </c>
      <c r="C91" s="12" t="s">
        <v>10</v>
      </c>
      <c r="D91" s="15">
        <v>46373</v>
      </c>
      <c r="E91" s="15">
        <v>46376</v>
      </c>
      <c r="F91" s="15">
        <v>46380</v>
      </c>
      <c r="G91" s="15">
        <v>46365</v>
      </c>
      <c r="H91" s="15">
        <v>46411</v>
      </c>
      <c r="I91" s="12" t="s">
        <v>170</v>
      </c>
    </row>
    <row r="92" spans="1:9">
      <c r="A92" s="15">
        <v>46355</v>
      </c>
      <c r="B92" s="12" t="s">
        <v>60</v>
      </c>
      <c r="C92" s="12" t="s">
        <v>10</v>
      </c>
      <c r="D92" s="15">
        <v>46373</v>
      </c>
      <c r="E92" s="15">
        <v>46376</v>
      </c>
      <c r="F92" s="15">
        <v>46380</v>
      </c>
      <c r="G92" s="15">
        <v>46365</v>
      </c>
      <c r="H92" s="15">
        <v>46411</v>
      </c>
      <c r="I92" s="12" t="s">
        <v>170</v>
      </c>
    </row>
    <row r="93" spans="1:9">
      <c r="A93" s="16">
        <v>46356</v>
      </c>
      <c r="B93" s="13" t="s">
        <v>61</v>
      </c>
      <c r="C93" s="13" t="s">
        <v>10</v>
      </c>
      <c r="D93" s="16">
        <v>46373</v>
      </c>
      <c r="E93" s="16">
        <v>46376</v>
      </c>
      <c r="F93" s="16">
        <v>46380</v>
      </c>
      <c r="G93" s="16">
        <v>46365</v>
      </c>
      <c r="H93" s="16">
        <v>46411</v>
      </c>
      <c r="I93" s="13" t="s">
        <v>170</v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0"/>
  <sheetViews>
    <sheetView showGridLines="0" workbookViewId="0"/>
  </sheetViews>
  <sheetFormatPr defaultRowHeight="14"/>
  <cols>
    <col min="1" max="1" width="10" customWidth="1"/>
    <col min="2" max="2" width="20" customWidth="1"/>
    <col min="3" max="3" width="35" customWidth="1"/>
    <col min="4" max="4" width="15" customWidth="1"/>
    <col min="5" max="5" width="13" customWidth="1"/>
    <col min="6" max="6" width="18" customWidth="1"/>
    <col min="7" max="7" width="60" customWidth="1"/>
    <col min="8" max="8" width="42" customWidth="1"/>
    <col min="9" max="9" width="56" customWidth="1"/>
  </cols>
  <sheetData>
    <row r="1" spans="1:9" ht="30" customHeight="1">
      <c r="A1" s="71" t="s">
        <v>171</v>
      </c>
      <c r="B1" s="72"/>
      <c r="C1" s="72"/>
      <c r="D1" s="72"/>
      <c r="E1" s="72"/>
      <c r="F1" s="72"/>
      <c r="G1" s="72"/>
      <c r="H1" s="72"/>
      <c r="I1" s="72"/>
    </row>
    <row r="2" spans="1:9">
      <c r="A2" s="2"/>
      <c r="B2" s="2"/>
      <c r="C2" s="2"/>
      <c r="D2" s="2"/>
      <c r="E2" s="2"/>
      <c r="F2" s="2"/>
      <c r="G2" s="2"/>
      <c r="H2" s="2"/>
      <c r="I2" s="2"/>
    </row>
    <row r="3" spans="1:9" ht="30" customHeight="1">
      <c r="A3" s="1" t="s">
        <v>172</v>
      </c>
      <c r="B3" s="1" t="s">
        <v>173</v>
      </c>
      <c r="C3" s="1" t="s">
        <v>174</v>
      </c>
      <c r="D3" s="1" t="s">
        <v>175</v>
      </c>
      <c r="E3" s="1" t="s">
        <v>176</v>
      </c>
      <c r="F3" s="1" t="s">
        <v>177</v>
      </c>
      <c r="G3" s="1" t="s">
        <v>178</v>
      </c>
      <c r="H3" s="1" t="s">
        <v>179</v>
      </c>
      <c r="I3" s="1" t="s">
        <v>180</v>
      </c>
    </row>
    <row r="4" spans="1:9" ht="25">
      <c r="A4" s="47" t="s">
        <v>34</v>
      </c>
      <c r="B4" s="47" t="s">
        <v>181</v>
      </c>
      <c r="C4" s="48" t="s">
        <v>182</v>
      </c>
      <c r="D4" s="49">
        <v>46269</v>
      </c>
      <c r="E4" s="48">
        <v>28</v>
      </c>
      <c r="F4" s="48" t="s">
        <v>58</v>
      </c>
      <c r="G4" s="48" t="s">
        <v>183</v>
      </c>
      <c r="H4" s="48" t="s">
        <v>184</v>
      </c>
      <c r="I4" s="48" t="s">
        <v>185</v>
      </c>
    </row>
    <row r="5" spans="1:9" ht="26">
      <c r="A5" s="65" t="s">
        <v>186</v>
      </c>
      <c r="B5" s="65" t="s">
        <v>187</v>
      </c>
      <c r="C5" s="66" t="s">
        <v>188</v>
      </c>
      <c r="D5" s="67">
        <v>46276</v>
      </c>
      <c r="E5" s="66">
        <v>28</v>
      </c>
      <c r="F5" s="66" t="s">
        <v>58</v>
      </c>
      <c r="G5" s="66" t="s">
        <v>189</v>
      </c>
      <c r="H5" s="66" t="s">
        <v>190</v>
      </c>
      <c r="I5" s="66" t="s">
        <v>191</v>
      </c>
    </row>
    <row r="6" spans="1:9" ht="26">
      <c r="A6" s="65" t="s">
        <v>192</v>
      </c>
      <c r="B6" s="65" t="s">
        <v>187</v>
      </c>
      <c r="C6" s="66" t="s">
        <v>193</v>
      </c>
      <c r="D6" s="67">
        <v>46283</v>
      </c>
      <c r="E6" s="66">
        <v>28</v>
      </c>
      <c r="F6" s="66" t="s">
        <v>58</v>
      </c>
      <c r="G6" s="66" t="s">
        <v>194</v>
      </c>
      <c r="H6" s="66" t="s">
        <v>190</v>
      </c>
      <c r="I6" s="66" t="s">
        <v>191</v>
      </c>
    </row>
    <row r="7" spans="1:9" ht="25">
      <c r="A7" s="50" t="s">
        <v>37</v>
      </c>
      <c r="B7" s="50" t="s">
        <v>181</v>
      </c>
      <c r="C7" s="51" t="s">
        <v>195</v>
      </c>
      <c r="D7" s="52">
        <v>46290</v>
      </c>
      <c r="E7" s="51">
        <v>28</v>
      </c>
      <c r="F7" s="51" t="s">
        <v>58</v>
      </c>
      <c r="G7" s="51" t="s">
        <v>196</v>
      </c>
      <c r="H7" s="51" t="s">
        <v>184</v>
      </c>
      <c r="I7" s="51" t="s">
        <v>185</v>
      </c>
    </row>
    <row r="8" spans="1:9" ht="25">
      <c r="A8" s="50" t="s">
        <v>38</v>
      </c>
      <c r="B8" s="50" t="s">
        <v>197</v>
      </c>
      <c r="C8" s="51" t="s">
        <v>198</v>
      </c>
      <c r="D8" s="52">
        <v>46272</v>
      </c>
      <c r="E8" s="51">
        <v>28</v>
      </c>
      <c r="F8" s="51" t="s">
        <v>61</v>
      </c>
      <c r="G8" s="51" t="s">
        <v>199</v>
      </c>
      <c r="H8" s="51" t="s">
        <v>184</v>
      </c>
      <c r="I8" s="51" t="s">
        <v>185</v>
      </c>
    </row>
    <row r="9" spans="1:9" ht="25">
      <c r="A9" s="50" t="s">
        <v>39</v>
      </c>
      <c r="B9" s="50" t="s">
        <v>197</v>
      </c>
      <c r="C9" s="51" t="s">
        <v>200</v>
      </c>
      <c r="D9" s="52">
        <v>46286</v>
      </c>
      <c r="E9" s="51">
        <v>28</v>
      </c>
      <c r="F9" s="51" t="s">
        <v>61</v>
      </c>
      <c r="G9" s="51" t="s">
        <v>201</v>
      </c>
      <c r="H9" s="51" t="s">
        <v>184</v>
      </c>
      <c r="I9" s="51" t="s">
        <v>185</v>
      </c>
    </row>
    <row r="10" spans="1:9" ht="25">
      <c r="A10" s="50" t="s">
        <v>40</v>
      </c>
      <c r="B10" s="50" t="s">
        <v>202</v>
      </c>
      <c r="C10" s="51" t="s">
        <v>203</v>
      </c>
      <c r="D10" s="52">
        <v>46273</v>
      </c>
      <c r="E10" s="51">
        <v>28</v>
      </c>
      <c r="F10" s="51" t="s">
        <v>62</v>
      </c>
      <c r="G10" s="51" t="s">
        <v>204</v>
      </c>
      <c r="H10" s="51" t="s">
        <v>184</v>
      </c>
      <c r="I10" s="51" t="s">
        <v>185</v>
      </c>
    </row>
    <row r="11" spans="1:9" ht="25">
      <c r="A11" s="50" t="s">
        <v>41</v>
      </c>
      <c r="B11" s="50" t="s">
        <v>202</v>
      </c>
      <c r="C11" s="51" t="s">
        <v>205</v>
      </c>
      <c r="D11" s="52">
        <v>46280</v>
      </c>
      <c r="E11" s="51">
        <v>28</v>
      </c>
      <c r="F11" s="51" t="s">
        <v>62</v>
      </c>
      <c r="G11" s="51" t="s">
        <v>206</v>
      </c>
      <c r="H11" s="51" t="s">
        <v>184</v>
      </c>
      <c r="I11" s="51" t="s">
        <v>185</v>
      </c>
    </row>
    <row r="12" spans="1:9" ht="25">
      <c r="A12" s="50" t="s">
        <v>42</v>
      </c>
      <c r="B12" s="50" t="s">
        <v>207</v>
      </c>
      <c r="C12" s="51" t="s">
        <v>208</v>
      </c>
      <c r="D12" s="52">
        <v>46285</v>
      </c>
      <c r="E12" s="51">
        <v>28</v>
      </c>
      <c r="F12" s="51" t="s">
        <v>60</v>
      </c>
      <c r="G12" s="51" t="s">
        <v>209</v>
      </c>
      <c r="H12" s="51" t="s">
        <v>184</v>
      </c>
      <c r="I12" s="51" t="s">
        <v>185</v>
      </c>
    </row>
    <row r="13" spans="1:9" ht="25">
      <c r="A13" s="50" t="s">
        <v>43</v>
      </c>
      <c r="B13" s="50" t="s">
        <v>210</v>
      </c>
      <c r="C13" s="51" t="s">
        <v>211</v>
      </c>
      <c r="D13" s="52">
        <v>46321</v>
      </c>
      <c r="E13" s="51">
        <v>70</v>
      </c>
      <c r="F13" s="51" t="s">
        <v>61</v>
      </c>
      <c r="G13" s="51" t="s">
        <v>212</v>
      </c>
      <c r="H13" s="51" t="s">
        <v>184</v>
      </c>
      <c r="I13" s="51" t="s">
        <v>185</v>
      </c>
    </row>
    <row r="14" spans="1:9" ht="25">
      <c r="A14" s="50" t="s">
        <v>44</v>
      </c>
      <c r="B14" s="50" t="s">
        <v>213</v>
      </c>
      <c r="C14" s="51" t="s">
        <v>214</v>
      </c>
      <c r="D14" s="52">
        <v>46350</v>
      </c>
      <c r="E14" s="51">
        <v>98</v>
      </c>
      <c r="F14" s="51" t="s">
        <v>62</v>
      </c>
      <c r="G14" s="51" t="s">
        <v>215</v>
      </c>
      <c r="H14" s="51" t="s">
        <v>184</v>
      </c>
      <c r="I14" s="51" t="s">
        <v>185</v>
      </c>
    </row>
    <row r="15" spans="1:9" ht="25">
      <c r="A15" s="53" t="s">
        <v>45</v>
      </c>
      <c r="B15" s="53" t="s">
        <v>216</v>
      </c>
      <c r="C15" s="54" t="s">
        <v>217</v>
      </c>
      <c r="D15" s="55">
        <v>46422</v>
      </c>
      <c r="E15" s="54">
        <v>175</v>
      </c>
      <c r="F15" s="54" t="s">
        <v>56</v>
      </c>
      <c r="G15" s="54" t="s">
        <v>218</v>
      </c>
      <c r="H15" s="54" t="s">
        <v>184</v>
      </c>
      <c r="I15" s="54" t="s">
        <v>185</v>
      </c>
    </row>
    <row r="16" spans="1:9">
      <c r="A16" s="2"/>
      <c r="B16" s="2"/>
      <c r="C16" s="2"/>
      <c r="D16" s="2"/>
      <c r="E16" s="2"/>
      <c r="F16" s="2"/>
      <c r="G16" s="2"/>
      <c r="H16" s="2"/>
      <c r="I16" s="2"/>
    </row>
    <row r="17" spans="1:9" ht="25">
      <c r="A17" s="56" t="s">
        <v>219</v>
      </c>
      <c r="B17" s="56" t="s">
        <v>220</v>
      </c>
      <c r="C17" s="56" t="s">
        <v>221</v>
      </c>
      <c r="D17" s="56"/>
      <c r="E17" s="56"/>
      <c r="F17" s="56"/>
      <c r="G17" s="56"/>
      <c r="H17" s="56"/>
      <c r="I17" s="56"/>
    </row>
    <row r="18" spans="1:9">
      <c r="A18" s="57" t="s">
        <v>222</v>
      </c>
      <c r="B18" s="57" t="s">
        <v>223</v>
      </c>
      <c r="C18" s="57" t="s">
        <v>224</v>
      </c>
      <c r="D18" s="57"/>
      <c r="E18" s="57"/>
      <c r="F18" s="57"/>
      <c r="G18" s="57"/>
      <c r="H18" s="57"/>
      <c r="I18" s="57"/>
    </row>
    <row r="19" spans="1:9" ht="25">
      <c r="A19" s="57" t="s">
        <v>225</v>
      </c>
      <c r="B19" s="57" t="s">
        <v>83</v>
      </c>
      <c r="C19" s="57" t="s">
        <v>226</v>
      </c>
      <c r="D19" s="57"/>
      <c r="E19" s="57"/>
      <c r="F19" s="57"/>
      <c r="G19" s="57"/>
      <c r="H19" s="57"/>
      <c r="I19" s="57"/>
    </row>
    <row r="20" spans="1:9" ht="25">
      <c r="A20" s="58" t="s">
        <v>227</v>
      </c>
      <c r="B20" s="58" t="s">
        <v>228</v>
      </c>
      <c r="C20" s="58" t="s">
        <v>229</v>
      </c>
      <c r="D20" s="58"/>
      <c r="E20" s="58"/>
      <c r="F20" s="58"/>
      <c r="G20" s="58"/>
      <c r="H20" s="58"/>
      <c r="I20" s="58"/>
    </row>
  </sheetData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6"/>
  <sheetViews>
    <sheetView showGridLines="0" workbookViewId="0"/>
  </sheetViews>
  <sheetFormatPr defaultRowHeight="14"/>
  <cols>
    <col min="1" max="1" width="10" customWidth="1"/>
    <col min="2" max="2" width="22" customWidth="1"/>
    <col min="3" max="7" width="12" customWidth="1"/>
    <col min="8" max="8" width="18" customWidth="1"/>
  </cols>
  <sheetData>
    <row r="1" spans="1:8" ht="30" customHeight="1">
      <c r="A1" s="75" t="s">
        <v>230</v>
      </c>
      <c r="B1" s="72"/>
      <c r="C1" s="72"/>
      <c r="D1" s="72"/>
      <c r="E1" s="72"/>
      <c r="F1" s="72"/>
      <c r="G1" s="72"/>
      <c r="H1" s="72"/>
    </row>
    <row r="2" spans="1:8" ht="14.5">
      <c r="A2" s="74" t="s">
        <v>231</v>
      </c>
      <c r="B2" s="72"/>
      <c r="C2" s="72"/>
      <c r="D2" s="72"/>
      <c r="E2" s="72"/>
      <c r="F2" s="72"/>
      <c r="G2" s="72"/>
      <c r="H2" s="72"/>
    </row>
    <row r="3" spans="1:8" ht="30" customHeight="1">
      <c r="A3" s="1" t="s">
        <v>172</v>
      </c>
      <c r="B3" s="1" t="s">
        <v>232</v>
      </c>
      <c r="C3" s="1" t="s">
        <v>233</v>
      </c>
      <c r="D3" s="1" t="s">
        <v>46</v>
      </c>
      <c r="E3" s="1" t="s">
        <v>47</v>
      </c>
      <c r="F3" s="1" t="s">
        <v>234</v>
      </c>
      <c r="G3" s="1" t="s">
        <v>235</v>
      </c>
      <c r="H3" s="1" t="s">
        <v>236</v>
      </c>
    </row>
    <row r="4" spans="1:8">
      <c r="A4" s="18" t="s">
        <v>34</v>
      </c>
      <c r="B4" s="11" t="s">
        <v>181</v>
      </c>
      <c r="C4" s="60">
        <v>28</v>
      </c>
      <c r="D4" s="60">
        <v>0</v>
      </c>
      <c r="E4" s="60">
        <v>27</v>
      </c>
      <c r="F4" s="60">
        <v>72</v>
      </c>
      <c r="G4" s="60">
        <v>66</v>
      </c>
      <c r="H4" s="11" t="s">
        <v>237</v>
      </c>
    </row>
    <row r="5" spans="1:8">
      <c r="A5" s="68" t="s">
        <v>186</v>
      </c>
      <c r="B5" s="69" t="s">
        <v>238</v>
      </c>
      <c r="C5" s="70">
        <v>28</v>
      </c>
      <c r="D5" s="70">
        <v>0</v>
      </c>
      <c r="E5" s="70">
        <v>27</v>
      </c>
      <c r="F5" s="70">
        <v>0</v>
      </c>
      <c r="G5" s="70">
        <v>0</v>
      </c>
      <c r="H5" s="69" t="s">
        <v>239</v>
      </c>
    </row>
    <row r="6" spans="1:8">
      <c r="A6" s="68" t="s">
        <v>192</v>
      </c>
      <c r="B6" s="69" t="s">
        <v>238</v>
      </c>
      <c r="C6" s="70">
        <v>28</v>
      </c>
      <c r="D6" s="70">
        <v>0</v>
      </c>
      <c r="E6" s="70">
        <v>27</v>
      </c>
      <c r="F6" s="70">
        <v>0</v>
      </c>
      <c r="G6" s="70">
        <v>0</v>
      </c>
      <c r="H6" s="69" t="s">
        <v>239</v>
      </c>
    </row>
    <row r="7" spans="1:8">
      <c r="A7" s="24" t="s">
        <v>37</v>
      </c>
      <c r="B7" s="12" t="s">
        <v>181</v>
      </c>
      <c r="C7" s="61">
        <v>28</v>
      </c>
      <c r="D7" s="61">
        <v>0</v>
      </c>
      <c r="E7" s="61">
        <v>27</v>
      </c>
      <c r="F7" s="61">
        <v>74</v>
      </c>
      <c r="G7" s="61">
        <v>66</v>
      </c>
      <c r="H7" s="12" t="s">
        <v>240</v>
      </c>
    </row>
    <row r="8" spans="1:8">
      <c r="A8" s="24" t="s">
        <v>38</v>
      </c>
      <c r="B8" s="12" t="s">
        <v>197</v>
      </c>
      <c r="C8" s="61">
        <v>28</v>
      </c>
      <c r="D8" s="61">
        <v>0</v>
      </c>
      <c r="E8" s="61">
        <v>27</v>
      </c>
      <c r="F8" s="61">
        <v>74</v>
      </c>
      <c r="G8" s="61">
        <v>66</v>
      </c>
      <c r="H8" s="12" t="s">
        <v>237</v>
      </c>
    </row>
    <row r="9" spans="1:8">
      <c r="A9" s="24" t="s">
        <v>39</v>
      </c>
      <c r="B9" s="12" t="s">
        <v>197</v>
      </c>
      <c r="C9" s="61">
        <v>28</v>
      </c>
      <c r="D9" s="61">
        <v>0</v>
      </c>
      <c r="E9" s="61">
        <v>27</v>
      </c>
      <c r="F9" s="61">
        <v>74</v>
      </c>
      <c r="G9" s="61">
        <v>66</v>
      </c>
      <c r="H9" s="12" t="s">
        <v>241</v>
      </c>
    </row>
    <row r="10" spans="1:8">
      <c r="A10" s="24" t="s">
        <v>40</v>
      </c>
      <c r="B10" s="12" t="s">
        <v>202</v>
      </c>
      <c r="C10" s="61">
        <v>28</v>
      </c>
      <c r="D10" s="61">
        <v>0</v>
      </c>
      <c r="E10" s="61">
        <v>27</v>
      </c>
      <c r="F10" s="61">
        <v>74</v>
      </c>
      <c r="G10" s="61">
        <v>66</v>
      </c>
      <c r="H10" s="12" t="s">
        <v>242</v>
      </c>
    </row>
    <row r="11" spans="1:8">
      <c r="A11" s="24" t="s">
        <v>41</v>
      </c>
      <c r="B11" s="12" t="s">
        <v>202</v>
      </c>
      <c r="C11" s="61">
        <v>28</v>
      </c>
      <c r="D11" s="61">
        <v>0</v>
      </c>
      <c r="E11" s="61">
        <v>27</v>
      </c>
      <c r="F11" s="61">
        <v>74</v>
      </c>
      <c r="G11" s="61">
        <v>66</v>
      </c>
      <c r="H11" s="12" t="s">
        <v>241</v>
      </c>
    </row>
    <row r="12" spans="1:8">
      <c r="A12" s="24" t="s">
        <v>42</v>
      </c>
      <c r="B12" s="12" t="s">
        <v>207</v>
      </c>
      <c r="C12" s="61">
        <v>28</v>
      </c>
      <c r="D12" s="61">
        <v>0</v>
      </c>
      <c r="E12" s="61">
        <v>27</v>
      </c>
      <c r="F12" s="61">
        <v>74</v>
      </c>
      <c r="G12" s="61">
        <v>66</v>
      </c>
      <c r="H12" s="12" t="s">
        <v>243</v>
      </c>
    </row>
    <row r="13" spans="1:8">
      <c r="A13" s="24" t="s">
        <v>43</v>
      </c>
      <c r="B13" s="12" t="s">
        <v>210</v>
      </c>
      <c r="C13" s="61">
        <v>70</v>
      </c>
      <c r="D13" s="61">
        <v>0</v>
      </c>
      <c r="E13" s="61">
        <v>69</v>
      </c>
      <c r="F13" s="61">
        <v>82</v>
      </c>
      <c r="G13" s="61">
        <v>78</v>
      </c>
      <c r="H13" s="12" t="s">
        <v>244</v>
      </c>
    </row>
    <row r="14" spans="1:8">
      <c r="A14" s="24" t="s">
        <v>44</v>
      </c>
      <c r="B14" s="12" t="s">
        <v>213</v>
      </c>
      <c r="C14" s="61">
        <v>98</v>
      </c>
      <c r="D14" s="61">
        <v>0</v>
      </c>
      <c r="E14" s="61">
        <v>97</v>
      </c>
      <c r="F14" s="61">
        <v>82</v>
      </c>
      <c r="G14" s="61">
        <v>78</v>
      </c>
      <c r="H14" s="12" t="s">
        <v>245</v>
      </c>
    </row>
    <row r="15" spans="1:8">
      <c r="A15" s="24" t="s">
        <v>45</v>
      </c>
      <c r="B15" s="12" t="s">
        <v>216</v>
      </c>
      <c r="C15" s="61">
        <v>175</v>
      </c>
      <c r="D15" s="61">
        <v>66</v>
      </c>
      <c r="E15" s="61">
        <v>155</v>
      </c>
      <c r="F15" s="61">
        <v>86</v>
      </c>
      <c r="G15" s="61">
        <v>84</v>
      </c>
      <c r="H15" s="12" t="s">
        <v>246</v>
      </c>
    </row>
    <row r="16" spans="1:8">
      <c r="A16" s="59" t="s">
        <v>247</v>
      </c>
      <c r="B16" s="59"/>
      <c r="C16" s="62"/>
      <c r="D16" s="62"/>
      <c r="E16" s="62"/>
      <c r="F16" s="62">
        <v>766</v>
      </c>
      <c r="G16" s="62">
        <v>702</v>
      </c>
      <c r="H16" s="59" t="s">
        <v>248</v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2"/>
  <sheetViews>
    <sheetView showGridLines="0" workbookViewId="0"/>
  </sheetViews>
  <sheetFormatPr defaultRowHeight="14"/>
  <cols>
    <col min="1" max="1" width="10" customWidth="1"/>
    <col min="2" max="2" width="48" customWidth="1"/>
    <col min="3" max="3" width="42" customWidth="1"/>
    <col min="4" max="4" width="52" customWidth="1"/>
  </cols>
  <sheetData>
    <row r="1" spans="1:4" ht="30" customHeight="1">
      <c r="A1" s="71" t="s">
        <v>249</v>
      </c>
      <c r="B1" s="72"/>
      <c r="C1" s="72"/>
      <c r="D1" s="72"/>
    </row>
    <row r="2" spans="1:4">
      <c r="A2" s="2"/>
      <c r="B2" s="2"/>
      <c r="C2" s="2"/>
      <c r="D2" s="2"/>
    </row>
    <row r="3" spans="1:4" ht="30" customHeight="1">
      <c r="A3" s="1" t="s">
        <v>250</v>
      </c>
      <c r="B3" s="1" t="s">
        <v>251</v>
      </c>
      <c r="C3" s="1" t="s">
        <v>252</v>
      </c>
      <c r="D3" s="1" t="s">
        <v>253</v>
      </c>
    </row>
    <row r="4" spans="1:4">
      <c r="A4" s="47">
        <v>1</v>
      </c>
      <c r="B4" s="48" t="s">
        <v>254</v>
      </c>
      <c r="C4" s="48" t="s">
        <v>255</v>
      </c>
      <c r="D4" s="48" t="s">
        <v>256</v>
      </c>
    </row>
    <row r="5" spans="1:4">
      <c r="A5" s="50">
        <v>2</v>
      </c>
      <c r="B5" s="51" t="s">
        <v>257</v>
      </c>
      <c r="C5" s="51" t="s">
        <v>258</v>
      </c>
      <c r="D5" s="51" t="s">
        <v>259</v>
      </c>
    </row>
    <row r="6" spans="1:4">
      <c r="A6" s="50">
        <v>3</v>
      </c>
      <c r="B6" s="51" t="s">
        <v>260</v>
      </c>
      <c r="C6" s="51" t="s">
        <v>261</v>
      </c>
      <c r="D6" s="51" t="s">
        <v>262</v>
      </c>
    </row>
    <row r="7" spans="1:4">
      <c r="A7" s="50">
        <v>4</v>
      </c>
      <c r="B7" s="51" t="s">
        <v>263</v>
      </c>
      <c r="C7" s="51" t="s">
        <v>264</v>
      </c>
      <c r="D7" s="51" t="s">
        <v>265</v>
      </c>
    </row>
    <row r="8" spans="1:4">
      <c r="A8" s="50">
        <v>5</v>
      </c>
      <c r="B8" s="51" t="s">
        <v>266</v>
      </c>
      <c r="C8" s="51" t="s">
        <v>267</v>
      </c>
      <c r="D8" s="51" t="s">
        <v>268</v>
      </c>
    </row>
    <row r="9" spans="1:4">
      <c r="A9" s="50">
        <v>6</v>
      </c>
      <c r="B9" s="51" t="s">
        <v>269</v>
      </c>
      <c r="C9" s="51" t="s">
        <v>270</v>
      </c>
      <c r="D9" s="51" t="s">
        <v>271</v>
      </c>
    </row>
    <row r="10" spans="1:4">
      <c r="A10" s="50">
        <v>7</v>
      </c>
      <c r="B10" s="51" t="s">
        <v>272</v>
      </c>
      <c r="C10" s="51" t="s">
        <v>273</v>
      </c>
      <c r="D10" s="51" t="s">
        <v>274</v>
      </c>
    </row>
    <row r="11" spans="1:4">
      <c r="A11" s="50">
        <v>8</v>
      </c>
      <c r="B11" s="51" t="s">
        <v>275</v>
      </c>
      <c r="C11" s="51" t="s">
        <v>276</v>
      </c>
      <c r="D11" s="51" t="s">
        <v>277</v>
      </c>
    </row>
    <row r="12" spans="1:4">
      <c r="A12" s="53">
        <v>9</v>
      </c>
      <c r="B12" s="54" t="s">
        <v>278</v>
      </c>
      <c r="C12" s="54" t="s">
        <v>279</v>
      </c>
      <c r="D12" s="54" t="s">
        <v>280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SUMMARY</vt:lpstr>
      <vt:lpstr>AUX_CRAWL_PLAN</vt:lpstr>
      <vt:lpstr>CRAWL_LOG</vt:lpstr>
      <vt:lpstr>LOCAL_REFERENCE</vt:lpstr>
      <vt:lpstr>VPS_REFERENCE</vt:lpstr>
      <vt:lpstr>SLOT_RULES</vt:lpstr>
      <vt:lpstr>LABEL_YIELD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2026-10-01T17:37:31Z</dcterms:created>
  <dcterms:modified xsi:type="dcterms:W3CDTF">2026-10-04T16:03:30Z</dcterms:modified>
</cp:coreProperties>
</file>