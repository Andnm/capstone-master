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COUNTIFS('CRAWL_LOG'!B4:B93,"Hoàn thành")+COUNTIFS('CRAWL_LOG'!B4:B93,"Hoàn thành có lỗi")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8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Hoàn thành có lỗi</t>
        </is>
      </c>
      <c r="C14" s="59" t="inlineStr">
        <is>
          <t>11</t>
        </is>
      </c>
      <c r="D14" s="168" t="n">
        <v>46277.02385240741</v>
      </c>
      <c r="E14" s="168" t="n">
        <v>46277.83505616898</v>
      </c>
      <c r="F14" s="169">
        <f>IF(AND(D14&lt;&gt;"",E14&lt;&gt;""),(E14-D14)*24,"")</f>
        <v/>
      </c>
      <c r="G14" s="170" t="n">
        <v>3540</v>
      </c>
      <c r="H14" s="170" t="n">
        <v>3540</v>
      </c>
      <c r="I14" s="170" t="n">
        <v>3175</v>
      </c>
      <c r="J14" s="170" t="n">
        <v>0</v>
      </c>
      <c r="K14" s="170" t="n">
        <v>315</v>
      </c>
      <c r="L14" s="170" t="n">
        <v>30</v>
      </c>
      <c r="M14" s="170" t="n">
        <v>20</v>
      </c>
      <c r="N14" s="170" t="n">
        <v>29730</v>
      </c>
      <c r="O14" s="170" t="n">
        <v>10</v>
      </c>
      <c r="P14" s="59" t="inlineStr">
        <is>
          <t>local_aux</t>
        </is>
      </c>
      <c r="Q14" s="59" t="inlineStr">
        <is>
          <t>Scheduled run 11 terminal</t>
        </is>
      </c>
    </row>
    <row r="15">
      <c r="A15" s="167" t="n">
        <v>46278</v>
      </c>
      <c r="B15" s="59" t="inlineStr">
        <is>
          <t>Hoàn thành có lỗi</t>
        </is>
      </c>
      <c r="C15" s="59" t="inlineStr">
        <is>
          <t>12</t>
        </is>
      </c>
      <c r="D15" s="168" t="n">
        <v>46277.73217592593</v>
      </c>
      <c r="E15" s="168" t="n">
        <v>46278.796890625</v>
      </c>
      <c r="F15" s="169">
        <f>IF(AND(D15&lt;&gt;"",E15&lt;&gt;""),(E15-D15)*24,"")</f>
        <v/>
      </c>
      <c r="G15" s="170" t="n">
        <v>3540</v>
      </c>
      <c r="H15" s="170" t="n">
        <v>3540</v>
      </c>
      <c r="I15" s="170" t="n">
        <v>3175</v>
      </c>
      <c r="J15" s="170" t="n">
        <v>0</v>
      </c>
      <c r="K15" s="170" t="n">
        <v>315</v>
      </c>
      <c r="L15" s="170" t="n">
        <v>30</v>
      </c>
      <c r="M15" s="170" t="n">
        <v>20</v>
      </c>
      <c r="N15" s="170" t="n">
        <v>29379</v>
      </c>
      <c r="O15" s="170" t="n">
        <v>10</v>
      </c>
      <c r="P15" s="59" t="inlineStr">
        <is>
          <t>local_aux</t>
        </is>
      </c>
      <c r="Q15" s="59" t="inlineStr">
        <is>
          <t>Scheduled run 12 terminal</t>
        </is>
      </c>
    </row>
    <row r="16">
      <c r="A16" s="167" t="n">
        <v>46279</v>
      </c>
      <c r="B16" s="59" t="inlineStr">
        <is>
          <t>Hoàn thành có lỗi</t>
        </is>
      </c>
      <c r="C16" s="59" t="inlineStr">
        <is>
          <t>13</t>
        </is>
      </c>
      <c r="D16" s="168" t="n">
        <v>46278.72856481482</v>
      </c>
      <c r="E16" s="168" t="n">
        <v>46279.90620111111</v>
      </c>
      <c r="F16" s="169">
        <f>IF(AND(D16&lt;&gt;"",E16&lt;&gt;""),(E16-D16)*24,"")</f>
        <v/>
      </c>
      <c r="G16" s="170" t="n">
        <v>3540</v>
      </c>
      <c r="H16" s="170" t="n">
        <v>2</v>
      </c>
      <c r="I16" s="170" t="n">
        <v>2</v>
      </c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inlineStr">
        <is>
          <t>Bỏ qua theo yêu cầu người dùng; dừng run 13 sau 2/3540 item. Ngày kế tiếp chạy độc lập.</t>
        </is>
      </c>
    </row>
    <row r="17">
      <c r="A17" s="167" t="n">
        <v>46280</v>
      </c>
      <c r="B17" s="59" t="inlineStr">
        <is>
          <t>Hoàn thành có lỗi</t>
        </is>
      </c>
      <c r="C17" s="59" t="inlineStr">
        <is>
          <t>14</t>
        </is>
      </c>
      <c r="D17" s="168" t="n">
        <v>46279.73701388889</v>
      </c>
      <c r="E17" s="168" t="n">
        <v>46280.81530137731</v>
      </c>
      <c r="F17" s="169">
        <f>IF(AND(D17&lt;&gt;"",E17&lt;&gt;""),(E17-D17)*24,"")</f>
        <v/>
      </c>
      <c r="G17" s="170" t="n">
        <v>3540</v>
      </c>
      <c r="H17" s="170" t="n">
        <v>3540</v>
      </c>
      <c r="I17" s="170" t="n">
        <v>3152</v>
      </c>
      <c r="J17" s="170" t="n">
        <v>0</v>
      </c>
      <c r="K17" s="170" t="n">
        <v>328</v>
      </c>
      <c r="L17" s="170" t="n">
        <v>40</v>
      </c>
      <c r="M17" s="170" t="n">
        <v>20</v>
      </c>
      <c r="N17" s="170" t="n">
        <v>28862</v>
      </c>
      <c r="O17" s="170" t="n">
        <v>10</v>
      </c>
      <c r="P17" s="59" t="inlineStr">
        <is>
          <t>local_aux</t>
        </is>
      </c>
      <c r="Q17" s="59" t="inlineStr">
        <is>
          <t>Scheduled run 14 terminal</t>
        </is>
      </c>
    </row>
    <row r="18">
      <c r="A18" s="167" t="n">
        <v>46281</v>
      </c>
      <c r="B18" s="59" t="inlineStr">
        <is>
          <t>Hoàn thành có lỗi</t>
        </is>
      </c>
      <c r="C18" s="59" t="inlineStr">
        <is>
          <t>15</t>
        </is>
      </c>
      <c r="D18" s="168" t="n">
        <v>46281.02672401621</v>
      </c>
      <c r="E18" s="168" t="n">
        <v>46281.81371444444</v>
      </c>
      <c r="F18" s="169">
        <f>IF(AND(D18&lt;&gt;"",E18&lt;&gt;""),(E18-D18)*24,"")</f>
        <v/>
      </c>
      <c r="G18" s="170" t="n">
        <v>3540</v>
      </c>
      <c r="H18" s="170" t="n">
        <v>3540</v>
      </c>
      <c r="I18" s="170" t="n">
        <v>3170</v>
      </c>
      <c r="J18" s="170" t="n">
        <v>0</v>
      </c>
      <c r="K18" s="170" t="n">
        <v>310</v>
      </c>
      <c r="L18" s="170" t="n">
        <v>40</v>
      </c>
      <c r="M18" s="170" t="n">
        <v>20</v>
      </c>
      <c r="N18" s="170" t="n">
        <v>29084</v>
      </c>
      <c r="O18" s="170" t="n">
        <v>10</v>
      </c>
      <c r="P18" s="59" t="inlineStr">
        <is>
          <t>local_aux</t>
        </is>
      </c>
      <c r="Q18" s="59" t="inlineStr">
        <is>
          <t>Scheduled run 15 terminal</t>
        </is>
      </c>
    </row>
    <row r="19">
      <c r="A19" s="167" t="n">
        <v>46282</v>
      </c>
      <c r="B19" s="59" t="inlineStr">
        <is>
          <t>Hoàn thành có lỗi</t>
        </is>
      </c>
      <c r="C19" s="59" t="inlineStr">
        <is>
          <t>16</t>
        </is>
      </c>
      <c r="D19" s="168" t="n">
        <v>46282.02266850694</v>
      </c>
      <c r="E19" s="168" t="n">
        <v>46282.78398810185</v>
      </c>
      <c r="F19" s="169">
        <f>IF(AND(D19&lt;&gt;"",E19&lt;&gt;""),(E19-D19)*24,"")</f>
        <v/>
      </c>
      <c r="G19" s="170" t="n">
        <v>3540</v>
      </c>
      <c r="H19" s="170" t="n">
        <v>3540</v>
      </c>
      <c r="I19" s="170" t="n">
        <v>3121</v>
      </c>
      <c r="J19" s="170" t="n">
        <v>0</v>
      </c>
      <c r="K19" s="170" t="n">
        <v>309</v>
      </c>
      <c r="L19" s="170" t="n">
        <v>90</v>
      </c>
      <c r="M19" s="170" t="n">
        <v>20</v>
      </c>
      <c r="N19" s="170" t="n">
        <v>28229</v>
      </c>
      <c r="O19" s="170" t="n">
        <v>10</v>
      </c>
      <c r="P19" s="59" t="inlineStr">
        <is>
          <t>local_aux</t>
        </is>
      </c>
      <c r="Q19" s="59" t="inlineStr">
        <is>
          <t>Scheduled run 16 terminal</t>
        </is>
      </c>
    </row>
    <row r="20">
      <c r="A20" s="167" t="n">
        <v>46283</v>
      </c>
      <c r="B20" s="59" t="inlineStr">
        <is>
          <t>Hoàn thành có lỗi</t>
        </is>
      </c>
      <c r="C20" s="59" t="inlineStr">
        <is>
          <t>17</t>
        </is>
      </c>
      <c r="D20" s="168" t="n">
        <v>46283.02424359954</v>
      </c>
      <c r="E20" s="168" t="n">
        <v>46283.78622950232</v>
      </c>
      <c r="F20" s="169">
        <f>IF(AND(D20&lt;&gt;"",E20&lt;&gt;""),(E20-D20)*24,"")</f>
        <v/>
      </c>
      <c r="G20" s="170" t="n">
        <v>3540</v>
      </c>
      <c r="H20" s="170" t="n">
        <v>3540</v>
      </c>
      <c r="I20" s="170" t="n">
        <v>3133</v>
      </c>
      <c r="J20" s="170" t="n">
        <v>0</v>
      </c>
      <c r="K20" s="170" t="n">
        <v>307</v>
      </c>
      <c r="L20" s="170" t="n">
        <v>80</v>
      </c>
      <c r="M20" s="170" t="n">
        <v>20</v>
      </c>
      <c r="N20" s="170" t="n">
        <v>28008</v>
      </c>
      <c r="O20" s="170" t="n">
        <v>10</v>
      </c>
      <c r="P20" s="59" t="inlineStr">
        <is>
          <t>local_aux</t>
        </is>
      </c>
      <c r="Q20" s="59" t="inlineStr">
        <is>
          <t>Scheduled run 17 terminal</t>
        </is>
      </c>
    </row>
    <row r="21">
      <c r="A21" s="167" t="n">
        <v>46284</v>
      </c>
      <c r="B21" s="59" t="inlineStr">
        <is>
          <t>Hoàn thành có lỗi</t>
        </is>
      </c>
      <c r="C21" s="59" t="inlineStr">
        <is>
          <t>18</t>
        </is>
      </c>
      <c r="D21" s="168" t="n">
        <v>46284.02293990741</v>
      </c>
      <c r="E21" s="168" t="n">
        <v>46284.78843565972</v>
      </c>
      <c r="F21" s="169">
        <f>IF(AND(D21&lt;&gt;"",E21&lt;&gt;""),(E21-D21)*24,"")</f>
        <v/>
      </c>
      <c r="G21" s="170" t="n">
        <v>3540</v>
      </c>
      <c r="H21" s="170" t="n">
        <v>3540</v>
      </c>
      <c r="I21" s="170" t="n">
        <v>3156</v>
      </c>
      <c r="J21" s="170" t="n">
        <v>0</v>
      </c>
      <c r="K21" s="170" t="n">
        <v>314</v>
      </c>
      <c r="L21" s="170" t="n">
        <v>50</v>
      </c>
      <c r="M21" s="170" t="n">
        <v>20</v>
      </c>
      <c r="N21" s="170" t="n">
        <v>28398</v>
      </c>
      <c r="O21" s="170" t="n">
        <v>10</v>
      </c>
      <c r="P21" s="59" t="inlineStr">
        <is>
          <t>local_aux</t>
        </is>
      </c>
      <c r="Q21" s="59" t="inlineStr">
        <is>
          <t>Scheduled run 18 terminal</t>
        </is>
      </c>
    </row>
    <row r="22">
      <c r="A22" s="167" t="n">
        <v>46285</v>
      </c>
      <c r="B22" s="59" t="inlineStr">
        <is>
          <t>Hoàn thành có lỗi</t>
        </is>
      </c>
      <c r="C22" s="59" t="inlineStr">
        <is>
          <t>19</t>
        </is>
      </c>
      <c r="D22" s="168" t="n">
        <v>46285.09364074074</v>
      </c>
      <c r="E22" s="168" t="n">
        <v>46285.87094282408</v>
      </c>
      <c r="F22" s="169">
        <f>IF(AND(D22&lt;&gt;"",E22&lt;&gt;""),(E22-D22)*24,"")</f>
        <v/>
      </c>
      <c r="G22" s="170" t="n">
        <v>3540</v>
      </c>
      <c r="H22" s="170" t="n">
        <v>3540</v>
      </c>
      <c r="I22" s="170" t="n">
        <v>3140</v>
      </c>
      <c r="J22" s="170" t="n">
        <v>0</v>
      </c>
      <c r="K22" s="170" t="n">
        <v>340</v>
      </c>
      <c r="L22" s="170" t="n">
        <v>40</v>
      </c>
      <c r="M22" s="170" t="n">
        <v>20</v>
      </c>
      <c r="N22" s="170" t="n">
        <v>28144</v>
      </c>
      <c r="O22" s="170" t="n">
        <v>10</v>
      </c>
      <c r="P22" s="59" t="inlineStr">
        <is>
          <t>local_aux</t>
        </is>
      </c>
      <c r="Q22" s="59" t="inlineStr">
        <is>
          <t>Scheduled run 19 terminal</t>
        </is>
      </c>
    </row>
    <row r="23">
      <c r="A23" s="167" t="n">
        <v>46286</v>
      </c>
      <c r="B23" s="59" t="inlineStr">
        <is>
          <t>Hoàn thành có lỗi</t>
        </is>
      </c>
      <c r="C23" s="59" t="inlineStr">
        <is>
          <t>20</t>
        </is>
      </c>
      <c r="D23" s="168" t="n">
        <v>46286.03120365741</v>
      </c>
      <c r="E23" s="168" t="n">
        <v>46286.80991675926</v>
      </c>
      <c r="F23" s="169">
        <f>IF(AND(D23&lt;&gt;"",E23&lt;&gt;""),(E23-D23)*24,"")</f>
        <v/>
      </c>
      <c r="G23" s="170" t="n">
        <v>3540</v>
      </c>
      <c r="H23" s="170" t="n">
        <v>3540</v>
      </c>
      <c r="I23" s="170" t="n">
        <v>3141</v>
      </c>
      <c r="J23" s="170" t="n">
        <v>0</v>
      </c>
      <c r="K23" s="170" t="n">
        <v>329</v>
      </c>
      <c r="L23" s="170" t="n">
        <v>50</v>
      </c>
      <c r="M23" s="170" t="n">
        <v>20</v>
      </c>
      <c r="N23" s="170" t="n">
        <v>27670</v>
      </c>
      <c r="O23" s="170" t="n">
        <v>10</v>
      </c>
      <c r="P23" s="59" t="inlineStr">
        <is>
          <t>local_aux</t>
        </is>
      </c>
      <c r="Q23" s="59" t="inlineStr">
        <is>
          <t>Scheduled run 20 terminal</t>
        </is>
      </c>
    </row>
    <row r="24">
      <c r="A24" s="167" t="n">
        <v>46287</v>
      </c>
      <c r="B24" s="59" t="inlineStr">
        <is>
          <t>Hoàn thành có lỗi</t>
        </is>
      </c>
      <c r="C24" s="59" t="inlineStr">
        <is>
          <t>21</t>
        </is>
      </c>
      <c r="D24" s="168" t="n">
        <v>46287.02310820602</v>
      </c>
      <c r="E24" s="168" t="n">
        <v>46287.81497712963</v>
      </c>
      <c r="F24" s="169">
        <f>IF(AND(D24&lt;&gt;"",E24&lt;&gt;""),(E24-D24)*24,"")</f>
        <v/>
      </c>
      <c r="G24" s="170" t="n">
        <v>3540</v>
      </c>
      <c r="H24" s="170" t="n">
        <v>3540</v>
      </c>
      <c r="I24" s="170" t="n">
        <v>3149</v>
      </c>
      <c r="J24" s="170" t="n">
        <v>0</v>
      </c>
      <c r="K24" s="170" t="n">
        <v>331</v>
      </c>
      <c r="L24" s="170" t="n">
        <v>40</v>
      </c>
      <c r="M24" s="170" t="n">
        <v>20</v>
      </c>
      <c r="N24" s="170" t="n">
        <v>28858</v>
      </c>
      <c r="O24" s="170" t="n">
        <v>10</v>
      </c>
      <c r="P24" s="59" t="inlineStr">
        <is>
          <t>local_aux</t>
        </is>
      </c>
      <c r="Q24" s="59" t="inlineStr">
        <is>
          <t>Scheduled run 21 terminal</t>
        </is>
      </c>
    </row>
    <row r="25">
      <c r="A25" s="167" t="n">
        <v>46288</v>
      </c>
      <c r="B25" s="59" t="inlineStr">
        <is>
          <t>Hoàn thành có lỗi</t>
        </is>
      </c>
      <c r="C25" s="59" t="inlineStr">
        <is>
          <t>22</t>
        </is>
      </c>
      <c r="D25" s="168" t="n">
        <v>46288.02336306713</v>
      </c>
      <c r="E25" s="168" t="n">
        <v>46288.80762245371</v>
      </c>
      <c r="F25" s="169">
        <f>IF(AND(D25&lt;&gt;"",E25&lt;&gt;""),(E25-D25)*24,"")</f>
        <v/>
      </c>
      <c r="G25" s="170" t="n">
        <v>3540</v>
      </c>
      <c r="H25" s="170" t="n">
        <v>3540</v>
      </c>
      <c r="I25" s="170" t="n">
        <v>3148</v>
      </c>
      <c r="J25" s="170" t="n">
        <v>0</v>
      </c>
      <c r="K25" s="170" t="n">
        <v>342</v>
      </c>
      <c r="L25" s="170" t="n">
        <v>30</v>
      </c>
      <c r="M25" s="170" t="n">
        <v>20</v>
      </c>
      <c r="N25" s="170" t="n">
        <v>28828</v>
      </c>
      <c r="O25" s="170" t="n">
        <v>10</v>
      </c>
      <c r="P25" s="59" t="inlineStr">
        <is>
          <t>local_aux</t>
        </is>
      </c>
      <c r="Q25" s="59" t="inlineStr">
        <is>
          <t>Scheduled run 22 terminal</t>
        </is>
      </c>
    </row>
    <row r="26">
      <c r="A26" s="167" t="n">
        <v>46289</v>
      </c>
      <c r="B26" s="59" t="inlineStr">
        <is>
          <t>Hoàn thành có lỗi</t>
        </is>
      </c>
      <c r="C26" s="59" t="inlineStr">
        <is>
          <t>23</t>
        </is>
      </c>
      <c r="D26" s="168" t="n">
        <v>46289.02872111111</v>
      </c>
      <c r="E26" s="168" t="n">
        <v>46289.82281957176</v>
      </c>
      <c r="F26" s="169">
        <f>IF(AND(D26&lt;&gt;"",E26&lt;&gt;""),(E26-D26)*24,"")</f>
        <v/>
      </c>
      <c r="G26" s="170" t="n">
        <v>3540</v>
      </c>
      <c r="H26" s="170" t="n">
        <v>3540</v>
      </c>
      <c r="I26" s="170" t="n">
        <v>3093</v>
      </c>
      <c r="J26" s="170" t="n">
        <v>0</v>
      </c>
      <c r="K26" s="170" t="n">
        <v>387</v>
      </c>
      <c r="L26" s="170" t="n">
        <v>40</v>
      </c>
      <c r="M26" s="170" t="n">
        <v>20</v>
      </c>
      <c r="N26" s="170" t="n">
        <v>28165</v>
      </c>
      <c r="O26" s="170" t="n">
        <v>10</v>
      </c>
      <c r="P26" s="59" t="inlineStr">
        <is>
          <t>local_aux</t>
        </is>
      </c>
      <c r="Q26" s="59" t="inlineStr">
        <is>
          <t>Scheduled run 23 terminal</t>
        </is>
      </c>
    </row>
    <row r="27">
      <c r="A27" s="167" t="n">
        <v>46290</v>
      </c>
      <c r="B27" s="59" t="inlineStr">
        <is>
          <t>Hoàn thành có lỗi</t>
        </is>
      </c>
      <c r="C27" s="59" t="inlineStr">
        <is>
          <t>24</t>
        </is>
      </c>
      <c r="D27" s="168" t="n">
        <v>46290.02340449074</v>
      </c>
      <c r="E27" s="168" t="n">
        <v>46290.91681376157</v>
      </c>
      <c r="F27" s="169">
        <f>IF(AND(D27&lt;&gt;"",E27&lt;&gt;""),(E27-D27)*24,"")</f>
        <v/>
      </c>
      <c r="G27" s="170" t="n">
        <v>3540</v>
      </c>
      <c r="H27" s="170" t="n">
        <v>3540</v>
      </c>
      <c r="I27" s="170" t="n">
        <v>3070</v>
      </c>
      <c r="J27" s="170" t="n">
        <v>0</v>
      </c>
      <c r="K27" s="170" t="n">
        <v>410</v>
      </c>
      <c r="L27" s="170" t="n">
        <v>40</v>
      </c>
      <c r="M27" s="170" t="n">
        <v>20</v>
      </c>
      <c r="N27" s="170" t="n">
        <v>27956</v>
      </c>
      <c r="O27" s="170" t="n">
        <v>10</v>
      </c>
      <c r="P27" s="59" t="inlineStr">
        <is>
          <t>local_aux</t>
        </is>
      </c>
      <c r="Q27" s="59" t="inlineStr">
        <is>
          <t>Scheduled run 24 terminal</t>
        </is>
      </c>
    </row>
    <row r="28">
      <c r="A28" s="167" t="n">
        <v>46291</v>
      </c>
      <c r="B28" s="59" t="inlineStr">
        <is>
          <t>Hoàn thành có lỗi</t>
        </is>
      </c>
      <c r="C28" s="59" t="inlineStr">
        <is>
          <t>25</t>
        </is>
      </c>
      <c r="D28" s="168" t="n">
        <v>46291.0291418287</v>
      </c>
      <c r="E28" s="168" t="n">
        <v>46292.03074357639</v>
      </c>
      <c r="F28" s="169">
        <f>IF(AND(D28&lt;&gt;"",E28&lt;&gt;""),(E28-D28)*24,"")</f>
        <v/>
      </c>
      <c r="G28" s="170" t="n">
        <v>3540</v>
      </c>
      <c r="H28" s="170" t="n">
        <v>3540</v>
      </c>
      <c r="I28" s="170" t="n">
        <v>3091</v>
      </c>
      <c r="J28" s="170" t="n">
        <v>0</v>
      </c>
      <c r="K28" s="170" t="n">
        <v>339</v>
      </c>
      <c r="L28" s="170" t="n">
        <v>90</v>
      </c>
      <c r="M28" s="170" t="n">
        <v>20</v>
      </c>
      <c r="N28" s="170" t="n">
        <v>29386</v>
      </c>
      <c r="O28" s="170" t="n">
        <v>10</v>
      </c>
      <c r="P28" s="59" t="inlineStr">
        <is>
          <t>local_aux</t>
        </is>
      </c>
      <c r="Q28" s="59" t="inlineStr">
        <is>
          <t>Scheduled run 25 terminal</t>
        </is>
      </c>
    </row>
    <row r="29">
      <c r="A29" s="167" t="n">
        <v>46292</v>
      </c>
      <c r="B29" s="59" t="inlineStr">
        <is>
          <t>Hoàn thành có lỗi</t>
        </is>
      </c>
      <c r="C29" s="59" t="inlineStr">
        <is>
          <t>26</t>
        </is>
      </c>
      <c r="D29" s="168" t="n">
        <v>46292.01198827547</v>
      </c>
      <c r="E29" s="168" t="n">
        <v>46293.2012952662</v>
      </c>
      <c r="F29" s="169">
        <f>IF(AND(D29&lt;&gt;"",E29&lt;&gt;""),(E29-D29)*24,"")</f>
        <v/>
      </c>
      <c r="G29" s="170" t="n">
        <v>3540</v>
      </c>
      <c r="H29" s="170" t="n">
        <v>3540</v>
      </c>
      <c r="I29" s="170" t="n">
        <v>3097</v>
      </c>
      <c r="J29" s="170" t="n">
        <v>0</v>
      </c>
      <c r="K29" s="170" t="n">
        <v>323</v>
      </c>
      <c r="L29" s="170" t="n">
        <v>100</v>
      </c>
      <c r="M29" s="170" t="n">
        <v>20</v>
      </c>
      <c r="N29" s="170" t="n">
        <v>29294</v>
      </c>
      <c r="O29" s="170" t="n">
        <v>10</v>
      </c>
      <c r="P29" s="59" t="inlineStr">
        <is>
          <t>local_aux</t>
        </is>
      </c>
      <c r="Q29" s="59" t="inlineStr">
        <is>
          <t>Scheduled run 26 terminal</t>
        </is>
      </c>
    </row>
    <row r="30">
      <c r="A30" s="167" t="n">
        <v>46293</v>
      </c>
      <c r="B30" s="59" t="inlineStr">
        <is>
          <t>Hoàn thành có lỗi</t>
        </is>
      </c>
      <c r="C30" s="59" t="inlineStr">
        <is>
          <t>27</t>
        </is>
      </c>
      <c r="D30" s="168" t="n"/>
      <c r="E30" s="168" t="n">
        <v>46294.5287865162</v>
      </c>
      <c r="F30" s="169">
        <f>IF(AND(D30&lt;&gt;"",E30&lt;&gt;""),(E30-D30)*24,"")</f>
        <v/>
      </c>
      <c r="G30" s="170" t="n">
        <v>3540</v>
      </c>
      <c r="H30" s="170" t="n">
        <v>3540</v>
      </c>
      <c r="I30" s="170" t="n">
        <v>3105</v>
      </c>
      <c r="J30" s="170" t="n">
        <v>0</v>
      </c>
      <c r="K30" s="170" t="n">
        <v>315</v>
      </c>
      <c r="L30" s="170" t="n">
        <v>100</v>
      </c>
      <c r="M30" s="170" t="n">
        <v>20</v>
      </c>
      <c r="N30" s="170" t="n">
        <v>29991</v>
      </c>
      <c r="O30" s="170" t="n">
        <v>10</v>
      </c>
      <c r="P30" s="59" t="inlineStr">
        <is>
          <t>local_aux</t>
        </is>
      </c>
      <c r="Q30" s="59" t="inlineStr">
        <is>
          <t>Scheduled run 27 terminal</t>
        </is>
      </c>
    </row>
    <row r="31">
      <c r="A31" s="167" t="n">
        <v>46294</v>
      </c>
      <c r="B31" s="59" t="inlineStr">
        <is>
          <t>Hoàn thành có lỗi</t>
        </is>
      </c>
      <c r="C31" s="59" t="n">
        <v>28</v>
      </c>
      <c r="D31" s="168" t="n">
        <v>46294.02076388889</v>
      </c>
      <c r="E31" s="168" t="n">
        <v>46294.74196759259</v>
      </c>
      <c r="F31" s="169">
        <f>IF(AND(D31&lt;&gt;"",E31&lt;&gt;""),(E31-D31)*24,"")</f>
        <v/>
      </c>
      <c r="G31" s="170" t="n">
        <v>3540</v>
      </c>
      <c r="H31" s="170" t="n">
        <v>3540</v>
      </c>
      <c r="I31" s="170" t="n">
        <v>3109</v>
      </c>
      <c r="J31" s="170" t="n">
        <v>0</v>
      </c>
      <c r="K31" s="170" t="n">
        <v>321</v>
      </c>
      <c r="L31" s="170" t="n">
        <v>80</v>
      </c>
      <c r="M31" s="170" t="n">
        <v>30</v>
      </c>
      <c r="N31" s="170" t="n">
        <v>29923</v>
      </c>
      <c r="O31" s="170" t="n">
        <v>10</v>
      </c>
      <c r="P31" s="59" t="inlineStr">
        <is>
          <t>local_aux_backup</t>
        </is>
      </c>
      <c r="Q31" s="59" t="inlineStr">
        <is>
          <t>Imported as run 28; SHA-256 + staging counts verified.</t>
        </is>
      </c>
    </row>
    <row r="32">
      <c r="A32" s="167" t="n">
        <v>46295</v>
      </c>
      <c r="B32" s="59" t="inlineStr">
        <is>
          <t>Hoàn thành có lỗi</t>
        </is>
      </c>
      <c r="C32" s="59" t="inlineStr">
        <is>
          <t>29</t>
        </is>
      </c>
      <c r="D32" s="168" t="n">
        <v>46295.02271898148</v>
      </c>
      <c r="E32" s="168" t="n">
        <v>46296.43926980324</v>
      </c>
      <c r="F32" s="169">
        <f>IF(AND(D32&lt;&gt;"",E32&lt;&gt;""),(E32-D32)*24,"")</f>
        <v/>
      </c>
      <c r="G32" s="170" t="n">
        <v>3540</v>
      </c>
      <c r="H32" s="170" t="n">
        <v>3540</v>
      </c>
      <c r="I32" s="170" t="n">
        <v>3111</v>
      </c>
      <c r="J32" s="170" t="n">
        <v>0</v>
      </c>
      <c r="K32" s="170" t="n">
        <v>319</v>
      </c>
      <c r="L32" s="170" t="n">
        <v>80</v>
      </c>
      <c r="M32" s="170" t="n">
        <v>30</v>
      </c>
      <c r="N32" s="170" t="n">
        <v>29571</v>
      </c>
      <c r="O32" s="170" t="n">
        <v>10</v>
      </c>
      <c r="P32" s="59" t="inlineStr">
        <is>
          <t>local_aux</t>
        </is>
      </c>
      <c r="Q32" s="59" t="inlineStr">
        <is>
          <t>Scheduled run 29 terminal</t>
        </is>
      </c>
    </row>
    <row r="33">
      <c r="A33" s="167" t="n">
        <v>46296</v>
      </c>
      <c r="B33" s="59" t="inlineStr">
        <is>
          <t>Hoàn thành có lỗi</t>
        </is>
      </c>
      <c r="C33" s="59" t="n">
        <v>30</v>
      </c>
      <c r="D33" s="168" t="n">
        <v>46296.06282407408</v>
      </c>
      <c r="E33" s="168" t="n">
        <v>46296.77693287037</v>
      </c>
      <c r="F33" s="169">
        <f>IF(AND(D33&lt;&gt;"",E33&lt;&gt;""),(E33-D33)*24,"")</f>
        <v/>
      </c>
      <c r="G33" s="170" t="n">
        <v>3540</v>
      </c>
      <c r="H33" s="170" t="n">
        <v>3540</v>
      </c>
      <c r="I33" s="170" t="n">
        <v>3093</v>
      </c>
      <c r="J33" s="170" t="n">
        <v>0</v>
      </c>
      <c r="K33" s="170" t="n">
        <v>317</v>
      </c>
      <c r="L33" s="170" t="n">
        <v>90</v>
      </c>
      <c r="M33" s="170" t="n">
        <v>40</v>
      </c>
      <c r="N33" s="170" t="n">
        <v>29357</v>
      </c>
      <c r="O33" s="170" t="n">
        <v>10</v>
      </c>
      <c r="P33" s="59" t="inlineStr">
        <is>
          <t>local_aux_backup</t>
        </is>
      </c>
      <c r="Q33" s="59" t="inlineStr">
        <is>
          <t>Imported as run 30; SHA-256 + staging counts verified.</t>
        </is>
      </c>
    </row>
    <row r="34">
      <c r="A34" s="167" t="n">
        <v>46297</v>
      </c>
      <c r="B34" s="59" t="inlineStr">
        <is>
          <t>Hoàn thành có lỗi</t>
        </is>
      </c>
      <c r="C34" s="59" t="inlineStr">
        <is>
          <t>31</t>
        </is>
      </c>
      <c r="D34" s="168" t="n">
        <v>46297.02612908565</v>
      </c>
      <c r="E34" s="168" t="n">
        <v>46297.79363894676</v>
      </c>
      <c r="F34" s="169">
        <f>IF(AND(D34&lt;&gt;"",E34&lt;&gt;""),(E34-D34)*24,"")</f>
        <v/>
      </c>
      <c r="G34" s="170" t="n">
        <v>3540</v>
      </c>
      <c r="H34" s="170" t="n">
        <v>3540</v>
      </c>
      <c r="I34" s="170" t="n">
        <v>3085</v>
      </c>
      <c r="J34" s="170" t="n">
        <v>0</v>
      </c>
      <c r="K34" s="170" t="n">
        <v>325</v>
      </c>
      <c r="L34" s="170" t="n">
        <v>90</v>
      </c>
      <c r="M34" s="170" t="n">
        <v>40</v>
      </c>
      <c r="N34" s="170" t="n">
        <v>28852</v>
      </c>
      <c r="O34" s="170" t="n">
        <v>10</v>
      </c>
      <c r="P34" s="59" t="inlineStr">
        <is>
          <t>local_aux</t>
        </is>
      </c>
      <c r="Q34" s="59" t="inlineStr">
        <is>
          <t>Scheduled run 31 terminal</t>
        </is>
      </c>
    </row>
    <row r="35">
      <c r="A35" s="167" t="n">
        <v>46298</v>
      </c>
      <c r="B35" s="59" t="inlineStr">
        <is>
          <t>Hoàn thành có lỗi</t>
        </is>
      </c>
      <c r="C35" s="59" t="inlineStr">
        <is>
          <t>32</t>
        </is>
      </c>
      <c r="D35" s="168" t="n">
        <v>46298.0224469213</v>
      </c>
      <c r="E35" s="168" t="n">
        <v>46298.77284248843</v>
      </c>
      <c r="F35" s="169">
        <f>IF(AND(D35&lt;&gt;"",E35&lt;&gt;""),(E35-D35)*24,"")</f>
        <v/>
      </c>
      <c r="G35" s="170" t="n">
        <v>3540</v>
      </c>
      <c r="H35" s="170" t="n">
        <v>3540</v>
      </c>
      <c r="I35" s="170" t="n">
        <v>3120</v>
      </c>
      <c r="J35" s="170" t="n">
        <v>0</v>
      </c>
      <c r="K35" s="170" t="n">
        <v>280</v>
      </c>
      <c r="L35" s="170" t="n">
        <v>100</v>
      </c>
      <c r="M35" s="170" t="n">
        <v>40</v>
      </c>
      <c r="N35" s="170" t="n">
        <v>29700</v>
      </c>
      <c r="O35" s="170" t="n">
        <v>10</v>
      </c>
      <c r="P35" s="59" t="inlineStr">
        <is>
          <t>local_aux</t>
        </is>
      </c>
      <c r="Q35" s="59" t="inlineStr">
        <is>
          <t>Scheduled run 32 terminal</t>
        </is>
      </c>
    </row>
    <row r="36">
      <c r="A36" s="167" t="n">
        <v>46299</v>
      </c>
      <c r="B36" s="59" t="inlineStr">
        <is>
          <t>Hoàn thành có lỗi</t>
        </is>
      </c>
      <c r="C36" s="59" t="inlineStr">
        <is>
          <t>33</t>
        </is>
      </c>
      <c r="D36" s="168" t="n">
        <v>46299.02359936343</v>
      </c>
      <c r="E36" s="168" t="n">
        <v>46299.7878555951</v>
      </c>
      <c r="F36" s="169">
        <f>IF(AND(D36&lt;&gt;"",E36&lt;&gt;""),(E36-D36)*24,"")</f>
        <v/>
      </c>
      <c r="G36" s="170" t="n">
        <v>3540</v>
      </c>
      <c r="H36" s="170" t="n">
        <v>3540</v>
      </c>
      <c r="I36" s="170" t="n">
        <v>3114</v>
      </c>
      <c r="J36" s="170" t="n">
        <v>0</v>
      </c>
      <c r="K36" s="170" t="n">
        <v>286</v>
      </c>
      <c r="L36" s="170" t="n">
        <v>100</v>
      </c>
      <c r="M36" s="170" t="n">
        <v>40</v>
      </c>
      <c r="N36" s="170" t="n">
        <v>29355</v>
      </c>
      <c r="O36" s="170" t="n">
        <v>10</v>
      </c>
      <c r="P36" s="59" t="inlineStr">
        <is>
          <t>local_aux</t>
        </is>
      </c>
      <c r="Q36" s="59" t="inlineStr">
        <is>
          <t>Scheduled run 33 terminal</t>
        </is>
      </c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2026-10-01T17:37:31Z</dcterms:created>
  <dcterms:modified xmlns:dcterms="http://purl.org/dc/terms/" xmlns:xsi="http://www.w3.org/2001/XMLSchema-instance" xsi:type="dcterms:W3CDTF">2026-10-04T11:54:31Z</dcterms:modified>
</cp:coreProperties>
</file>