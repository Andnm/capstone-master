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DAILY_CRAWL_PLAN" sheetId="2" state="visible" r:id="rId2"/>
    <sheet xmlns:r="http://schemas.openxmlformats.org/officeDocument/2006/relationships" name="CRAWL_LOG" sheetId="3" state="visible" r:id="rId3"/>
    <sheet xmlns:r="http://schemas.openxmlformats.org/officeDocument/2006/relationships" name="SLOT_RULES" sheetId="4" state="visible" r:id="rId4"/>
    <sheet xmlns:r="http://schemas.openxmlformats.org/officeDocument/2006/relationships" name="AUTOMATION_CONFIG" sheetId="5" state="visible" r:id="rId5"/>
    <sheet xmlns:r="http://schemas.openxmlformats.org/officeDocument/2006/relationships" name="README" sheetId="6" state="visible" r:id="rId6"/>
  </sheets>
  <definedNames/>
</workbook>
</file>

<file path=xl/styles.xml><?xml version="1.0" encoding="utf-8"?>
<styleSheet xmlns="http://schemas.openxmlformats.org/spreadsheetml/2006/main">
  <numFmts count="2">
    <numFmt numFmtId="164" formatCode="dd/mm/yyyy"/>
    <numFmt numFmtId="165" formatCode="dd/mm/yyyy hh:mm"/>
  </numFmts>
  <fonts count="11">
    <font>
      <name val="Carlito"/>
      <sz val="11"/>
    </font>
    <font>
      <name val="Carlito"/>
      <b val="1"/>
      <color rgb="FFFFFFFF"/>
      <sz val="11"/>
    </font>
    <font>
      <name val="Carlito"/>
      <b val="1"/>
      <color rgb="FF203040"/>
      <sz val="11"/>
    </font>
    <font>
      <name val="Carlito"/>
      <b val="1"/>
      <color rgb="FF1E7A78"/>
      <sz val="11"/>
    </font>
    <font>
      <name val="Carlito"/>
      <color rgb="FF203040"/>
      <sz val="11"/>
    </font>
    <font>
      <name val="Carlito"/>
      <b val="1"/>
      <color rgb="FFA61B1B"/>
      <sz val="11"/>
    </font>
    <font>
      <name val="Carlito"/>
      <b val="1"/>
      <color rgb="FFFFFFFF"/>
      <sz val="14"/>
    </font>
    <font>
      <name val="Carlito"/>
      <b val="1"/>
      <sz val="11"/>
    </font>
    <font>
      <name val="Carlito"/>
      <b val="1"/>
      <color rgb="FF16736F"/>
      <sz val="11"/>
    </font>
    <font>
      <name val="Carlito"/>
      <color rgb="FF27575A"/>
      <sz val="11"/>
    </font>
    <font>
      <name val="Carlito"/>
      <b val="1"/>
      <color rgb="FFC21F1F"/>
      <sz val="11"/>
    </font>
  </fonts>
  <fills count="26">
    <fill>
      <patternFill/>
    </fill>
    <fill>
      <patternFill patternType="gray125"/>
    </fill>
    <fill>
      <patternFill patternType="solid">
        <fgColor rgb="FF17324D"/>
      </patternFill>
    </fill>
    <fill>
      <patternFill patternType="solid">
        <fgColor rgb="FF1E7A78"/>
      </patternFill>
    </fill>
    <fill>
      <patternFill patternType="solid">
        <fgColor rgb="FFEEF2F5"/>
      </patternFill>
    </fill>
    <fill>
      <patternFill patternType="solid">
        <fgColor rgb="FFDDF1EF"/>
      </patternFill>
    </fill>
    <fill>
      <patternFill patternType="solid">
        <fgColor rgb="FFE8F1FB"/>
      </patternFill>
    </fill>
    <fill>
      <patternFill patternType="solid">
        <fgColor rgb="FFFFF0D9"/>
      </patternFill>
    </fill>
    <fill>
      <patternFill patternType="solid">
        <fgColor rgb="FFFFF8D9"/>
      </patternFill>
    </fill>
    <fill>
      <patternFill patternType="solid">
        <fgColor rgb="FFFDE2E2"/>
      </patternFill>
    </fill>
    <fill>
      <patternFill patternType="solid">
        <fgColor rgb="FF173754"/>
      </patternFill>
    </fill>
    <fill>
      <patternFill patternType="solid">
        <fgColor rgb="FF218582"/>
      </patternFill>
    </fill>
    <fill>
      <patternFill patternType="solid">
        <fgColor rgb="FFE8EDF1"/>
      </patternFill>
    </fill>
    <fill>
      <patternFill patternType="solid">
        <fgColor rgb="FFD8F0EE"/>
      </patternFill>
    </fill>
    <fill>
      <patternFill patternType="solid">
        <fgColor rgb="FFE7F1FB"/>
      </patternFill>
    </fill>
    <fill>
      <patternFill patternType="solid">
        <fgColor rgb="FFFFF1D6"/>
      </patternFill>
    </fill>
    <fill>
      <patternFill patternType="solid">
        <fgColor rgb="FFFFF8DC"/>
      </patternFill>
    </fill>
    <fill>
      <patternFill patternType="solid">
        <fgColor rgb="FFFFE2E2"/>
      </patternFill>
    </fill>
    <fill>
      <patternFill patternType="solid">
        <fgColor rgb="FF173754"/>
      </patternFill>
    </fill>
    <fill>
      <patternFill patternType="solid">
        <fgColor rgb="FF218582"/>
      </patternFill>
    </fill>
    <fill>
      <patternFill patternType="solid">
        <fgColor rgb="FFE8EDF1"/>
      </patternFill>
    </fill>
    <fill>
      <patternFill patternType="solid">
        <fgColor rgb="FFD8F0EE"/>
      </patternFill>
    </fill>
    <fill>
      <patternFill patternType="solid">
        <fgColor rgb="FFE7F1FB"/>
      </patternFill>
    </fill>
    <fill>
      <patternFill patternType="solid">
        <fgColor rgb="FFFFF1D6"/>
      </patternFill>
    </fill>
    <fill>
      <patternFill patternType="solid">
        <fgColor rgb="FFFFF8DC"/>
      </patternFill>
    </fill>
    <fill>
      <patternFill patternType="solid">
        <fgColor rgb="FFFFE2E2"/>
      </patternFill>
    </fill>
  </fills>
  <borders count="15">
    <border/>
    <border>
      <left style="thin">
        <color rgb="FFCBD5DF"/>
      </left>
      <top style="thin">
        <color rgb="FFCBD5DF"/>
      </top>
      <bottom style="thin">
        <color rgb="FFCBD5DF"/>
      </bottom>
    </border>
    <border>
      <right style="thin">
        <color rgb="FFCBD5DF"/>
      </right>
      <top style="thin">
        <color rgb="FFCBD5DF"/>
      </top>
      <bottom style="thin">
        <color rgb="FFCBD5DF"/>
      </bottom>
    </border>
    <border>
      <left style="thin">
        <color rgb="FFCBD5DF"/>
      </left>
    </border>
    <border>
      <right style="thin">
        <color rgb="FFCBD5DF"/>
      </right>
    </border>
    <border>
      <left style="thin">
        <color rgb="FFCBD5DF"/>
      </left>
      <bottom style="thin">
        <color rgb="FFCBD5DF"/>
      </bottom>
    </border>
    <border>
      <right style="thin">
        <color rgb="FFCBD5DF"/>
      </right>
      <bottom style="thin">
        <color rgb="FFCBD5DF"/>
      </bottom>
    </border>
    <border>
      <top style="thin">
        <color rgb="FFCBD5DF"/>
      </top>
      <bottom style="thin">
        <color rgb="FFCBD5DF"/>
      </bottom>
    </border>
    <border>
      <bottom style="thin">
        <color rgb="FFCBD5DF"/>
      </bottom>
    </border>
    <border>
      <left style="thin">
        <color rgb="FFC7D4DF"/>
      </left>
      <top style="thin">
        <color rgb="FFC7D4DF"/>
      </top>
    </border>
    <border>
      <right style="thin">
        <color rgb="FFC7D4DF"/>
      </right>
      <top style="thin">
        <color rgb="FFC7D4DF"/>
      </top>
    </border>
    <border>
      <left style="thin">
        <color rgb="FFC7D4DF"/>
      </left>
    </border>
    <border>
      <right style="thin">
        <color rgb="FFC7D4DF"/>
      </right>
    </border>
    <border>
      <left style="thin">
        <color rgb="FFC7D4DF"/>
      </left>
      <bottom style="thin">
        <color rgb="FFC7D4DF"/>
      </bottom>
    </border>
    <border>
      <right style="thin">
        <color rgb="FFC7D4DF"/>
      </right>
      <bottom style="thin">
        <color rgb="FFC7D4DF"/>
      </bottom>
    </border>
  </borders>
  <cellStyleXfs count="1">
    <xf numFmtId="0" fontId="0" fillId="0" borderId="0"/>
  </cellStyleXfs>
  <cellXfs count="185">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3" borderId="0" pivotButton="0" quotePrefix="0" xfId="0"/>
    <xf numFmtId="0" fontId="1" fillId="3" borderId="0" pivotButton="0" quotePrefix="0" xfId="0"/>
    <xf numFmtId="0" fontId="1" fillId="3" borderId="1" pivotButton="0" quotePrefix="0" xfId="0"/>
    <xf numFmtId="0" fontId="1" fillId="3" borderId="2" pivotButton="0" quotePrefix="0" xfId="0"/>
    <xf numFmtId="0" fontId="1" fillId="3" borderId="1" applyAlignment="1" pivotButton="0" quotePrefix="0" xfId="0">
      <alignment wrapText="1"/>
    </xf>
    <xf numFmtId="0" fontId="1" fillId="3" borderId="2" applyAlignment="1" pivotButton="0" quotePrefix="0" xfId="0">
      <alignment wrapText="1"/>
    </xf>
    <xf numFmtId="0" fontId="1" fillId="3" borderId="1" applyAlignment="1" pivotButton="0" quotePrefix="0" xfId="0">
      <alignment horizontal="center" wrapText="1"/>
    </xf>
    <xf numFmtId="0" fontId="1" fillId="3" borderId="2" applyAlignment="1" pivotButton="0" quotePrefix="0" xfId="0">
      <alignment horizontal="center" wrapText="1"/>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164" fontId="0" fillId="0" borderId="0" pivotButton="0" quotePrefix="0" xfId="0"/>
    <xf numFmtId="0" fontId="0" fillId="4" borderId="0" pivotButton="0" quotePrefix="0" xfId="0"/>
    <xf numFmtId="0" fontId="2" fillId="4" borderId="0" pivotButton="0" quotePrefix="0" xfId="0"/>
    <xf numFmtId="0" fontId="2" fillId="4" borderId="3" pivotButton="0" quotePrefix="0" xfId="0"/>
    <xf numFmtId="164" fontId="0" fillId="0" borderId="4" pivotButton="0" quotePrefix="0" xfId="0"/>
    <xf numFmtId="0" fontId="0" fillId="0" borderId="4" pivotButton="0" quotePrefix="0" xfId="0"/>
    <xf numFmtId="0" fontId="2" fillId="4" borderId="5" pivotButton="0" quotePrefix="0" xfId="0"/>
    <xf numFmtId="0" fontId="0" fillId="0" borderId="6" pivotButton="0" quotePrefix="0" xfId="0"/>
    <xf numFmtId="0" fontId="0" fillId="0" borderId="3" pivotButton="0" quotePrefix="0" xfId="0"/>
    <xf numFmtId="0" fontId="0" fillId="0" borderId="5" pivotButton="0" quotePrefix="0" xfId="0"/>
    <xf numFmtId="0" fontId="0" fillId="5" borderId="0" pivotButton="0" quotePrefix="0" xfId="0"/>
    <xf numFmtId="0" fontId="3" fillId="5" borderId="0" pivotButton="0" quotePrefix="0" xfId="0"/>
    <xf numFmtId="0" fontId="3" fillId="5" borderId="0" applyAlignment="1" pivotButton="0" quotePrefix="0" xfId="0">
      <alignment wrapText="1"/>
    </xf>
    <xf numFmtId="0" fontId="4" fillId="5" borderId="0" pivotButton="0" quotePrefix="0" xfId="0"/>
    <xf numFmtId="0" fontId="4" fillId="5" borderId="0" applyAlignment="1" pivotButton="0" quotePrefix="0" xfId="0">
      <alignment wrapText="1"/>
    </xf>
    <xf numFmtId="0" fontId="1" fillId="3" borderId="7" pivotButton="0" quotePrefix="0" xfId="0"/>
    <xf numFmtId="0" fontId="1" fillId="3" borderId="7" applyAlignment="1" pivotButton="0" quotePrefix="0" xfId="0">
      <alignment wrapText="1"/>
    </xf>
    <xf numFmtId="0" fontId="1" fillId="3" borderId="7" applyAlignment="1" pivotButton="0" quotePrefix="0" xfId="0">
      <alignment horizontal="center" wrapText="1"/>
    </xf>
    <xf numFmtId="0" fontId="1" fillId="3" borderId="7" applyAlignment="1" pivotButton="0" quotePrefix="0" xfId="0">
      <alignment horizontal="center" vertical="center" wrapText="1"/>
    </xf>
    <xf numFmtId="164" fontId="0" fillId="6" borderId="0" pivotButton="0" quotePrefix="0" xfId="0"/>
    <xf numFmtId="164" fontId="0" fillId="7" borderId="0" pivotButton="0" quotePrefix="0" xfId="0"/>
    <xf numFmtId="164" fontId="0" fillId="0" borderId="0" applyAlignment="1" pivotButton="0" quotePrefix="0" xfId="0">
      <alignment vertical="center"/>
    </xf>
    <xf numFmtId="0" fontId="0" fillId="0" borderId="0" applyAlignment="1" pivotButton="0" quotePrefix="0" xfId="0">
      <alignment vertical="center"/>
    </xf>
    <xf numFmtId="164" fontId="0" fillId="6" borderId="0" applyAlignment="1" pivotButton="0" quotePrefix="0" xfId="0">
      <alignment vertical="center"/>
    </xf>
    <xf numFmtId="164" fontId="0" fillId="7" borderId="0" applyAlignment="1" pivotButton="0" quotePrefix="0" xfId="0">
      <alignment vertical="center"/>
    </xf>
    <xf numFmtId="164" fontId="0" fillId="0" borderId="0" applyAlignment="1" pivotButton="0" quotePrefix="0" xfId="0">
      <alignment horizontal="center" vertical="center"/>
    </xf>
    <xf numFmtId="0" fontId="0" fillId="0" borderId="0" applyAlignment="1" pivotButton="0" quotePrefix="0" xfId="0">
      <alignment horizontal="center" vertical="center"/>
    </xf>
    <xf numFmtId="164" fontId="0" fillId="6" borderId="0" applyAlignment="1" pivotButton="0" quotePrefix="0" xfId="0">
      <alignment horizontal="center" vertical="center"/>
    </xf>
    <xf numFmtId="164" fontId="0" fillId="7" borderId="0" applyAlignment="1" pivotButton="0" quotePrefix="0" xfId="0">
      <alignment horizontal="center" vertical="center"/>
    </xf>
    <xf numFmtId="0" fontId="0" fillId="0" borderId="0" applyAlignment="1" pivotButton="0" quotePrefix="0" xfId="0">
      <alignment vertical="center" wrapText="1"/>
    </xf>
    <xf numFmtId="164" fontId="0" fillId="0" borderId="3" applyAlignment="1" pivotButton="0" quotePrefix="0" xfId="0">
      <alignment horizontal="center" vertical="center"/>
    </xf>
    <xf numFmtId="0" fontId="0" fillId="0" borderId="4" applyAlignment="1" pivotButton="0" quotePrefix="0" xfId="0">
      <alignment vertical="center" wrapText="1"/>
    </xf>
    <xf numFmtId="164" fontId="0" fillId="0" borderId="5" applyAlignment="1" pivotButton="0" quotePrefix="0" xfId="0">
      <alignment horizontal="center" vertical="center"/>
    </xf>
    <xf numFmtId="0" fontId="0" fillId="0" borderId="8" applyAlignment="1" pivotButton="0" quotePrefix="0" xfId="0">
      <alignment horizontal="center" vertical="center"/>
    </xf>
    <xf numFmtId="164" fontId="0" fillId="6" borderId="8" applyAlignment="1" pivotButton="0" quotePrefix="0" xfId="0">
      <alignment horizontal="center" vertical="center"/>
    </xf>
    <xf numFmtId="164" fontId="0" fillId="7" borderId="8" applyAlignment="1" pivotButton="0" quotePrefix="0" xfId="0">
      <alignment horizontal="center" vertical="center"/>
    </xf>
    <xf numFmtId="0" fontId="0" fillId="0" borderId="8" applyAlignment="1" pivotButton="0" quotePrefix="0" xfId="0">
      <alignment vertical="center" wrapText="1"/>
    </xf>
    <xf numFmtId="0" fontId="0" fillId="0" borderId="6" applyAlignment="1" pivotButton="0" quotePrefix="0" xfId="0">
      <alignment vertical="center" wrapText="1"/>
    </xf>
    <xf numFmtId="165" fontId="0" fillId="0" borderId="0" pivotButton="0" quotePrefix="0" xfId="0"/>
    <xf numFmtId="2" fontId="0" fillId="0" borderId="0" pivotButton="0" quotePrefix="0" xfId="0"/>
    <xf numFmtId="3" fontId="0" fillId="0" borderId="0" pivotButton="0" quotePrefix="0" xfId="0"/>
    <xf numFmtId="164" fontId="0" fillId="0" borderId="3" pivotButton="0" quotePrefix="0" xfId="0"/>
    <xf numFmtId="0" fontId="0" fillId="0" borderId="0" pivotButton="0" quotePrefix="0" xfId="0"/>
    <xf numFmtId="164" fontId="0" fillId="0" borderId="5" pivotButton="0" quotePrefix="0" xfId="0"/>
    <xf numFmtId="0" fontId="0" fillId="0" borderId="8" pivotButton="0" quotePrefix="0" xfId="0"/>
    <xf numFmtId="165" fontId="0" fillId="0" borderId="8" pivotButton="0" quotePrefix="0" xfId="0"/>
    <xf numFmtId="2" fontId="0" fillId="0" borderId="8" pivotButton="0" quotePrefix="0" xfId="0"/>
    <xf numFmtId="3" fontId="0" fillId="0" borderId="8" pivotButton="0" quotePrefix="0" xfId="0"/>
    <xf numFmtId="0" fontId="0" fillId="6" borderId="0" pivotButton="0" quotePrefix="0" xfId="0"/>
    <xf numFmtId="0" fontId="0" fillId="7" borderId="0" pivotButton="0" quotePrefix="0" xfId="0"/>
    <xf numFmtId="0" fontId="0" fillId="6" borderId="0" applyAlignment="1" pivotButton="0" quotePrefix="0" xfId="0">
      <alignment wrapText="1"/>
    </xf>
    <xf numFmtId="164" fontId="0" fillId="6" borderId="0" applyAlignment="1" pivotButton="0" quotePrefix="0" xfId="0">
      <alignment wrapText="1"/>
    </xf>
    <xf numFmtId="0" fontId="0" fillId="7" borderId="0" applyAlignment="1" pivotButton="0" quotePrefix="0" xfId="0">
      <alignment wrapText="1"/>
    </xf>
    <xf numFmtId="164" fontId="0" fillId="7" borderId="0" applyAlignment="1" pivotButton="0" quotePrefix="0" xfId="0">
      <alignment wrapText="1"/>
    </xf>
    <xf numFmtId="0" fontId="0" fillId="6" borderId="0" applyAlignment="1" pivotButton="0" quotePrefix="0" xfId="0">
      <alignment vertical="center" wrapText="1"/>
    </xf>
    <xf numFmtId="164" fontId="0" fillId="6" borderId="0" applyAlignment="1" pivotButton="0" quotePrefix="0" xfId="0">
      <alignment vertical="center" wrapText="1"/>
    </xf>
    <xf numFmtId="0" fontId="0" fillId="7" borderId="0" applyAlignment="1" pivotButton="0" quotePrefix="0" xfId="0">
      <alignment vertical="center" wrapText="1"/>
    </xf>
    <xf numFmtId="164" fontId="0" fillId="7" borderId="0" applyAlignment="1" pivotButton="0" quotePrefix="0" xfId="0">
      <alignment vertical="center" wrapText="1"/>
    </xf>
    <xf numFmtId="0" fontId="0" fillId="6" borderId="3" applyAlignment="1" pivotButton="0" quotePrefix="0" xfId="0">
      <alignment vertical="center" wrapText="1"/>
    </xf>
    <xf numFmtId="0" fontId="0" fillId="6" borderId="4" applyAlignment="1" pivotButton="0" quotePrefix="0" xfId="0">
      <alignment vertical="center" wrapText="1"/>
    </xf>
    <xf numFmtId="0" fontId="0" fillId="7" borderId="3" applyAlignment="1" pivotButton="0" quotePrefix="0" xfId="0">
      <alignment vertical="center" wrapText="1"/>
    </xf>
    <xf numFmtId="0" fontId="0" fillId="7" borderId="4" applyAlignment="1" pivotButton="0" quotePrefix="0" xfId="0">
      <alignment vertical="center" wrapText="1"/>
    </xf>
    <xf numFmtId="0" fontId="0" fillId="7" borderId="5" applyAlignment="1" pivotButton="0" quotePrefix="0" xfId="0">
      <alignment vertical="center" wrapText="1"/>
    </xf>
    <xf numFmtId="0" fontId="0" fillId="7" borderId="8" applyAlignment="1" pivotButton="0" quotePrefix="0" xfId="0">
      <alignment vertical="center" wrapText="1"/>
    </xf>
    <xf numFmtId="164" fontId="0" fillId="7" borderId="8" applyAlignment="1" pivotButton="0" quotePrefix="0" xfId="0">
      <alignment vertical="center" wrapText="1"/>
    </xf>
    <xf numFmtId="0" fontId="0" fillId="7" borderId="6" applyAlignment="1" pivotButton="0" quotePrefix="0" xfId="0">
      <alignment vertical="center" wrapText="1"/>
    </xf>
    <xf numFmtId="0" fontId="0" fillId="0" borderId="0" pivotButton="0" quotePrefix="0" xfId="0"/>
    <xf numFmtId="0" fontId="0" fillId="0" borderId="6" pivotButton="0" quotePrefix="0" xfId="0"/>
    <xf numFmtId="0" fontId="0" fillId="8" borderId="0" pivotButton="0" quotePrefix="0" xfId="0"/>
    <xf numFmtId="0" fontId="4" fillId="8" borderId="0" pivotButton="0" quotePrefix="0" xfId="0"/>
    <xf numFmtId="0" fontId="4" fillId="8" borderId="0" applyAlignment="1" pivotButton="0" quotePrefix="0" xfId="0">
      <alignment wrapText="1"/>
    </xf>
    <xf numFmtId="0" fontId="4" fillId="8" borderId="0"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0" fillId="0" borderId="3" applyAlignment="1" pivotButton="0" quotePrefix="0" xfId="0">
      <alignment vertical="top" wrapText="1"/>
    </xf>
    <xf numFmtId="0" fontId="0" fillId="0" borderId="4" applyAlignment="1" pivotButton="0" quotePrefix="0" xfId="0">
      <alignment vertical="top" wrapText="1"/>
    </xf>
    <xf numFmtId="0" fontId="0" fillId="0" borderId="5" applyAlignment="1" pivotButton="0" quotePrefix="0" xfId="0">
      <alignment vertical="top" wrapText="1"/>
    </xf>
    <xf numFmtId="0" fontId="0" fillId="0" borderId="8" applyAlignment="1" pivotButton="0" quotePrefix="0" xfId="0">
      <alignment vertical="top" wrapText="1"/>
    </xf>
    <xf numFmtId="0" fontId="0" fillId="0" borderId="6" applyAlignment="1" pivotButton="0" quotePrefix="0" xfId="0">
      <alignment vertical="top" wrapText="1"/>
    </xf>
    <xf numFmtId="0" fontId="0" fillId="9" borderId="0" pivotButton="0" quotePrefix="0" xfId="0"/>
    <xf numFmtId="0" fontId="5" fillId="9" borderId="0" pivotButton="0" quotePrefix="0" xfId="0"/>
    <xf numFmtId="0" fontId="5" fillId="9" borderId="0" applyAlignment="1" pivotButton="0" quotePrefix="0" xfId="0">
      <alignment wrapText="1"/>
    </xf>
    <xf numFmtId="0" fontId="0" fillId="10" borderId="0" pivotButton="0" quotePrefix="0" xfId="0"/>
    <xf numFmtId="0" fontId="6" fillId="10" borderId="0" pivotButton="0" quotePrefix="0" xfId="0"/>
    <xf numFmtId="0" fontId="6" fillId="10" borderId="0" applyAlignment="1" pivotButton="0" quotePrefix="0" xfId="0">
      <alignment horizontal="left"/>
    </xf>
    <xf numFmtId="0" fontId="6" fillId="10" borderId="0" applyAlignment="1" pivotButton="0" quotePrefix="0" xfId="0">
      <alignment horizontal="left" vertical="center"/>
    </xf>
    <xf numFmtId="0" fontId="0" fillId="11" borderId="0" pivotButton="0" quotePrefix="0" xfId="0"/>
    <xf numFmtId="0" fontId="1" fillId="11" borderId="0" pivotButton="0" quotePrefix="0" xfId="0"/>
    <xf numFmtId="0" fontId="1" fillId="11" borderId="0" applyAlignment="1" pivotButton="0" quotePrefix="0" xfId="0">
      <alignment wrapText="1"/>
    </xf>
    <xf numFmtId="0" fontId="1" fillId="11" borderId="0" applyAlignment="1" pivotButton="0" quotePrefix="0" xfId="0">
      <alignment horizontal="center" wrapText="1"/>
    </xf>
    <xf numFmtId="0" fontId="1" fillId="11" borderId="0" applyAlignment="1" pivotButton="0" quotePrefix="0" xfId="0">
      <alignment horizontal="center" vertical="center" wrapText="1"/>
    </xf>
    <xf numFmtId="0" fontId="0" fillId="12" borderId="0" pivotButton="0" quotePrefix="0" xfId="0"/>
    <xf numFmtId="0" fontId="7" fillId="12" borderId="0" pivotButton="0" quotePrefix="0" xfId="0"/>
    <xf numFmtId="0" fontId="1" fillId="11" borderId="9" applyAlignment="1" pivotButton="0" quotePrefix="0" xfId="0">
      <alignment horizontal="center" vertical="center" wrapText="1"/>
    </xf>
    <xf numFmtId="0" fontId="1" fillId="11" borderId="10" applyAlignment="1" pivotButton="0" quotePrefix="0" xfId="0">
      <alignment horizontal="center" vertical="center" wrapText="1"/>
    </xf>
    <xf numFmtId="0" fontId="7" fillId="12" borderId="11" pivotButton="0" quotePrefix="0" xfId="0"/>
    <xf numFmtId="0" fontId="0" fillId="0" borderId="12" pivotButton="0" quotePrefix="0" xfId="0"/>
    <xf numFmtId="0" fontId="7" fillId="12" borderId="13" pivotButton="0" quotePrefix="0" xfId="0"/>
    <xf numFmtId="0" fontId="0" fillId="0" borderId="14" pivotButton="0" quotePrefix="0" xfId="0"/>
    <xf numFmtId="0" fontId="0" fillId="0" borderId="11" pivotButton="0" quotePrefix="0" xfId="0"/>
    <xf numFmtId="0" fontId="0" fillId="0" borderId="13" pivotButton="0" quotePrefix="0" xfId="0"/>
    <xf numFmtId="164" fontId="0" fillId="0" borderId="12" pivotButton="0" quotePrefix="0" xfId="0"/>
    <xf numFmtId="1" fontId="0" fillId="0" borderId="12" pivotButton="0" quotePrefix="0" xfId="0"/>
    <xf numFmtId="1" fontId="0" fillId="0" borderId="14" pivotButton="0" quotePrefix="0" xfId="0"/>
    <xf numFmtId="0" fontId="0" fillId="13" borderId="0" pivotButton="0" quotePrefix="0" xfId="0"/>
    <xf numFmtId="0" fontId="8" fillId="13" borderId="0" pivotButton="0" quotePrefix="0" xfId="0"/>
    <xf numFmtId="0" fontId="8" fillId="13" borderId="0" applyAlignment="1" pivotButton="0" quotePrefix="0" xfId="0">
      <alignment wrapText="1"/>
    </xf>
    <xf numFmtId="0" fontId="9" fillId="13" borderId="0" pivotButton="0" quotePrefix="0" xfId="0"/>
    <xf numFmtId="0" fontId="9" fillId="13" borderId="0" applyAlignment="1" pivotButton="0" quotePrefix="0" xfId="0">
      <alignment wrapText="1"/>
    </xf>
    <xf numFmtId="164" fontId="0" fillId="14" borderId="0" pivotButton="0" quotePrefix="0" xfId="0"/>
    <xf numFmtId="164" fontId="0" fillId="15" borderId="0" pivotButton="0" quotePrefix="0" xfId="0"/>
    <xf numFmtId="0" fontId="0" fillId="0" borderId="0" applyAlignment="1" pivotButton="0" quotePrefix="0" xfId="0">
      <alignment horizontal="center"/>
    </xf>
    <xf numFmtId="1" fontId="0" fillId="0" borderId="0" pivotButton="0" quotePrefix="0" xfId="0"/>
    <xf numFmtId="0" fontId="0" fillId="14" borderId="0" pivotButton="0" quotePrefix="0" xfId="0"/>
    <xf numFmtId="0" fontId="0" fillId="15" borderId="0" pivotButton="0" quotePrefix="0" xfId="0"/>
    <xf numFmtId="0" fontId="0" fillId="14" borderId="0" applyAlignment="1" pivotButton="0" quotePrefix="0" xfId="0">
      <alignment wrapText="1"/>
    </xf>
    <xf numFmtId="164" fontId="0" fillId="14" borderId="0" applyAlignment="1" pivotButton="0" quotePrefix="0" xfId="0">
      <alignment wrapText="1"/>
    </xf>
    <xf numFmtId="0" fontId="0" fillId="15" borderId="0" applyAlignment="1" pivotButton="0" quotePrefix="0" xfId="0">
      <alignment wrapText="1"/>
    </xf>
    <xf numFmtId="164" fontId="0" fillId="15" borderId="0" applyAlignment="1" pivotButton="0" quotePrefix="0" xfId="0">
      <alignment wrapText="1"/>
    </xf>
    <xf numFmtId="0" fontId="0" fillId="16" borderId="0" pivotButton="0" quotePrefix="0" xfId="0"/>
    <xf numFmtId="0" fontId="0" fillId="16" borderId="0" applyAlignment="1" pivotButton="0" quotePrefix="0" xfId="0">
      <alignment wrapText="1"/>
    </xf>
    <xf numFmtId="0" fontId="0" fillId="16" borderId="0" applyAlignment="1" pivotButton="0" quotePrefix="0" xfId="0">
      <alignment vertical="top" wrapText="1"/>
    </xf>
    <xf numFmtId="0" fontId="0" fillId="0" borderId="0" applyAlignment="1" pivotButton="0" quotePrefix="0" xfId="0">
      <alignment horizontal="center" wrapText="1"/>
    </xf>
    <xf numFmtId="0" fontId="0" fillId="17" borderId="0" pivotButton="0" quotePrefix="0" xfId="0"/>
    <xf numFmtId="0" fontId="10" fillId="17" borderId="0" pivotButton="0" quotePrefix="0" xfId="0"/>
    <xf numFmtId="0" fontId="10" fillId="17" borderId="0" applyAlignment="1" pivotButton="0" quotePrefix="0" xfId="0">
      <alignment wrapText="1"/>
    </xf>
    <xf numFmtId="0" fontId="0" fillId="18" borderId="0" pivotButton="0" quotePrefix="0" xfId="0"/>
    <xf numFmtId="0" fontId="6" fillId="18" borderId="0" pivotButton="0" quotePrefix="0" xfId="0"/>
    <xf numFmtId="0" fontId="6" fillId="18" borderId="0" applyAlignment="1" pivotButton="0" quotePrefix="0" xfId="0">
      <alignment horizontal="left"/>
    </xf>
    <xf numFmtId="0" fontId="6" fillId="18" borderId="0" applyAlignment="1" pivotButton="0" quotePrefix="0" xfId="0">
      <alignment horizontal="left" vertical="center"/>
    </xf>
    <xf numFmtId="0" fontId="0" fillId="19" borderId="0" pivotButton="0" quotePrefix="0" xfId="0"/>
    <xf numFmtId="0" fontId="1" fillId="19" borderId="0" pivotButton="0" quotePrefix="0" xfId="0"/>
    <xf numFmtId="0" fontId="1" fillId="19" borderId="0" applyAlignment="1" pivotButton="0" quotePrefix="0" xfId="0">
      <alignment wrapText="1"/>
    </xf>
    <xf numFmtId="0" fontId="1" fillId="19" borderId="0" applyAlignment="1" pivotButton="0" quotePrefix="0" xfId="0">
      <alignment horizontal="center" wrapText="1"/>
    </xf>
    <xf numFmtId="0" fontId="1" fillId="19" borderId="0" applyAlignment="1" pivotButton="0" quotePrefix="0" xfId="0">
      <alignment horizontal="center" vertical="center" wrapText="1"/>
    </xf>
    <xf numFmtId="0" fontId="0" fillId="20" borderId="0" pivotButton="0" quotePrefix="0" xfId="0"/>
    <xf numFmtId="0" fontId="7" fillId="20" borderId="0" pivotButton="0" quotePrefix="0" xfId="0"/>
    <xf numFmtId="0" fontId="1" fillId="19" borderId="9" applyAlignment="1" pivotButton="0" quotePrefix="0" xfId="0">
      <alignment horizontal="center" vertical="center" wrapText="1"/>
    </xf>
    <xf numFmtId="0" fontId="1" fillId="19" borderId="10" applyAlignment="1" pivotButton="0" quotePrefix="0" xfId="0">
      <alignment horizontal="center" vertical="center" wrapText="1"/>
    </xf>
    <xf numFmtId="0" fontId="7" fillId="20" borderId="11" pivotButton="0" quotePrefix="0" xfId="0"/>
    <xf numFmtId="0" fontId="7" fillId="20" borderId="13" pivotButton="0" quotePrefix="0" xfId="0"/>
    <xf numFmtId="0" fontId="0" fillId="21" borderId="0" pivotButton="0" quotePrefix="0" xfId="0"/>
    <xf numFmtId="0" fontId="8" fillId="21" borderId="0" pivotButton="0" quotePrefix="0" xfId="0"/>
    <xf numFmtId="0" fontId="8" fillId="21" borderId="0" applyAlignment="1" pivotButton="0" quotePrefix="0" xfId="0">
      <alignment wrapText="1"/>
    </xf>
    <xf numFmtId="0" fontId="9" fillId="21" borderId="0" pivotButton="0" quotePrefix="0" xfId="0"/>
    <xf numFmtId="0" fontId="9" fillId="21" borderId="0" applyAlignment="1" pivotButton="0" quotePrefix="0" xfId="0">
      <alignment wrapText="1"/>
    </xf>
    <xf numFmtId="164" fontId="0" fillId="22" borderId="0" pivotButton="0" quotePrefix="0" xfId="0"/>
    <xf numFmtId="164" fontId="0" fillId="23" borderId="0" pivotButton="0" quotePrefix="0" xfId="0"/>
    <xf numFmtId="0" fontId="0" fillId="22" borderId="0" pivotButton="0" quotePrefix="0" xfId="0"/>
    <xf numFmtId="0" fontId="0" fillId="23" borderId="0" pivotButton="0" quotePrefix="0" xfId="0"/>
    <xf numFmtId="0" fontId="0" fillId="22" borderId="0" applyAlignment="1" pivotButton="0" quotePrefix="0" xfId="0">
      <alignment wrapText="1"/>
    </xf>
    <xf numFmtId="164" fontId="0" fillId="22" borderId="0" applyAlignment="1" pivotButton="0" quotePrefix="0" xfId="0">
      <alignment wrapText="1"/>
    </xf>
    <xf numFmtId="0" fontId="0" fillId="23" borderId="0" applyAlignment="1" pivotButton="0" quotePrefix="0" xfId="0">
      <alignment wrapText="1"/>
    </xf>
    <xf numFmtId="164" fontId="0" fillId="23" borderId="0" applyAlignment="1" pivotButton="0" quotePrefix="0" xfId="0">
      <alignment wrapText="1"/>
    </xf>
    <xf numFmtId="0" fontId="0" fillId="24" borderId="0" pivotButton="0" quotePrefix="0" xfId="0"/>
    <xf numFmtId="0" fontId="0" fillId="24" borderId="0" applyAlignment="1" pivotButton="0" quotePrefix="0" xfId="0">
      <alignment wrapText="1"/>
    </xf>
    <xf numFmtId="0" fontId="0" fillId="24" borderId="0" applyAlignment="1" pivotButton="0" quotePrefix="0" xfId="0">
      <alignment vertical="top" wrapText="1"/>
    </xf>
    <xf numFmtId="0" fontId="0" fillId="25" borderId="0" pivotButton="0" quotePrefix="0" xfId="0"/>
    <xf numFmtId="0" fontId="10" fillId="25" borderId="0" pivotButton="0" quotePrefix="0" xfId="0"/>
    <xf numFmtId="0" fontId="10" fillId="25" borderId="0" applyAlignment="1" pivotButton="0" quotePrefix="0" xfId="0">
      <alignment wrapText="1"/>
    </xf>
    <xf numFmtId="164" fontId="0" fillId="0" borderId="12" pivotButton="0" quotePrefix="0" xfId="0"/>
    <xf numFmtId="1" fontId="0" fillId="0" borderId="12" pivotButton="0" quotePrefix="0" xfId="0"/>
    <xf numFmtId="1" fontId="0" fillId="0" borderId="14" pivotButton="0" quotePrefix="0" xfId="0"/>
    <xf numFmtId="164" fontId="0" fillId="0" borderId="0" pivotButton="0" quotePrefix="0" xfId="0"/>
    <xf numFmtId="164" fontId="0" fillId="22" borderId="0" pivotButton="0" quotePrefix="0" xfId="0"/>
    <xf numFmtId="164" fontId="0" fillId="23" borderId="0" pivotButton="0" quotePrefix="0" xfId="0"/>
    <xf numFmtId="165" fontId="0" fillId="0" borderId="0" pivotButton="0" quotePrefix="0" xfId="0"/>
    <xf numFmtId="2" fontId="0" fillId="0" borderId="0" pivotButton="0" quotePrefix="0" xfId="0"/>
    <xf numFmtId="1" fontId="0" fillId="0" borderId="0" pivotButton="0" quotePrefix="0" xfId="0"/>
    <xf numFmtId="164" fontId="0" fillId="22" borderId="0" applyAlignment="1" pivotButton="0" quotePrefix="0" xfId="0">
      <alignment wrapText="1"/>
    </xf>
    <xf numFmtId="164" fontId="0" fillId="23" borderId="0" applyAlignment="1" pivotButton="0" quotePrefix="0" xfId="0">
      <alignment wrapText="1"/>
    </xf>
  </cellXfs>
  <cellStyles count="1">
    <cellStyle name="Normal" xfId="0"/>
  </cellStyles>
  <dxfs count="6">
    <dxf>
      <font>
        <b val="1"/>
        <color rgb="FF176B3A"/>
      </font>
      <fill>
        <patternFill>
          <bgColor rgb="FFE4F4E8"/>
        </patternFill>
      </fill>
    </dxf>
    <dxf>
      <font>
        <b val="1"/>
        <color rgb="FF8A5A00"/>
      </font>
      <fill>
        <patternFill>
          <bgColor rgb="FFFFF8D9"/>
        </patternFill>
      </fill>
    </dxf>
    <dxf>
      <font>
        <b val="1"/>
        <color rgb="FFA61B1B"/>
      </font>
      <fill>
        <patternFill>
          <bgColor rgb="FFFDE2E2"/>
        </patternFill>
      </fill>
    </dxf>
    <dxf>
      <font>
        <b val="1"/>
        <color rgb="FF176B3A"/>
      </font>
      <fill>
        <patternFill>
          <bgColor rgb="FFE4F4E8"/>
        </patternFill>
      </fill>
    </dxf>
    <dxf>
      <font>
        <b val="1"/>
        <color rgb="FF8A5A00"/>
      </font>
      <fill>
        <patternFill>
          <bgColor rgb="FFFFF8D9"/>
        </patternFill>
      </fill>
    </dxf>
    <dxf>
      <font>
        <b val="1"/>
        <color rgb="FFA61B1B"/>
      </font>
      <fill>
        <patternFill>
          <bgColor rgb="FFFDE2E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DailyCrawlPlanTable" displayName="DailyCrawlPlanTable" ref="A3:V108" headerRowCount="1" totalsRowCount="0" totalsRowShown="0">
  <tableColumns count="22">
    <tableColumn id="1" name="Crawl date"/>
    <tableColumn id="2" name="Thứ"/>
    <tableColumn id="3" name="Phase"/>
    <tableColumn id="4" name="Start time (ICT)"/>
    <tableColumn id="5" name="N1 gần"/>
    <tableColumn id="6" name="N2 gần"/>
    <tableColumn id="7" name="N3 gần"/>
    <tableColumn id="8" name="N4 gần"/>
    <tableColumn id="9" name="N5 gần"/>
    <tableColumn id="10" name="N6 gần"/>
    <tableColumn id="11" name="N7 gần"/>
    <tableColumn id="12" name="N8 gần"/>
    <tableColumn id="13" name="N9 gần"/>
    <tableColumn id="14" name="F1 xa"/>
    <tableColumn id="15" name="F2 xa"/>
    <tableColumn id="16" name="F3 xa"/>
    <tableColumn id="17" name="Min lead"/>
    <tableColumn id="18" name="Max lead"/>
    <tableColumn id="19" name="12 ngày hợp lệ"/>
    <tableColumn id="20" name="Crawl status"/>
    <tableColumn id="21" name="Event flags"/>
    <tableColumn id="22" name="Automation note"/>
  </tableColumns>
  <tableStyleInfo name="TableStyleMedium2" showFirstColumn="0" showLastColumn="0" showRowStripes="1" showColumnStripes="0"/>
</table>
</file>

<file path=xl/tables/table2.xml><?xml version="1.0" encoding="utf-8"?>
<table xmlns="http://schemas.openxmlformats.org/spreadsheetml/2006/main" id="2" name="DailyCrawlLogTable" displayName="DailyCrawlLogTable" ref="A3:Q108" headerRowCount="1" totalsRowCount="0" totalsRowShown="0">
  <tableColumns count="17">
    <tableColumn id="1" name="Crawl date"/>
    <tableColumn id="2" name="Start time (ICT)"/>
    <tableColumn id="3" name="Status"/>
    <tableColumn id="4" name="Run IDs"/>
    <tableColumn id="5" name="Started at"/>
    <tableColumn id="6" name="Finished at"/>
    <tableColumn id="7" name="Duration (hours)"/>
    <tableColumn id="8" name="Total items"/>
    <tableColumn id="9" name="Processed"/>
    <tableColumn id="10" name="Success"/>
    <tableColumn id="11" name="Partial"/>
    <tableColumn id="12" name="Sold out"/>
    <tableColumn id="13" name="Not bookable"/>
    <tableColumn id="14" name="Error"/>
    <tableColumn id="15" name="Valid records"/>
    <tableColumn id="16" name="Check-in count"/>
    <tableColumn id="17"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RowHeight="15"/>
  <cols>
    <col width="31" customWidth="1" style="80" min="1" max="1"/>
    <col width="23" customWidth="1" style="80" min="2" max="2"/>
    <col width="5" customWidth="1" style="80" min="3" max="3"/>
    <col width="31" customWidth="1" style="80" min="4" max="4"/>
    <col width="19" customWidth="1" style="80" min="5" max="5"/>
    <col width="10" customWidth="1" style="80" min="6" max="6"/>
  </cols>
  <sheetData>
    <row r="1" ht="28" customHeight="1" s="80">
      <c r="A1" s="143" t="inlineStr">
        <is>
          <t>LỊCH CRAWL HẰNG NGÀY — 18/08/2026 ĐẾN 30/11/2026</t>
        </is>
      </c>
    </row>
    <row r="3" ht="30" customHeight="1" s="80">
      <c r="A3" s="151" t="inlineStr">
        <is>
          <t>Thông số</t>
        </is>
      </c>
      <c r="B3" s="152" t="inlineStr">
        <is>
          <t>Giá trị</t>
        </is>
      </c>
      <c r="D3" s="151" t="inlineStr">
        <is>
          <t>Kiểm tra</t>
        </is>
      </c>
      <c r="E3" s="152" t="inlineStr">
        <is>
          <t>Kết quả</t>
        </is>
      </c>
    </row>
    <row r="4">
      <c r="A4" s="153" t="inlineStr">
        <is>
          <t>Ngày bắt đầu</t>
        </is>
      </c>
      <c r="B4" s="174" t="n">
        <v>46252</v>
      </c>
      <c r="D4" s="113" t="inlineStr">
        <is>
          <t>Số ngày mong đợi</t>
        </is>
      </c>
      <c r="E4" s="110" t="n">
        <v>105</v>
      </c>
    </row>
    <row r="5">
      <c r="A5" s="153" t="inlineStr">
        <is>
          <t>Ngày kết thúc</t>
        </is>
      </c>
      <c r="B5" s="174" t="n">
        <v>46356</v>
      </c>
      <c r="D5" s="113" t="inlineStr">
        <is>
          <t>Số dòng lịch thực tế</t>
        </is>
      </c>
      <c r="E5" s="110">
        <f>B8</f>
        <v/>
      </c>
    </row>
    <row r="6">
      <c r="A6" s="153" t="inlineStr">
        <is>
          <t>Giờ bắt đầu mỗi ngày</t>
        </is>
      </c>
      <c r="B6" s="110" t="inlineStr">
        <is>
          <t>00:30</t>
        </is>
      </c>
      <c r="D6" s="113" t="inlineStr">
        <is>
          <t>Mỗi ngày đủ 12 check-in</t>
        </is>
      </c>
      <c r="E6" s="110">
        <f>IF(COUNTIF('DAILY_CRAWL_PLAN'!$S$4:$S$108,"PASS")=105,"PASS","CHECK")</f>
        <v/>
      </c>
    </row>
    <row r="7">
      <c r="A7" s="153" t="inlineStr">
        <is>
          <t>Múi giờ</t>
        </is>
      </c>
      <c r="B7" s="110" t="inlineStr">
        <is>
          <t>Asia/Ho_Chi_Minh</t>
        </is>
      </c>
      <c r="D7" s="114" t="inlineStr">
        <is>
          <t>Trạng thái workbook</t>
        </is>
      </c>
      <c r="E7" s="112">
        <f>IF(AND(E4=E5,E6="PASS"),"PASS","CHECK")</f>
        <v/>
      </c>
    </row>
    <row r="8">
      <c r="A8" s="153" t="inlineStr">
        <is>
          <t>Tổng số ngày theo lịch</t>
        </is>
      </c>
      <c r="B8" s="175">
        <f>COUNTA('DAILY_CRAWL_PLAN'!$A$4:$A$108)</f>
        <v/>
      </c>
    </row>
    <row r="9">
      <c r="A9" s="153" t="inlineStr">
        <is>
          <t>Đã hoàn thành</t>
        </is>
      </c>
      <c r="B9" s="175">
        <f>COUNTIF('CRAWL_LOG'!$C$4:$C$108,"Hoàn thành")</f>
        <v/>
      </c>
    </row>
    <row r="10">
      <c r="A10" s="153" t="inlineStr">
        <is>
          <t>Hoàn thành có lỗi</t>
        </is>
      </c>
      <c r="B10" s="175">
        <f>COUNTIF('CRAWL_LOG'!$C$4:$C$108,"Hoàn thành có lỗi")</f>
        <v/>
      </c>
    </row>
    <row r="11">
      <c r="A11" s="153" t="inlineStr">
        <is>
          <t>Đang chạy</t>
        </is>
      </c>
      <c r="B11" s="175">
        <f>COUNTIF('CRAWL_LOG'!$C$4:$C$108,"Đang chạy")</f>
        <v/>
      </c>
    </row>
    <row r="12">
      <c r="A12" s="154" t="inlineStr">
        <is>
          <t>Chưa chạy</t>
        </is>
      </c>
      <c r="B12" s="176">
        <f>COUNTIF('CRAWL_LOG'!$C$4:$C$108,"Chưa chạy")</f>
        <v/>
      </c>
    </row>
    <row r="15" ht="35" customHeight="1" s="80">
      <c r="A15" s="157" t="inlineStr">
        <is>
          <t>Mỗi ngày có 9 check-in gần + 3 check-in xa; lead time 0 (check-in đúng ngày crawl) là hợp lệ và slot chỉ roll từ ngày hôm sau.</t>
        </is>
      </c>
    </row>
  </sheetData>
  <mergeCells count="2">
    <mergeCell ref="A15:E15"/>
    <mergeCell ref="A1:E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V108"/>
  <sheetViews>
    <sheetView showGridLines="0" workbookViewId="0">
      <selection activeCell="A1" sqref="A1"/>
    </sheetView>
  </sheetViews>
  <sheetFormatPr baseColWidth="8" defaultRowHeight="15"/>
  <cols>
    <col width="14" customWidth="1" style="80" min="1" max="1"/>
    <col width="13" customWidth="1" style="80" min="2" max="2"/>
    <col width="12" customWidth="1" style="80" min="3" max="3"/>
    <col width="16" customWidth="1" style="80" min="4" max="4"/>
    <col width="13" customWidth="1" style="80" min="5" max="5"/>
    <col width="13" customWidth="1" style="80" min="6" max="6"/>
    <col width="13" customWidth="1" style="80" min="7" max="7"/>
    <col width="13" customWidth="1" style="80" min="8" max="8"/>
    <col width="13" customWidth="1" style="80" min="9" max="9"/>
    <col width="13" customWidth="1" style="80" min="10" max="10"/>
    <col width="13" customWidth="1" style="80" min="11" max="11"/>
    <col width="13" customWidth="1" style="80" min="12" max="12"/>
    <col width="13" customWidth="1" style="80" min="13" max="13"/>
    <col width="13" customWidth="1" style="80" min="14" max="14"/>
    <col width="13" customWidth="1" style="80" min="15" max="15"/>
    <col width="13" customWidth="1" style="80" min="16" max="16"/>
    <col width="10" customWidth="1" style="80" min="17" max="17"/>
    <col width="10" customWidth="1" style="80" min="18" max="18"/>
    <col width="15" customWidth="1" style="80" min="19" max="19"/>
    <col width="17" customWidth="1" style="80" min="20" max="20"/>
    <col width="34" customWidth="1" style="80" min="21" max="21"/>
    <col width="28" customWidth="1" style="80" min="22" max="22"/>
  </cols>
  <sheetData>
    <row r="1" ht="28" customHeight="1" s="80">
      <c r="A1" s="143" t="inlineStr">
        <is>
          <t>DAILY CRAWL PLAN — 105 NGÀY, 12 CHECK-IN MỖI NGÀY</t>
        </is>
      </c>
    </row>
    <row r="2" ht="24" customHeight="1" s="80">
      <c r="A2" s="159" t="inlineStr">
        <is>
          <t>N1–N9 là slot gần; F1–F3 là slot xa. Check-in có thể trùng ngày crawl (lead time 0), không được ở quá khứ; checkout = check-in + 1 ngày.</t>
        </is>
      </c>
    </row>
    <row r="3" ht="30" customHeight="1" s="80">
      <c r="A3" s="148" t="inlineStr">
        <is>
          <t>Crawl date</t>
        </is>
      </c>
      <c r="B3" s="148" t="inlineStr">
        <is>
          <t>Thứ</t>
        </is>
      </c>
      <c r="C3" s="148" t="inlineStr">
        <is>
          <t>Phase</t>
        </is>
      </c>
      <c r="D3" s="148" t="inlineStr">
        <is>
          <t>Start time (ICT)</t>
        </is>
      </c>
      <c r="E3" s="148" t="inlineStr">
        <is>
          <t>N1 gần</t>
        </is>
      </c>
      <c r="F3" s="148" t="inlineStr">
        <is>
          <t>N2 gần</t>
        </is>
      </c>
      <c r="G3" s="148" t="inlineStr">
        <is>
          <t>N3 gần</t>
        </is>
      </c>
      <c r="H3" s="148" t="inlineStr">
        <is>
          <t>N4 gần</t>
        </is>
      </c>
      <c r="I3" s="148" t="inlineStr">
        <is>
          <t>N5 gần</t>
        </is>
      </c>
      <c r="J3" s="148" t="inlineStr">
        <is>
          <t>N6 gần</t>
        </is>
      </c>
      <c r="K3" s="148" t="inlineStr">
        <is>
          <t>N7 gần</t>
        </is>
      </c>
      <c r="L3" s="148" t="inlineStr">
        <is>
          <t>N8 gần</t>
        </is>
      </c>
      <c r="M3" s="148" t="inlineStr">
        <is>
          <t>N9 gần</t>
        </is>
      </c>
      <c r="N3" s="148" t="inlineStr">
        <is>
          <t>F1 xa</t>
        </is>
      </c>
      <c r="O3" s="148" t="inlineStr">
        <is>
          <t>F2 xa</t>
        </is>
      </c>
      <c r="P3" s="148" t="inlineStr">
        <is>
          <t>F3 xa</t>
        </is>
      </c>
      <c r="Q3" s="148" t="inlineStr">
        <is>
          <t>Min lead</t>
        </is>
      </c>
      <c r="R3" s="148" t="inlineStr">
        <is>
          <t>Max lead</t>
        </is>
      </c>
      <c r="S3" s="148" t="inlineStr">
        <is>
          <t>12 ngày hợp lệ</t>
        </is>
      </c>
      <c r="T3" s="148" t="inlineStr">
        <is>
          <t>Crawl status</t>
        </is>
      </c>
      <c r="U3" s="148" t="inlineStr">
        <is>
          <t>Event flags</t>
        </is>
      </c>
      <c r="V3" s="148" t="inlineStr">
        <is>
          <t>Automation note</t>
        </is>
      </c>
    </row>
    <row r="4" ht="24" customHeight="1" s="80">
      <c r="A4" s="177" t="n">
        <v>46252</v>
      </c>
      <c r="B4" t="inlineStr">
        <is>
          <t>Thứ Ba</t>
        </is>
      </c>
      <c r="C4" t="inlineStr">
        <is>
          <t>Warm-up</t>
        </is>
      </c>
      <c r="D4" t="inlineStr">
        <is>
          <t>00:30</t>
        </is>
      </c>
      <c r="E4" s="178" t="n">
        <v>46254</v>
      </c>
      <c r="F4" s="178" t="n">
        <v>46256</v>
      </c>
      <c r="G4" s="178" t="n">
        <v>46259</v>
      </c>
      <c r="H4" s="178" t="n">
        <v>46263</v>
      </c>
      <c r="I4" s="178" t="n">
        <v>46267</v>
      </c>
      <c r="J4" s="178" t="n">
        <v>46271</v>
      </c>
      <c r="K4" s="178" t="n">
        <v>46274</v>
      </c>
      <c r="L4" s="178" t="n">
        <v>46277</v>
      </c>
      <c r="M4" s="178" t="n">
        <v>46279</v>
      </c>
      <c r="N4" s="179" t="n">
        <v>46306</v>
      </c>
      <c r="O4" s="179" t="n">
        <v>46344</v>
      </c>
      <c r="P4" s="179" t="n">
        <v>46388</v>
      </c>
      <c r="Q4" s="125" t="n">
        <v>2</v>
      </c>
      <c r="R4" s="125" t="n">
        <v>136</v>
      </c>
      <c r="S4" s="125" t="inlineStr">
        <is>
          <t>PASS</t>
        </is>
      </c>
      <c r="T4" s="125">
        <f>'CRAWL_LOG'!C4</f>
        <v/>
      </c>
      <c r="U4" s="86" t="inlineStr">
        <is>
          <t>Có Quốc khánh 02/09; Có Tết Dương lịch 01/01</t>
        </is>
      </c>
      <c r="V4" s="86" t="n"/>
    </row>
    <row r="5" ht="24" customHeight="1" s="80">
      <c r="A5" s="177" t="n">
        <v>46253</v>
      </c>
      <c r="B5" t="inlineStr">
        <is>
          <t>Thứ Tư</t>
        </is>
      </c>
      <c r="C5" t="inlineStr">
        <is>
          <t>Warm-up</t>
        </is>
      </c>
      <c r="D5" t="inlineStr">
        <is>
          <t>00:30</t>
        </is>
      </c>
      <c r="E5" s="178" t="n">
        <v>46254</v>
      </c>
      <c r="F5" s="178" t="n">
        <v>46256</v>
      </c>
      <c r="G5" s="178" t="n">
        <v>46259</v>
      </c>
      <c r="H5" s="178" t="n">
        <v>46263</v>
      </c>
      <c r="I5" s="178" t="n">
        <v>46267</v>
      </c>
      <c r="J5" s="178" t="n">
        <v>46271</v>
      </c>
      <c r="K5" s="178" t="n">
        <v>46274</v>
      </c>
      <c r="L5" s="178" t="n">
        <v>46277</v>
      </c>
      <c r="M5" s="178" t="n">
        <v>46279</v>
      </c>
      <c r="N5" s="179" t="n">
        <v>46306</v>
      </c>
      <c r="O5" s="179" t="n">
        <v>46344</v>
      </c>
      <c r="P5" s="179" t="n">
        <v>46388</v>
      </c>
      <c r="Q5" s="125" t="n">
        <v>1</v>
      </c>
      <c r="R5" s="125" t="n">
        <v>135</v>
      </c>
      <c r="S5" s="125" t="inlineStr">
        <is>
          <t>PASS</t>
        </is>
      </c>
      <c r="T5" s="125">
        <f>'CRAWL_LOG'!C5</f>
        <v/>
      </c>
      <c r="U5" s="86" t="inlineStr">
        <is>
          <t>Có Quốc khánh 02/09; Có Tết Dương lịch 01/01</t>
        </is>
      </c>
      <c r="V5" s="86" t="n"/>
    </row>
    <row r="6" ht="24" customHeight="1" s="80">
      <c r="A6" s="177" t="n">
        <v>46254</v>
      </c>
      <c r="B6" t="inlineStr">
        <is>
          <t>Thứ Năm</t>
        </is>
      </c>
      <c r="C6" t="inlineStr">
        <is>
          <t>Warm-up</t>
        </is>
      </c>
      <c r="D6" t="inlineStr">
        <is>
          <t>00:30</t>
        </is>
      </c>
      <c r="E6" s="178" t="n">
        <v>46254</v>
      </c>
      <c r="F6" s="178" t="n">
        <v>46256</v>
      </c>
      <c r="G6" s="178" t="n">
        <v>46259</v>
      </c>
      <c r="H6" s="178" t="n">
        <v>46263</v>
      </c>
      <c r="I6" s="178" t="n">
        <v>46267</v>
      </c>
      <c r="J6" s="178" t="n">
        <v>46271</v>
      </c>
      <c r="K6" s="178" t="n">
        <v>46274</v>
      </c>
      <c r="L6" s="178" t="n">
        <v>46277</v>
      </c>
      <c r="M6" s="178" t="n">
        <v>46279</v>
      </c>
      <c r="N6" s="179" t="n">
        <v>46306</v>
      </c>
      <c r="O6" s="179" t="n">
        <v>46344</v>
      </c>
      <c r="P6" s="179" t="n">
        <v>46388</v>
      </c>
      <c r="Q6" s="125" t="n">
        <v>0</v>
      </c>
      <c r="R6" s="125" t="n">
        <v>134</v>
      </c>
      <c r="S6" s="125" t="inlineStr">
        <is>
          <t>PASS</t>
        </is>
      </c>
      <c r="T6" s="125">
        <f>'CRAWL_LOG'!C6</f>
        <v/>
      </c>
      <c r="U6" s="86" t="inlineStr">
        <is>
          <t>Có Quốc khánh 02/09; Có Tết Dương lịch 01/01</t>
        </is>
      </c>
      <c r="V6" s="86" t="n"/>
    </row>
    <row r="7" ht="24" customHeight="1" s="80">
      <c r="A7" s="177" t="n">
        <v>46255</v>
      </c>
      <c r="B7" t="inlineStr">
        <is>
          <t>Thứ Sáu</t>
        </is>
      </c>
      <c r="C7" t="inlineStr">
        <is>
          <t>Warm-up</t>
        </is>
      </c>
      <c r="D7" t="inlineStr">
        <is>
          <t>00:30</t>
        </is>
      </c>
      <c r="E7" s="178" t="n">
        <v>46282</v>
      </c>
      <c r="F7" s="178" t="n">
        <v>46256</v>
      </c>
      <c r="G7" s="178" t="n">
        <v>46259</v>
      </c>
      <c r="H7" s="178" t="n">
        <v>46263</v>
      </c>
      <c r="I7" s="178" t="n">
        <v>46267</v>
      </c>
      <c r="J7" s="178" t="n">
        <v>46271</v>
      </c>
      <c r="K7" s="178" t="n">
        <v>46274</v>
      </c>
      <c r="L7" s="178" t="n">
        <v>46277</v>
      </c>
      <c r="M7" s="178" t="n">
        <v>46279</v>
      </c>
      <c r="N7" s="179" t="n">
        <v>46306</v>
      </c>
      <c r="O7" s="179" t="n">
        <v>46344</v>
      </c>
      <c r="P7" s="179" t="n">
        <v>46388</v>
      </c>
      <c r="Q7" s="125" t="n">
        <v>1</v>
      </c>
      <c r="R7" s="125" t="n">
        <v>133</v>
      </c>
      <c r="S7" s="125" t="inlineStr">
        <is>
          <t>PASS</t>
        </is>
      </c>
      <c r="T7" s="125">
        <f>'CRAWL_LOG'!C7</f>
        <v/>
      </c>
      <c r="U7" s="86" t="inlineStr">
        <is>
          <t>Có Quốc khánh 02/09; Có Tết Dương lịch 01/01</t>
        </is>
      </c>
      <c r="V7" s="86" t="n"/>
    </row>
    <row r="8" ht="24" customHeight="1" s="80">
      <c r="A8" s="177" t="n">
        <v>46256</v>
      </c>
      <c r="B8" t="inlineStr">
        <is>
          <t>Thứ Bảy</t>
        </is>
      </c>
      <c r="C8" t="inlineStr">
        <is>
          <t>Warm-up</t>
        </is>
      </c>
      <c r="D8" t="inlineStr">
        <is>
          <t>00:30</t>
        </is>
      </c>
      <c r="E8" s="178" t="n">
        <v>46282</v>
      </c>
      <c r="F8" s="178" t="n">
        <v>46256</v>
      </c>
      <c r="G8" s="178" t="n">
        <v>46259</v>
      </c>
      <c r="H8" s="178" t="n">
        <v>46263</v>
      </c>
      <c r="I8" s="178" t="n">
        <v>46267</v>
      </c>
      <c r="J8" s="178" t="n">
        <v>46271</v>
      </c>
      <c r="K8" s="178" t="n">
        <v>46274</v>
      </c>
      <c r="L8" s="178" t="n">
        <v>46277</v>
      </c>
      <c r="M8" s="178" t="n">
        <v>46279</v>
      </c>
      <c r="N8" s="179" t="n">
        <v>46306</v>
      </c>
      <c r="O8" s="179" t="n">
        <v>46344</v>
      </c>
      <c r="P8" s="179" t="n">
        <v>46388</v>
      </c>
      <c r="Q8" s="125" t="n">
        <v>0</v>
      </c>
      <c r="R8" s="125" t="n">
        <v>132</v>
      </c>
      <c r="S8" s="125" t="inlineStr">
        <is>
          <t>PASS</t>
        </is>
      </c>
      <c r="T8" s="125">
        <f>'CRAWL_LOG'!C8</f>
        <v/>
      </c>
      <c r="U8" s="86" t="inlineStr">
        <is>
          <t>Có Quốc khánh 02/09; Có Tết Dương lịch 01/01</t>
        </is>
      </c>
      <c r="V8" s="86" t="n"/>
    </row>
    <row r="9" ht="24" customHeight="1" s="80">
      <c r="A9" s="177" t="n">
        <v>46257</v>
      </c>
      <c r="B9" t="inlineStr">
        <is>
          <t>Chủ Nhật</t>
        </is>
      </c>
      <c r="C9" t="inlineStr">
        <is>
          <t>Warm-up</t>
        </is>
      </c>
      <c r="D9" t="inlineStr">
        <is>
          <t>00:30</t>
        </is>
      </c>
      <c r="E9" s="178" t="n">
        <v>46282</v>
      </c>
      <c r="F9" s="178" t="n">
        <v>46284</v>
      </c>
      <c r="G9" s="178" t="n">
        <v>46259</v>
      </c>
      <c r="H9" s="178" t="n">
        <v>46263</v>
      </c>
      <c r="I9" s="178" t="n">
        <v>46267</v>
      </c>
      <c r="J9" s="178" t="n">
        <v>46271</v>
      </c>
      <c r="K9" s="178" t="n">
        <v>46274</v>
      </c>
      <c r="L9" s="178" t="n">
        <v>46277</v>
      </c>
      <c r="M9" s="178" t="n">
        <v>46279</v>
      </c>
      <c r="N9" s="179" t="n">
        <v>46306</v>
      </c>
      <c r="O9" s="179" t="n">
        <v>46344</v>
      </c>
      <c r="P9" s="179" t="n">
        <v>46388</v>
      </c>
      <c r="Q9" s="125" t="n">
        <v>2</v>
      </c>
      <c r="R9" s="125" t="n">
        <v>131</v>
      </c>
      <c r="S9" s="125" t="inlineStr">
        <is>
          <t>PASS</t>
        </is>
      </c>
      <c r="T9" s="125">
        <f>'CRAWL_LOG'!C9</f>
        <v/>
      </c>
      <c r="U9" s="86" t="inlineStr">
        <is>
          <t>Có Quốc khánh 02/09; Có Tết Dương lịch 01/01</t>
        </is>
      </c>
      <c r="V9" s="86" t="n"/>
    </row>
    <row r="10" ht="24" customHeight="1" s="80">
      <c r="A10" s="177" t="n">
        <v>46258</v>
      </c>
      <c r="B10" t="inlineStr">
        <is>
          <t>Thứ Hai</t>
        </is>
      </c>
      <c r="C10" t="inlineStr">
        <is>
          <t>Warm-up</t>
        </is>
      </c>
      <c r="D10" t="inlineStr">
        <is>
          <t>00:30</t>
        </is>
      </c>
      <c r="E10" s="178" t="n">
        <v>46282</v>
      </c>
      <c r="F10" s="178" t="n">
        <v>46284</v>
      </c>
      <c r="G10" s="178" t="n">
        <v>46259</v>
      </c>
      <c r="H10" s="178" t="n">
        <v>46263</v>
      </c>
      <c r="I10" s="178" t="n">
        <v>46267</v>
      </c>
      <c r="J10" s="178" t="n">
        <v>46271</v>
      </c>
      <c r="K10" s="178" t="n">
        <v>46274</v>
      </c>
      <c r="L10" s="178" t="n">
        <v>46277</v>
      </c>
      <c r="M10" s="178" t="n">
        <v>46279</v>
      </c>
      <c r="N10" s="179" t="n">
        <v>46306</v>
      </c>
      <c r="O10" s="179" t="n">
        <v>46344</v>
      </c>
      <c r="P10" s="179" t="n">
        <v>46388</v>
      </c>
      <c r="Q10" s="125" t="n">
        <v>1</v>
      </c>
      <c r="R10" s="125" t="n">
        <v>130</v>
      </c>
      <c r="S10" s="125" t="inlineStr">
        <is>
          <t>PASS</t>
        </is>
      </c>
      <c r="T10" s="125">
        <f>'CRAWL_LOG'!C10</f>
        <v/>
      </c>
      <c r="U10" s="86" t="inlineStr">
        <is>
          <t>Có Quốc khánh 02/09; Có Tết Dương lịch 01/01</t>
        </is>
      </c>
      <c r="V10" s="86" t="n"/>
    </row>
    <row r="11" ht="24" customHeight="1" s="80">
      <c r="A11" s="177" t="n">
        <v>46259</v>
      </c>
      <c r="B11" t="inlineStr">
        <is>
          <t>Thứ Ba</t>
        </is>
      </c>
      <c r="C11" t="inlineStr">
        <is>
          <t>Warm-up</t>
        </is>
      </c>
      <c r="D11" t="inlineStr">
        <is>
          <t>00:30</t>
        </is>
      </c>
      <c r="E11" s="178" t="n">
        <v>46282</v>
      </c>
      <c r="F11" s="178" t="n">
        <v>46284</v>
      </c>
      <c r="G11" s="178" t="n">
        <v>46259</v>
      </c>
      <c r="H11" s="178" t="n">
        <v>46263</v>
      </c>
      <c r="I11" s="178" t="n">
        <v>46267</v>
      </c>
      <c r="J11" s="178" t="n">
        <v>46271</v>
      </c>
      <c r="K11" s="178" t="n">
        <v>46274</v>
      </c>
      <c r="L11" s="178" t="n">
        <v>46277</v>
      </c>
      <c r="M11" s="178" t="n">
        <v>46279</v>
      </c>
      <c r="N11" s="179" t="n">
        <v>46306</v>
      </c>
      <c r="O11" s="179" t="n">
        <v>46344</v>
      </c>
      <c r="P11" s="179" t="n">
        <v>46388</v>
      </c>
      <c r="Q11" s="125" t="n">
        <v>0</v>
      </c>
      <c r="R11" s="125" t="n">
        <v>129</v>
      </c>
      <c r="S11" s="125" t="inlineStr">
        <is>
          <t>PASS</t>
        </is>
      </c>
      <c r="T11" s="125">
        <f>'CRAWL_LOG'!C11</f>
        <v/>
      </c>
      <c r="U11" s="86" t="inlineStr">
        <is>
          <t>Có Quốc khánh 02/09; Có Tết Dương lịch 01/01</t>
        </is>
      </c>
      <c r="V11" s="86" t="n"/>
    </row>
    <row r="12" ht="24" customHeight="1" s="80">
      <c r="A12" s="177" t="n">
        <v>46260</v>
      </c>
      <c r="B12" t="inlineStr">
        <is>
          <t>Thứ Tư</t>
        </is>
      </c>
      <c r="C12" t="inlineStr">
        <is>
          <t>Warm-up</t>
        </is>
      </c>
      <c r="D12" t="inlineStr">
        <is>
          <t>00:30</t>
        </is>
      </c>
      <c r="E12" s="178" t="n">
        <v>46282</v>
      </c>
      <c r="F12" s="178" t="n">
        <v>46284</v>
      </c>
      <c r="G12" s="178" t="n">
        <v>46287</v>
      </c>
      <c r="H12" s="178" t="n">
        <v>46263</v>
      </c>
      <c r="I12" s="178" t="n">
        <v>46267</v>
      </c>
      <c r="J12" s="178" t="n">
        <v>46271</v>
      </c>
      <c r="K12" s="178" t="n">
        <v>46274</v>
      </c>
      <c r="L12" s="178" t="n">
        <v>46277</v>
      </c>
      <c r="M12" s="178" t="n">
        <v>46279</v>
      </c>
      <c r="N12" s="179" t="n">
        <v>46306</v>
      </c>
      <c r="O12" s="179" t="n">
        <v>46344</v>
      </c>
      <c r="P12" s="179" t="n">
        <v>46388</v>
      </c>
      <c r="Q12" s="125" t="n">
        <v>3</v>
      </c>
      <c r="R12" s="125" t="n">
        <v>128</v>
      </c>
      <c r="S12" s="125" t="inlineStr">
        <is>
          <t>PASS</t>
        </is>
      </c>
      <c r="T12" s="125">
        <f>'CRAWL_LOG'!C12</f>
        <v/>
      </c>
      <c r="U12" s="86" t="inlineStr">
        <is>
          <t>Có Quốc khánh 02/09; Có Tết Dương lịch 01/01</t>
        </is>
      </c>
      <c r="V12" s="86" t="n"/>
    </row>
    <row r="13" ht="24" customHeight="1" s="80">
      <c r="A13" s="177" t="n">
        <v>46261</v>
      </c>
      <c r="B13" t="inlineStr">
        <is>
          <t>Thứ Năm</t>
        </is>
      </c>
      <c r="C13" t="inlineStr">
        <is>
          <t>Warm-up</t>
        </is>
      </c>
      <c r="D13" t="inlineStr">
        <is>
          <t>00:30</t>
        </is>
      </c>
      <c r="E13" s="178" t="n">
        <v>46282</v>
      </c>
      <c r="F13" s="178" t="n">
        <v>46284</v>
      </c>
      <c r="G13" s="178" t="n">
        <v>46287</v>
      </c>
      <c r="H13" s="178" t="n">
        <v>46263</v>
      </c>
      <c r="I13" s="178" t="n">
        <v>46267</v>
      </c>
      <c r="J13" s="178" t="n">
        <v>46271</v>
      </c>
      <c r="K13" s="178" t="n">
        <v>46274</v>
      </c>
      <c r="L13" s="178" t="n">
        <v>46277</v>
      </c>
      <c r="M13" s="178" t="n">
        <v>46279</v>
      </c>
      <c r="N13" s="179" t="n">
        <v>46306</v>
      </c>
      <c r="O13" s="179" t="n">
        <v>46344</v>
      </c>
      <c r="P13" s="179" t="n">
        <v>46388</v>
      </c>
      <c r="Q13" s="125" t="n">
        <v>2</v>
      </c>
      <c r="R13" s="125" t="n">
        <v>127</v>
      </c>
      <c r="S13" s="125" t="inlineStr">
        <is>
          <t>PASS</t>
        </is>
      </c>
      <c r="T13" s="125">
        <f>'CRAWL_LOG'!C13</f>
        <v/>
      </c>
      <c r="U13" s="86" t="inlineStr">
        <is>
          <t>Có Quốc khánh 02/09; Có Tết Dương lịch 01/01</t>
        </is>
      </c>
      <c r="V13" s="86" t="n"/>
    </row>
    <row r="14" ht="24" customHeight="1" s="80">
      <c r="A14" s="177" t="n">
        <v>46262</v>
      </c>
      <c r="B14" t="inlineStr">
        <is>
          <t>Thứ Sáu</t>
        </is>
      </c>
      <c r="C14" t="inlineStr">
        <is>
          <t>Warm-up</t>
        </is>
      </c>
      <c r="D14" t="inlineStr">
        <is>
          <t>00:30</t>
        </is>
      </c>
      <c r="E14" s="178" t="n">
        <v>46282</v>
      </c>
      <c r="F14" s="178" t="n">
        <v>46284</v>
      </c>
      <c r="G14" s="178" t="n">
        <v>46287</v>
      </c>
      <c r="H14" s="178" t="n">
        <v>46263</v>
      </c>
      <c r="I14" s="178" t="n">
        <v>46267</v>
      </c>
      <c r="J14" s="178" t="n">
        <v>46271</v>
      </c>
      <c r="K14" s="178" t="n">
        <v>46274</v>
      </c>
      <c r="L14" s="178" t="n">
        <v>46277</v>
      </c>
      <c r="M14" s="178" t="n">
        <v>46279</v>
      </c>
      <c r="N14" s="179" t="n">
        <v>46306</v>
      </c>
      <c r="O14" s="179" t="n">
        <v>46344</v>
      </c>
      <c r="P14" s="179" t="n">
        <v>46388</v>
      </c>
      <c r="Q14" s="125" t="n">
        <v>1</v>
      </c>
      <c r="R14" s="125" t="n">
        <v>126</v>
      </c>
      <c r="S14" s="125" t="inlineStr">
        <is>
          <t>PASS</t>
        </is>
      </c>
      <c r="T14" s="125">
        <f>'CRAWL_LOG'!C14</f>
        <v/>
      </c>
      <c r="U14" s="86" t="inlineStr">
        <is>
          <t>Có Quốc khánh 02/09; Có Tết Dương lịch 01/01</t>
        </is>
      </c>
      <c r="V14" s="86" t="n"/>
    </row>
    <row r="15" ht="24" customHeight="1" s="80">
      <c r="A15" s="177" t="n">
        <v>46263</v>
      </c>
      <c r="B15" t="inlineStr">
        <is>
          <t>Thứ Bảy</t>
        </is>
      </c>
      <c r="C15" t="inlineStr">
        <is>
          <t>Warm-up</t>
        </is>
      </c>
      <c r="D15" t="inlineStr">
        <is>
          <t>00:30</t>
        </is>
      </c>
      <c r="E15" s="178" t="n">
        <v>46282</v>
      </c>
      <c r="F15" s="178" t="n">
        <v>46284</v>
      </c>
      <c r="G15" s="178" t="n">
        <v>46287</v>
      </c>
      <c r="H15" s="178" t="n">
        <v>46263</v>
      </c>
      <c r="I15" s="178" t="n">
        <v>46267</v>
      </c>
      <c r="J15" s="178" t="n">
        <v>46271</v>
      </c>
      <c r="K15" s="178" t="n">
        <v>46274</v>
      </c>
      <c r="L15" s="178" t="n">
        <v>46277</v>
      </c>
      <c r="M15" s="178" t="n">
        <v>46279</v>
      </c>
      <c r="N15" s="179" t="n">
        <v>46306</v>
      </c>
      <c r="O15" s="179" t="n">
        <v>46344</v>
      </c>
      <c r="P15" s="179" t="n">
        <v>46388</v>
      </c>
      <c r="Q15" s="125" t="n">
        <v>0</v>
      </c>
      <c r="R15" s="125" t="n">
        <v>125</v>
      </c>
      <c r="S15" s="125" t="inlineStr">
        <is>
          <t>PASS</t>
        </is>
      </c>
      <c r="T15" s="125">
        <f>'CRAWL_LOG'!C15</f>
        <v/>
      </c>
      <c r="U15" s="86" t="inlineStr">
        <is>
          <t>Có Quốc khánh 02/09; Có Tết Dương lịch 01/01</t>
        </is>
      </c>
      <c r="V15" s="86" t="n"/>
    </row>
    <row r="16" ht="24" customHeight="1" s="80">
      <c r="A16" s="177" t="n">
        <v>46264</v>
      </c>
      <c r="B16" t="inlineStr">
        <is>
          <t>Chủ Nhật</t>
        </is>
      </c>
      <c r="C16" t="inlineStr">
        <is>
          <t>Warm-up</t>
        </is>
      </c>
      <c r="D16" t="inlineStr">
        <is>
          <t>00:30</t>
        </is>
      </c>
      <c r="E16" s="178" t="n">
        <v>46282</v>
      </c>
      <c r="F16" s="178" t="n">
        <v>46284</v>
      </c>
      <c r="G16" s="178" t="n">
        <v>46287</v>
      </c>
      <c r="H16" s="178" t="n">
        <v>46291</v>
      </c>
      <c r="I16" s="178" t="n">
        <v>46267</v>
      </c>
      <c r="J16" s="178" t="n">
        <v>46271</v>
      </c>
      <c r="K16" s="178" t="n">
        <v>46274</v>
      </c>
      <c r="L16" s="178" t="n">
        <v>46277</v>
      </c>
      <c r="M16" s="178" t="n">
        <v>46279</v>
      </c>
      <c r="N16" s="179" t="n">
        <v>46306</v>
      </c>
      <c r="O16" s="179" t="n">
        <v>46344</v>
      </c>
      <c r="P16" s="179" t="n">
        <v>46388</v>
      </c>
      <c r="Q16" s="125" t="n">
        <v>3</v>
      </c>
      <c r="R16" s="125" t="n">
        <v>124</v>
      </c>
      <c r="S16" s="125" t="inlineStr">
        <is>
          <t>PASS</t>
        </is>
      </c>
      <c r="T16" s="125">
        <f>'CRAWL_LOG'!C16</f>
        <v/>
      </c>
      <c r="U16" s="86" t="inlineStr">
        <is>
          <t>Có Quốc khánh 02/09; Có Tết Dương lịch 01/01</t>
        </is>
      </c>
      <c r="V16" s="86" t="n"/>
    </row>
    <row r="17" ht="24" customHeight="1" s="80">
      <c r="A17" s="177" t="n">
        <v>46265</v>
      </c>
      <c r="B17" t="inlineStr">
        <is>
          <t>Thứ Hai</t>
        </is>
      </c>
      <c r="C17" t="inlineStr">
        <is>
          <t>Warm-up</t>
        </is>
      </c>
      <c r="D17" t="inlineStr">
        <is>
          <t>00:30</t>
        </is>
      </c>
      <c r="E17" s="178" t="n">
        <v>46282</v>
      </c>
      <c r="F17" s="178" t="n">
        <v>46284</v>
      </c>
      <c r="G17" s="178" t="n">
        <v>46287</v>
      </c>
      <c r="H17" s="178" t="n">
        <v>46291</v>
      </c>
      <c r="I17" s="178" t="n">
        <v>46267</v>
      </c>
      <c r="J17" s="178" t="n">
        <v>46271</v>
      </c>
      <c r="K17" s="178" t="n">
        <v>46274</v>
      </c>
      <c r="L17" s="178" t="n">
        <v>46277</v>
      </c>
      <c r="M17" s="178" t="n">
        <v>46279</v>
      </c>
      <c r="N17" s="179" t="n">
        <v>46306</v>
      </c>
      <c r="O17" s="179" t="n">
        <v>46344</v>
      </c>
      <c r="P17" s="179" t="n">
        <v>46388</v>
      </c>
      <c r="Q17" s="125" t="n">
        <v>2</v>
      </c>
      <c r="R17" s="125" t="n">
        <v>123</v>
      </c>
      <c r="S17" s="125" t="inlineStr">
        <is>
          <t>PASS</t>
        </is>
      </c>
      <c r="T17" s="125">
        <f>'CRAWL_LOG'!C17</f>
        <v/>
      </c>
      <c r="U17" s="86" t="inlineStr">
        <is>
          <t>Có Quốc khánh 02/09; Có Tết Dương lịch 01/01</t>
        </is>
      </c>
      <c r="V17" s="86" t="n"/>
    </row>
    <row r="18" ht="24" customHeight="1" s="80">
      <c r="A18" s="177" t="n">
        <v>46266</v>
      </c>
      <c r="B18" t="inlineStr">
        <is>
          <t>Thứ Ba</t>
        </is>
      </c>
      <c r="C18" t="inlineStr">
        <is>
          <t>Official</t>
        </is>
      </c>
      <c r="D18" t="inlineStr">
        <is>
          <t>00:30</t>
        </is>
      </c>
      <c r="E18" s="178" t="n">
        <v>46282</v>
      </c>
      <c r="F18" s="178" t="n">
        <v>46284</v>
      </c>
      <c r="G18" s="178" t="n">
        <v>46287</v>
      </c>
      <c r="H18" s="178" t="n">
        <v>46291</v>
      </c>
      <c r="I18" s="178" t="n">
        <v>46267</v>
      </c>
      <c r="J18" s="178" t="n">
        <v>46271</v>
      </c>
      <c r="K18" s="178" t="n">
        <v>46274</v>
      </c>
      <c r="L18" s="178" t="n">
        <v>46277</v>
      </c>
      <c r="M18" s="178" t="n">
        <v>46279</v>
      </c>
      <c r="N18" s="179" t="n">
        <v>46306</v>
      </c>
      <c r="O18" s="179" t="n">
        <v>46344</v>
      </c>
      <c r="P18" s="179" t="n">
        <v>46388</v>
      </c>
      <c r="Q18" s="125" t="n">
        <v>1</v>
      </c>
      <c r="R18" s="125" t="n">
        <v>122</v>
      </c>
      <c r="S18" s="125" t="inlineStr">
        <is>
          <t>PASS</t>
        </is>
      </c>
      <c r="T18" s="125">
        <f>'CRAWL_LOG'!C18</f>
        <v/>
      </c>
      <c r="U18" s="86" t="inlineStr">
        <is>
          <t>Có Quốc khánh 02/09; Có Tết Dương lịch 01/01</t>
        </is>
      </c>
      <c r="V18" s="86" t="n"/>
    </row>
    <row r="19" ht="24" customHeight="1" s="80">
      <c r="A19" s="177" t="n">
        <v>46267</v>
      </c>
      <c r="B19" t="inlineStr">
        <is>
          <t>Thứ Tư</t>
        </is>
      </c>
      <c r="C19" t="inlineStr">
        <is>
          <t>Official</t>
        </is>
      </c>
      <c r="D19" t="inlineStr">
        <is>
          <t>00:30</t>
        </is>
      </c>
      <c r="E19" s="178" t="n">
        <v>46282</v>
      </c>
      <c r="F19" s="178" t="n">
        <v>46284</v>
      </c>
      <c r="G19" s="178" t="n">
        <v>46287</v>
      </c>
      <c r="H19" s="178" t="n">
        <v>46291</v>
      </c>
      <c r="I19" s="178" t="n">
        <v>46267</v>
      </c>
      <c r="J19" s="178" t="n">
        <v>46271</v>
      </c>
      <c r="K19" s="178" t="n">
        <v>46274</v>
      </c>
      <c r="L19" s="178" t="n">
        <v>46277</v>
      </c>
      <c r="M19" s="178" t="n">
        <v>46279</v>
      </c>
      <c r="N19" s="179" t="n">
        <v>46306</v>
      </c>
      <c r="O19" s="179" t="n">
        <v>46344</v>
      </c>
      <c r="P19" s="179" t="n">
        <v>46388</v>
      </c>
      <c r="Q19" s="125" t="n">
        <v>0</v>
      </c>
      <c r="R19" s="125" t="n">
        <v>121</v>
      </c>
      <c r="S19" s="125" t="inlineStr">
        <is>
          <t>PASS</t>
        </is>
      </c>
      <c r="T19" s="125">
        <f>'CRAWL_LOG'!C19</f>
        <v/>
      </c>
      <c r="U19" s="86" t="inlineStr">
        <is>
          <t>Có Quốc khánh 02/09; Có Tết Dương lịch 01/01</t>
        </is>
      </c>
      <c r="V19" s="86" t="n"/>
    </row>
    <row r="20" ht="24" customHeight="1" s="80">
      <c r="A20" s="177" t="n">
        <v>46268</v>
      </c>
      <c r="B20" t="inlineStr">
        <is>
          <t>Thứ Năm</t>
        </is>
      </c>
      <c r="C20" t="inlineStr">
        <is>
          <t>Official</t>
        </is>
      </c>
      <c r="D20" t="inlineStr">
        <is>
          <t>00:30</t>
        </is>
      </c>
      <c r="E20" s="178" t="n">
        <v>46282</v>
      </c>
      <c r="F20" s="178" t="n">
        <v>46284</v>
      </c>
      <c r="G20" s="178" t="n">
        <v>46287</v>
      </c>
      <c r="H20" s="178" t="n">
        <v>46291</v>
      </c>
      <c r="I20" s="178" t="n">
        <v>46295</v>
      </c>
      <c r="J20" s="178" t="n">
        <v>46271</v>
      </c>
      <c r="K20" s="178" t="n">
        <v>46274</v>
      </c>
      <c r="L20" s="178" t="n">
        <v>46277</v>
      </c>
      <c r="M20" s="178" t="n">
        <v>46279</v>
      </c>
      <c r="N20" s="179" t="n">
        <v>46306</v>
      </c>
      <c r="O20" s="179" t="n">
        <v>46344</v>
      </c>
      <c r="P20" s="179" t="n">
        <v>46388</v>
      </c>
      <c r="Q20" s="125" t="n">
        <v>3</v>
      </c>
      <c r="R20" s="125" t="n">
        <v>120</v>
      </c>
      <c r="S20" s="125" t="inlineStr">
        <is>
          <t>PASS</t>
        </is>
      </c>
      <c r="T20" s="125">
        <f>'CRAWL_LOG'!C20</f>
        <v/>
      </c>
      <c r="U20" s="86" t="inlineStr">
        <is>
          <t>Có Tết Dương lịch 01/01</t>
        </is>
      </c>
      <c r="V20" s="86" t="n"/>
    </row>
    <row r="21" ht="24" customHeight="1" s="80">
      <c r="A21" s="177" t="n">
        <v>46269</v>
      </c>
      <c r="B21" t="inlineStr">
        <is>
          <t>Thứ Sáu</t>
        </is>
      </c>
      <c r="C21" t="inlineStr">
        <is>
          <t>Official</t>
        </is>
      </c>
      <c r="D21" t="inlineStr">
        <is>
          <t>00:30</t>
        </is>
      </c>
      <c r="E21" s="178" t="n">
        <v>46282</v>
      </c>
      <c r="F21" s="178" t="n">
        <v>46284</v>
      </c>
      <c r="G21" s="178" t="n">
        <v>46287</v>
      </c>
      <c r="H21" s="178" t="n">
        <v>46291</v>
      </c>
      <c r="I21" s="178" t="n">
        <v>46295</v>
      </c>
      <c r="J21" s="178" t="n">
        <v>46271</v>
      </c>
      <c r="K21" s="178" t="n">
        <v>46274</v>
      </c>
      <c r="L21" s="178" t="n">
        <v>46277</v>
      </c>
      <c r="M21" s="178" t="n">
        <v>46279</v>
      </c>
      <c r="N21" s="179" t="n">
        <v>46306</v>
      </c>
      <c r="O21" s="179" t="n">
        <v>46344</v>
      </c>
      <c r="P21" s="179" t="n">
        <v>46388</v>
      </c>
      <c r="Q21" s="125" t="n">
        <v>2</v>
      </c>
      <c r="R21" s="125" t="n">
        <v>119</v>
      </c>
      <c r="S21" s="125" t="inlineStr">
        <is>
          <t>PASS</t>
        </is>
      </c>
      <c r="T21" s="125">
        <f>'CRAWL_LOG'!C21</f>
        <v/>
      </c>
      <c r="U21" s="86" t="inlineStr">
        <is>
          <t>Có Tết Dương lịch 01/01</t>
        </is>
      </c>
      <c r="V21" s="86" t="n"/>
    </row>
    <row r="22" ht="24" customHeight="1" s="80">
      <c r="A22" s="177" t="n">
        <v>46270</v>
      </c>
      <c r="B22" t="inlineStr">
        <is>
          <t>Thứ Bảy</t>
        </is>
      </c>
      <c r="C22" t="inlineStr">
        <is>
          <t>Official</t>
        </is>
      </c>
      <c r="D22" t="inlineStr">
        <is>
          <t>00:30</t>
        </is>
      </c>
      <c r="E22" s="178" t="n">
        <v>46282</v>
      </c>
      <c r="F22" s="178" t="n">
        <v>46284</v>
      </c>
      <c r="G22" s="178" t="n">
        <v>46287</v>
      </c>
      <c r="H22" s="178" t="n">
        <v>46291</v>
      </c>
      <c r="I22" s="178" t="n">
        <v>46295</v>
      </c>
      <c r="J22" s="178" t="n">
        <v>46271</v>
      </c>
      <c r="K22" s="178" t="n">
        <v>46274</v>
      </c>
      <c r="L22" s="178" t="n">
        <v>46277</v>
      </c>
      <c r="M22" s="178" t="n">
        <v>46279</v>
      </c>
      <c r="N22" s="179" t="n">
        <v>46306</v>
      </c>
      <c r="O22" s="179" t="n">
        <v>46344</v>
      </c>
      <c r="P22" s="179" t="n">
        <v>46388</v>
      </c>
      <c r="Q22" s="125" t="n">
        <v>1</v>
      </c>
      <c r="R22" s="125" t="n">
        <v>118</v>
      </c>
      <c r="S22" s="125" t="inlineStr">
        <is>
          <t>PASS</t>
        </is>
      </c>
      <c r="T22" s="125">
        <f>'CRAWL_LOG'!C22</f>
        <v/>
      </c>
      <c r="U22" s="86" t="inlineStr">
        <is>
          <t>Có Tết Dương lịch 01/01</t>
        </is>
      </c>
      <c r="V22" s="86" t="n"/>
    </row>
    <row r="23" ht="24" customHeight="1" s="80">
      <c r="A23" s="177" t="n">
        <v>46271</v>
      </c>
      <c r="B23" t="inlineStr">
        <is>
          <t>Chủ Nhật</t>
        </is>
      </c>
      <c r="C23" t="inlineStr">
        <is>
          <t>Official</t>
        </is>
      </c>
      <c r="D23" t="inlineStr">
        <is>
          <t>00:30</t>
        </is>
      </c>
      <c r="E23" s="178" t="n">
        <v>46282</v>
      </c>
      <c r="F23" s="178" t="n">
        <v>46284</v>
      </c>
      <c r="G23" s="178" t="n">
        <v>46287</v>
      </c>
      <c r="H23" s="178" t="n">
        <v>46291</v>
      </c>
      <c r="I23" s="178" t="n">
        <v>46295</v>
      </c>
      <c r="J23" s="178" t="n">
        <v>46271</v>
      </c>
      <c r="K23" s="178" t="n">
        <v>46274</v>
      </c>
      <c r="L23" s="178" t="n">
        <v>46277</v>
      </c>
      <c r="M23" s="178" t="n">
        <v>46279</v>
      </c>
      <c r="N23" s="179" t="n">
        <v>46306</v>
      </c>
      <c r="O23" s="179" t="n">
        <v>46344</v>
      </c>
      <c r="P23" s="179" t="n">
        <v>46388</v>
      </c>
      <c r="Q23" s="125" t="n">
        <v>0</v>
      </c>
      <c r="R23" s="125" t="n">
        <v>117</v>
      </c>
      <c r="S23" s="125" t="inlineStr">
        <is>
          <t>PASS</t>
        </is>
      </c>
      <c r="T23" s="125">
        <f>'CRAWL_LOG'!C23</f>
        <v/>
      </c>
      <c r="U23" s="86" t="inlineStr">
        <is>
          <t>Có Tết Dương lịch 01/01</t>
        </is>
      </c>
      <c r="V23" s="86" t="n"/>
    </row>
    <row r="24" ht="24" customHeight="1" s="80">
      <c r="A24" s="177" t="n">
        <v>46272</v>
      </c>
      <c r="B24" t="inlineStr">
        <is>
          <t>Thứ Hai</t>
        </is>
      </c>
      <c r="C24" t="inlineStr">
        <is>
          <t>Official</t>
        </is>
      </c>
      <c r="D24" t="inlineStr">
        <is>
          <t>00:30</t>
        </is>
      </c>
      <c r="E24" s="178" t="n">
        <v>46282</v>
      </c>
      <c r="F24" s="178" t="n">
        <v>46284</v>
      </c>
      <c r="G24" s="178" t="n">
        <v>46287</v>
      </c>
      <c r="H24" s="178" t="n">
        <v>46291</v>
      </c>
      <c r="I24" s="178" t="n">
        <v>46295</v>
      </c>
      <c r="J24" s="178" t="n">
        <v>46299</v>
      </c>
      <c r="K24" s="178" t="n">
        <v>46274</v>
      </c>
      <c r="L24" s="178" t="n">
        <v>46277</v>
      </c>
      <c r="M24" s="178" t="n">
        <v>46279</v>
      </c>
      <c r="N24" s="179" t="n">
        <v>46306</v>
      </c>
      <c r="O24" s="179" t="n">
        <v>46344</v>
      </c>
      <c r="P24" s="179" t="n">
        <v>46388</v>
      </c>
      <c r="Q24" s="125" t="n">
        <v>2</v>
      </c>
      <c r="R24" s="125" t="n">
        <v>116</v>
      </c>
      <c r="S24" s="125" t="inlineStr">
        <is>
          <t>PASS</t>
        </is>
      </c>
      <c r="T24" s="125">
        <f>'CRAWL_LOG'!C24</f>
        <v/>
      </c>
      <c r="U24" s="86" t="inlineStr">
        <is>
          <t>Có Tết Dương lịch 01/01</t>
        </is>
      </c>
      <c r="V24" s="86" t="n"/>
    </row>
    <row r="25" ht="24" customHeight="1" s="80">
      <c r="A25" s="177" t="n">
        <v>46273</v>
      </c>
      <c r="B25" t="inlineStr">
        <is>
          <t>Thứ Ba</t>
        </is>
      </c>
      <c r="C25" t="inlineStr">
        <is>
          <t>Official</t>
        </is>
      </c>
      <c r="D25" t="inlineStr">
        <is>
          <t>00:30</t>
        </is>
      </c>
      <c r="E25" s="178" t="n">
        <v>46282</v>
      </c>
      <c r="F25" s="178" t="n">
        <v>46284</v>
      </c>
      <c r="G25" s="178" t="n">
        <v>46287</v>
      </c>
      <c r="H25" s="178" t="n">
        <v>46291</v>
      </c>
      <c r="I25" s="178" t="n">
        <v>46295</v>
      </c>
      <c r="J25" s="178" t="n">
        <v>46299</v>
      </c>
      <c r="K25" s="178" t="n">
        <v>46274</v>
      </c>
      <c r="L25" s="178" t="n">
        <v>46277</v>
      </c>
      <c r="M25" s="178" t="n">
        <v>46279</v>
      </c>
      <c r="N25" s="179" t="n">
        <v>46306</v>
      </c>
      <c r="O25" s="179" t="n">
        <v>46344</v>
      </c>
      <c r="P25" s="179" t="n">
        <v>46388</v>
      </c>
      <c r="Q25" s="125" t="n">
        <v>1</v>
      </c>
      <c r="R25" s="125" t="n">
        <v>115</v>
      </c>
      <c r="S25" s="125" t="inlineStr">
        <is>
          <t>PASS</t>
        </is>
      </c>
      <c r="T25" s="125">
        <f>'CRAWL_LOG'!C25</f>
        <v/>
      </c>
      <c r="U25" s="86" t="inlineStr">
        <is>
          <t>Có Tết Dương lịch 01/01</t>
        </is>
      </c>
      <c r="V25" s="86" t="n"/>
    </row>
    <row r="26" ht="24" customHeight="1" s="80">
      <c r="A26" s="177" t="n">
        <v>46274</v>
      </c>
      <c r="B26" t="inlineStr">
        <is>
          <t>Thứ Tư</t>
        </is>
      </c>
      <c r="C26" t="inlineStr">
        <is>
          <t>Official</t>
        </is>
      </c>
      <c r="D26" t="inlineStr">
        <is>
          <t>00:30</t>
        </is>
      </c>
      <c r="E26" s="178" t="n">
        <v>46282</v>
      </c>
      <c r="F26" s="178" t="n">
        <v>46284</v>
      </c>
      <c r="G26" s="178" t="n">
        <v>46287</v>
      </c>
      <c r="H26" s="178" t="n">
        <v>46291</v>
      </c>
      <c r="I26" s="178" t="n">
        <v>46295</v>
      </c>
      <c r="J26" s="178" t="n">
        <v>46299</v>
      </c>
      <c r="K26" s="178" t="n">
        <v>46274</v>
      </c>
      <c r="L26" s="178" t="n">
        <v>46277</v>
      </c>
      <c r="M26" s="178" t="n">
        <v>46279</v>
      </c>
      <c r="N26" s="179" t="n">
        <v>46306</v>
      </c>
      <c r="O26" s="179" t="n">
        <v>46344</v>
      </c>
      <c r="P26" s="179" t="n">
        <v>46388</v>
      </c>
      <c r="Q26" s="125" t="n">
        <v>0</v>
      </c>
      <c r="R26" s="125" t="n">
        <v>114</v>
      </c>
      <c r="S26" s="125" t="inlineStr">
        <is>
          <t>PASS</t>
        </is>
      </c>
      <c r="T26" s="125">
        <f>'CRAWL_LOG'!C26</f>
        <v/>
      </c>
      <c r="U26" s="86" t="inlineStr">
        <is>
          <t>Có Tết Dương lịch 01/01</t>
        </is>
      </c>
      <c r="V26" s="86" t="n"/>
    </row>
    <row r="27" ht="24" customHeight="1" s="80">
      <c r="A27" s="177" t="n">
        <v>46275</v>
      </c>
      <c r="B27" t="inlineStr">
        <is>
          <t>Thứ Năm</t>
        </is>
      </c>
      <c r="C27" t="inlineStr">
        <is>
          <t>Official</t>
        </is>
      </c>
      <c r="D27" t="inlineStr">
        <is>
          <t>00:30</t>
        </is>
      </c>
      <c r="E27" s="178" t="n">
        <v>46282</v>
      </c>
      <c r="F27" s="178" t="n">
        <v>46284</v>
      </c>
      <c r="G27" s="178" t="n">
        <v>46287</v>
      </c>
      <c r="H27" s="178" t="n">
        <v>46291</v>
      </c>
      <c r="I27" s="178" t="n">
        <v>46295</v>
      </c>
      <c r="J27" s="178" t="n">
        <v>46299</v>
      </c>
      <c r="K27" s="178" t="n">
        <v>46302</v>
      </c>
      <c r="L27" s="178" t="n">
        <v>46277</v>
      </c>
      <c r="M27" s="178" t="n">
        <v>46279</v>
      </c>
      <c r="N27" s="179" t="n">
        <v>46306</v>
      </c>
      <c r="O27" s="179" t="n">
        <v>46344</v>
      </c>
      <c r="P27" s="179" t="n">
        <v>46388</v>
      </c>
      <c r="Q27" s="125" t="n">
        <v>2</v>
      </c>
      <c r="R27" s="125" t="n">
        <v>113</v>
      </c>
      <c r="S27" s="125" t="inlineStr">
        <is>
          <t>PASS</t>
        </is>
      </c>
      <c r="T27" s="125">
        <f>'CRAWL_LOG'!C27</f>
        <v/>
      </c>
      <c r="U27" s="86" t="inlineStr">
        <is>
          <t>Có Tết Dương lịch 01/01</t>
        </is>
      </c>
      <c r="V27" s="86" t="n"/>
    </row>
    <row r="28" ht="24" customHeight="1" s="80">
      <c r="A28" s="177" t="n">
        <v>46276</v>
      </c>
      <c r="B28" t="inlineStr">
        <is>
          <t>Thứ Sáu</t>
        </is>
      </c>
      <c r="C28" t="inlineStr">
        <is>
          <t>Official</t>
        </is>
      </c>
      <c r="D28" t="inlineStr">
        <is>
          <t>00:30</t>
        </is>
      </c>
      <c r="E28" s="178" t="n">
        <v>46282</v>
      </c>
      <c r="F28" s="178" t="n">
        <v>46284</v>
      </c>
      <c r="G28" s="178" t="n">
        <v>46287</v>
      </c>
      <c r="H28" s="178" t="n">
        <v>46291</v>
      </c>
      <c r="I28" s="178" t="n">
        <v>46295</v>
      </c>
      <c r="J28" s="178" t="n">
        <v>46299</v>
      </c>
      <c r="K28" s="178" t="n">
        <v>46302</v>
      </c>
      <c r="L28" s="178" t="n">
        <v>46277</v>
      </c>
      <c r="M28" s="178" t="n">
        <v>46279</v>
      </c>
      <c r="N28" s="179" t="n">
        <v>46306</v>
      </c>
      <c r="O28" s="179" t="n">
        <v>46344</v>
      </c>
      <c r="P28" s="179" t="n">
        <v>46388</v>
      </c>
      <c r="Q28" s="125" t="n">
        <v>1</v>
      </c>
      <c r="R28" s="125" t="n">
        <v>112</v>
      </c>
      <c r="S28" s="125" t="inlineStr">
        <is>
          <t>PASS</t>
        </is>
      </c>
      <c r="T28" s="125">
        <f>'CRAWL_LOG'!C28</f>
        <v/>
      </c>
      <c r="U28" s="86" t="inlineStr">
        <is>
          <t>Có Tết Dương lịch 01/01</t>
        </is>
      </c>
      <c r="V28" s="86" t="n"/>
    </row>
    <row r="29" ht="24" customHeight="1" s="80">
      <c r="A29" s="177" t="n">
        <v>46277</v>
      </c>
      <c r="B29" t="inlineStr">
        <is>
          <t>Thứ Bảy</t>
        </is>
      </c>
      <c r="C29" t="inlineStr">
        <is>
          <t>Official</t>
        </is>
      </c>
      <c r="D29" t="inlineStr">
        <is>
          <t>00:30</t>
        </is>
      </c>
      <c r="E29" s="178" t="n">
        <v>46282</v>
      </c>
      <c r="F29" s="178" t="n">
        <v>46284</v>
      </c>
      <c r="G29" s="178" t="n">
        <v>46287</v>
      </c>
      <c r="H29" s="178" t="n">
        <v>46291</v>
      </c>
      <c r="I29" s="178" t="n">
        <v>46295</v>
      </c>
      <c r="J29" s="178" t="n">
        <v>46299</v>
      </c>
      <c r="K29" s="178" t="n">
        <v>46302</v>
      </c>
      <c r="L29" s="178" t="n">
        <v>46277</v>
      </c>
      <c r="M29" s="178" t="n">
        <v>46279</v>
      </c>
      <c r="N29" s="179" t="n">
        <v>46306</v>
      </c>
      <c r="O29" s="179" t="n">
        <v>46344</v>
      </c>
      <c r="P29" s="179" t="n">
        <v>46388</v>
      </c>
      <c r="Q29" s="125" t="n">
        <v>0</v>
      </c>
      <c r="R29" s="125" t="n">
        <v>111</v>
      </c>
      <c r="S29" s="125" t="inlineStr">
        <is>
          <t>PASS</t>
        </is>
      </c>
      <c r="T29" s="125">
        <f>'CRAWL_LOG'!C29</f>
        <v/>
      </c>
      <c r="U29" s="86" t="inlineStr">
        <is>
          <t>Có Tết Dương lịch 01/01</t>
        </is>
      </c>
      <c r="V29" s="86" t="n"/>
    </row>
    <row r="30" ht="24" customHeight="1" s="80">
      <c r="A30" s="177" t="n">
        <v>46278</v>
      </c>
      <c r="B30" t="inlineStr">
        <is>
          <t>Chủ Nhật</t>
        </is>
      </c>
      <c r="C30" t="inlineStr">
        <is>
          <t>Official</t>
        </is>
      </c>
      <c r="D30" t="inlineStr">
        <is>
          <t>00:30</t>
        </is>
      </c>
      <c r="E30" s="178" t="n">
        <v>46282</v>
      </c>
      <c r="F30" s="178" t="n">
        <v>46284</v>
      </c>
      <c r="G30" s="178" t="n">
        <v>46287</v>
      </c>
      <c r="H30" s="178" t="n">
        <v>46291</v>
      </c>
      <c r="I30" s="178" t="n">
        <v>46295</v>
      </c>
      <c r="J30" s="178" t="n">
        <v>46299</v>
      </c>
      <c r="K30" s="178" t="n">
        <v>46302</v>
      </c>
      <c r="L30" s="178" t="n">
        <v>46305</v>
      </c>
      <c r="M30" s="178" t="n">
        <v>46279</v>
      </c>
      <c r="N30" s="179" t="n">
        <v>46306</v>
      </c>
      <c r="O30" s="179" t="n">
        <v>46344</v>
      </c>
      <c r="P30" s="179" t="n">
        <v>46388</v>
      </c>
      <c r="Q30" s="125" t="n">
        <v>1</v>
      </c>
      <c r="R30" s="125" t="n">
        <v>110</v>
      </c>
      <c r="S30" s="125" t="inlineStr">
        <is>
          <t>PASS</t>
        </is>
      </c>
      <c r="T30" s="125">
        <f>'CRAWL_LOG'!C30</f>
        <v/>
      </c>
      <c r="U30" s="86" t="inlineStr">
        <is>
          <t>Có Tết Dương lịch 01/01</t>
        </is>
      </c>
      <c r="V30" s="86" t="n"/>
    </row>
    <row r="31" ht="24" customHeight="1" s="80">
      <c r="A31" s="177" t="n">
        <v>46279</v>
      </c>
      <c r="B31" t="inlineStr">
        <is>
          <t>Thứ Hai</t>
        </is>
      </c>
      <c r="C31" t="inlineStr">
        <is>
          <t>Official</t>
        </is>
      </c>
      <c r="D31" t="inlineStr">
        <is>
          <t>00:30</t>
        </is>
      </c>
      <c r="E31" s="178" t="n">
        <v>46282</v>
      </c>
      <c r="F31" s="178" t="n">
        <v>46284</v>
      </c>
      <c r="G31" s="178" t="n">
        <v>46287</v>
      </c>
      <c r="H31" s="178" t="n">
        <v>46291</v>
      </c>
      <c r="I31" s="178" t="n">
        <v>46295</v>
      </c>
      <c r="J31" s="178" t="n">
        <v>46299</v>
      </c>
      <c r="K31" s="178" t="n">
        <v>46302</v>
      </c>
      <c r="L31" s="178" t="n">
        <v>46305</v>
      </c>
      <c r="M31" s="178" t="n">
        <v>46279</v>
      </c>
      <c r="N31" s="179" t="n">
        <v>46306</v>
      </c>
      <c r="O31" s="179" t="n">
        <v>46344</v>
      </c>
      <c r="P31" s="179" t="n">
        <v>46388</v>
      </c>
      <c r="Q31" s="125" t="n">
        <v>0</v>
      </c>
      <c r="R31" s="125" t="n">
        <v>109</v>
      </c>
      <c r="S31" s="125" t="inlineStr">
        <is>
          <t>PASS</t>
        </is>
      </c>
      <c r="T31" s="125">
        <f>'CRAWL_LOG'!C31</f>
        <v/>
      </c>
      <c r="U31" s="86" t="inlineStr">
        <is>
          <t>Có Tết Dương lịch 01/01</t>
        </is>
      </c>
      <c r="V31" s="86" t="n"/>
    </row>
    <row r="32" ht="24" customHeight="1" s="80">
      <c r="A32" s="177" t="n">
        <v>46280</v>
      </c>
      <c r="B32" t="inlineStr">
        <is>
          <t>Thứ Ba</t>
        </is>
      </c>
      <c r="C32" t="inlineStr">
        <is>
          <t>Official</t>
        </is>
      </c>
      <c r="D32" t="inlineStr">
        <is>
          <t>00:30</t>
        </is>
      </c>
      <c r="E32" s="178" t="n">
        <v>46282</v>
      </c>
      <c r="F32" s="178" t="n">
        <v>46284</v>
      </c>
      <c r="G32" s="178" t="n">
        <v>46287</v>
      </c>
      <c r="H32" s="178" t="n">
        <v>46291</v>
      </c>
      <c r="I32" s="178" t="n">
        <v>46295</v>
      </c>
      <c r="J32" s="178" t="n">
        <v>46299</v>
      </c>
      <c r="K32" s="178" t="n">
        <v>46302</v>
      </c>
      <c r="L32" s="178" t="n">
        <v>46305</v>
      </c>
      <c r="M32" s="178" t="n">
        <v>46307</v>
      </c>
      <c r="N32" s="179" t="n">
        <v>46306</v>
      </c>
      <c r="O32" s="179" t="n">
        <v>46344</v>
      </c>
      <c r="P32" s="179" t="n">
        <v>46388</v>
      </c>
      <c r="Q32" s="125" t="n">
        <v>2</v>
      </c>
      <c r="R32" s="125" t="n">
        <v>108</v>
      </c>
      <c r="S32" s="125" t="inlineStr">
        <is>
          <t>PASS</t>
        </is>
      </c>
      <c r="T32" s="125">
        <f>'CRAWL_LOG'!C32</f>
        <v/>
      </c>
      <c r="U32" s="86" t="inlineStr">
        <is>
          <t>Có Tết Dương lịch 01/01</t>
        </is>
      </c>
      <c r="V32" s="86" t="n"/>
    </row>
    <row r="33" ht="24" customHeight="1" s="80">
      <c r="A33" s="177" t="n">
        <v>46281</v>
      </c>
      <c r="B33" t="inlineStr">
        <is>
          <t>Thứ Tư</t>
        </is>
      </c>
      <c r="C33" t="inlineStr">
        <is>
          <t>Official</t>
        </is>
      </c>
      <c r="D33" t="inlineStr">
        <is>
          <t>00:30</t>
        </is>
      </c>
      <c r="E33" s="178" t="n">
        <v>46282</v>
      </c>
      <c r="F33" s="178" t="n">
        <v>46284</v>
      </c>
      <c r="G33" s="178" t="n">
        <v>46287</v>
      </c>
      <c r="H33" s="178" t="n">
        <v>46291</v>
      </c>
      <c r="I33" s="178" t="n">
        <v>46295</v>
      </c>
      <c r="J33" s="178" t="n">
        <v>46299</v>
      </c>
      <c r="K33" s="178" t="n">
        <v>46302</v>
      </c>
      <c r="L33" s="178" t="n">
        <v>46305</v>
      </c>
      <c r="M33" s="178" t="n">
        <v>46307</v>
      </c>
      <c r="N33" s="179" t="n">
        <v>46306</v>
      </c>
      <c r="O33" s="179" t="n">
        <v>46344</v>
      </c>
      <c r="P33" s="179" t="n">
        <v>46388</v>
      </c>
      <c r="Q33" s="125" t="n">
        <v>1</v>
      </c>
      <c r="R33" s="125" t="n">
        <v>107</v>
      </c>
      <c r="S33" s="125" t="inlineStr">
        <is>
          <t>PASS</t>
        </is>
      </c>
      <c r="T33" s="125">
        <f>'CRAWL_LOG'!C33</f>
        <v/>
      </c>
      <c r="U33" s="86" t="inlineStr">
        <is>
          <t>Có Tết Dương lịch 01/01</t>
        </is>
      </c>
      <c r="V33" s="86" t="n"/>
    </row>
    <row r="34" ht="24" customHeight="1" s="80">
      <c r="A34" s="177" t="n">
        <v>46282</v>
      </c>
      <c r="B34" t="inlineStr">
        <is>
          <t>Thứ Năm</t>
        </is>
      </c>
      <c r="C34" t="inlineStr">
        <is>
          <t>Official</t>
        </is>
      </c>
      <c r="D34" t="inlineStr">
        <is>
          <t>00:30</t>
        </is>
      </c>
      <c r="E34" s="178" t="n">
        <v>46282</v>
      </c>
      <c r="F34" s="178" t="n">
        <v>46284</v>
      </c>
      <c r="G34" s="178" t="n">
        <v>46287</v>
      </c>
      <c r="H34" s="178" t="n">
        <v>46291</v>
      </c>
      <c r="I34" s="178" t="n">
        <v>46295</v>
      </c>
      <c r="J34" s="178" t="n">
        <v>46299</v>
      </c>
      <c r="K34" s="178" t="n">
        <v>46302</v>
      </c>
      <c r="L34" s="178" t="n">
        <v>46305</v>
      </c>
      <c r="M34" s="178" t="n">
        <v>46307</v>
      </c>
      <c r="N34" s="179" t="n">
        <v>46306</v>
      </c>
      <c r="O34" s="179" t="n">
        <v>46344</v>
      </c>
      <c r="P34" s="179" t="n">
        <v>46388</v>
      </c>
      <c r="Q34" s="125" t="n">
        <v>0</v>
      </c>
      <c r="R34" s="125" t="n">
        <v>106</v>
      </c>
      <c r="S34" s="125" t="inlineStr">
        <is>
          <t>PASS</t>
        </is>
      </c>
      <c r="T34" s="125">
        <f>'CRAWL_LOG'!C34</f>
        <v/>
      </c>
      <c r="U34" s="86" t="inlineStr">
        <is>
          <t>Có Tết Dương lịch 01/01</t>
        </is>
      </c>
      <c r="V34" s="86" t="n"/>
    </row>
    <row r="35" ht="24" customHeight="1" s="80">
      <c r="A35" s="177" t="n">
        <v>46283</v>
      </c>
      <c r="B35" t="inlineStr">
        <is>
          <t>Thứ Sáu</t>
        </is>
      </c>
      <c r="C35" t="inlineStr">
        <is>
          <t>Official</t>
        </is>
      </c>
      <c r="D35" t="inlineStr">
        <is>
          <t>00:30</t>
        </is>
      </c>
      <c r="E35" s="178" t="n">
        <v>46310</v>
      </c>
      <c r="F35" s="178" t="n">
        <v>46284</v>
      </c>
      <c r="G35" s="178" t="n">
        <v>46287</v>
      </c>
      <c r="H35" s="178" t="n">
        <v>46291</v>
      </c>
      <c r="I35" s="178" t="n">
        <v>46295</v>
      </c>
      <c r="J35" s="178" t="n">
        <v>46299</v>
      </c>
      <c r="K35" s="178" t="n">
        <v>46302</v>
      </c>
      <c r="L35" s="178" t="n">
        <v>46305</v>
      </c>
      <c r="M35" s="178" t="n">
        <v>46307</v>
      </c>
      <c r="N35" s="179" t="n">
        <v>46306</v>
      </c>
      <c r="O35" s="179" t="n">
        <v>46344</v>
      </c>
      <c r="P35" s="179" t="n">
        <v>46388</v>
      </c>
      <c r="Q35" s="125" t="n">
        <v>1</v>
      </c>
      <c r="R35" s="125" t="n">
        <v>105</v>
      </c>
      <c r="S35" s="125" t="inlineStr">
        <is>
          <t>PASS</t>
        </is>
      </c>
      <c r="T35" s="125">
        <f>'CRAWL_LOG'!C35</f>
        <v/>
      </c>
      <c r="U35" s="86" t="inlineStr">
        <is>
          <t>Có Tết Dương lịch 01/01</t>
        </is>
      </c>
      <c r="V35" s="86" t="n"/>
    </row>
    <row r="36" ht="24" customHeight="1" s="80">
      <c r="A36" s="177" t="n">
        <v>46284</v>
      </c>
      <c r="B36" t="inlineStr">
        <is>
          <t>Thứ Bảy</t>
        </is>
      </c>
      <c r="C36" t="inlineStr">
        <is>
          <t>Official</t>
        </is>
      </c>
      <c r="D36" t="inlineStr">
        <is>
          <t>00:30</t>
        </is>
      </c>
      <c r="E36" s="178" t="n">
        <v>46310</v>
      </c>
      <c r="F36" s="178" t="n">
        <v>46284</v>
      </c>
      <c r="G36" s="178" t="n">
        <v>46287</v>
      </c>
      <c r="H36" s="178" t="n">
        <v>46291</v>
      </c>
      <c r="I36" s="178" t="n">
        <v>46295</v>
      </c>
      <c r="J36" s="178" t="n">
        <v>46299</v>
      </c>
      <c r="K36" s="178" t="n">
        <v>46302</v>
      </c>
      <c r="L36" s="178" t="n">
        <v>46305</v>
      </c>
      <c r="M36" s="178" t="n">
        <v>46307</v>
      </c>
      <c r="N36" s="179" t="n">
        <v>46306</v>
      </c>
      <c r="O36" s="179" t="n">
        <v>46344</v>
      </c>
      <c r="P36" s="179" t="n">
        <v>46388</v>
      </c>
      <c r="Q36" s="125" t="n">
        <v>0</v>
      </c>
      <c r="R36" s="125" t="n">
        <v>104</v>
      </c>
      <c r="S36" s="125" t="inlineStr">
        <is>
          <t>PASS</t>
        </is>
      </c>
      <c r="T36" s="125">
        <f>'CRAWL_LOG'!C36</f>
        <v/>
      </c>
      <c r="U36" s="86" t="inlineStr">
        <is>
          <t>Có Tết Dương lịch 01/01</t>
        </is>
      </c>
      <c r="V36" s="86" t="n"/>
    </row>
    <row r="37" ht="24" customHeight="1" s="80">
      <c r="A37" s="177" t="n">
        <v>46285</v>
      </c>
      <c r="B37" t="inlineStr">
        <is>
          <t>Chủ Nhật</t>
        </is>
      </c>
      <c r="C37" t="inlineStr">
        <is>
          <t>Official</t>
        </is>
      </c>
      <c r="D37" t="inlineStr">
        <is>
          <t>00:30</t>
        </is>
      </c>
      <c r="E37" s="178" t="n">
        <v>46310</v>
      </c>
      <c r="F37" s="178" t="n">
        <v>46312</v>
      </c>
      <c r="G37" s="178" t="n">
        <v>46287</v>
      </c>
      <c r="H37" s="178" t="n">
        <v>46291</v>
      </c>
      <c r="I37" s="178" t="n">
        <v>46295</v>
      </c>
      <c r="J37" s="178" t="n">
        <v>46299</v>
      </c>
      <c r="K37" s="178" t="n">
        <v>46302</v>
      </c>
      <c r="L37" s="178" t="n">
        <v>46305</v>
      </c>
      <c r="M37" s="178" t="n">
        <v>46307</v>
      </c>
      <c r="N37" s="179" t="n">
        <v>46306</v>
      </c>
      <c r="O37" s="179" t="n">
        <v>46344</v>
      </c>
      <c r="P37" s="179" t="n">
        <v>46388</v>
      </c>
      <c r="Q37" s="125" t="n">
        <v>2</v>
      </c>
      <c r="R37" s="125" t="n">
        <v>103</v>
      </c>
      <c r="S37" s="125" t="inlineStr">
        <is>
          <t>PASS</t>
        </is>
      </c>
      <c r="T37" s="125">
        <f>'CRAWL_LOG'!C37</f>
        <v/>
      </c>
      <c r="U37" s="86" t="inlineStr">
        <is>
          <t>Có Tết Dương lịch 01/01</t>
        </is>
      </c>
      <c r="V37" s="86" t="n"/>
    </row>
    <row r="38" ht="24" customHeight="1" s="80">
      <c r="A38" s="177" t="n">
        <v>46286</v>
      </c>
      <c r="B38" t="inlineStr">
        <is>
          <t>Thứ Hai</t>
        </is>
      </c>
      <c r="C38" t="inlineStr">
        <is>
          <t>Official</t>
        </is>
      </c>
      <c r="D38" t="inlineStr">
        <is>
          <t>00:30</t>
        </is>
      </c>
      <c r="E38" s="178" t="n">
        <v>46310</v>
      </c>
      <c r="F38" s="178" t="n">
        <v>46312</v>
      </c>
      <c r="G38" s="178" t="n">
        <v>46287</v>
      </c>
      <c r="H38" s="178" t="n">
        <v>46291</v>
      </c>
      <c r="I38" s="178" t="n">
        <v>46295</v>
      </c>
      <c r="J38" s="178" t="n">
        <v>46299</v>
      </c>
      <c r="K38" s="178" t="n">
        <v>46302</v>
      </c>
      <c r="L38" s="178" t="n">
        <v>46305</v>
      </c>
      <c r="M38" s="178" t="n">
        <v>46307</v>
      </c>
      <c r="N38" s="179" t="n">
        <v>46306</v>
      </c>
      <c r="O38" s="179" t="n">
        <v>46344</v>
      </c>
      <c r="P38" s="179" t="n">
        <v>46388</v>
      </c>
      <c r="Q38" s="125" t="n">
        <v>1</v>
      </c>
      <c r="R38" s="125" t="n">
        <v>102</v>
      </c>
      <c r="S38" s="125" t="inlineStr">
        <is>
          <t>PASS</t>
        </is>
      </c>
      <c r="T38" s="125">
        <f>'CRAWL_LOG'!C38</f>
        <v/>
      </c>
      <c r="U38" s="86" t="inlineStr">
        <is>
          <t>Có Tết Dương lịch 01/01</t>
        </is>
      </c>
      <c r="V38" s="86" t="n"/>
    </row>
    <row r="39" ht="24" customHeight="1" s="80">
      <c r="A39" s="177" t="n">
        <v>46287</v>
      </c>
      <c r="B39" t="inlineStr">
        <is>
          <t>Thứ Ba</t>
        </is>
      </c>
      <c r="C39" t="inlineStr">
        <is>
          <t>Official</t>
        </is>
      </c>
      <c r="D39" t="inlineStr">
        <is>
          <t>00:30</t>
        </is>
      </c>
      <c r="E39" s="178" t="n">
        <v>46310</v>
      </c>
      <c r="F39" s="178" t="n">
        <v>46312</v>
      </c>
      <c r="G39" s="178" t="n">
        <v>46287</v>
      </c>
      <c r="H39" s="178" t="n">
        <v>46291</v>
      </c>
      <c r="I39" s="178" t="n">
        <v>46295</v>
      </c>
      <c r="J39" s="178" t="n">
        <v>46299</v>
      </c>
      <c r="K39" s="178" t="n">
        <v>46302</v>
      </c>
      <c r="L39" s="178" t="n">
        <v>46305</v>
      </c>
      <c r="M39" s="178" t="n">
        <v>46307</v>
      </c>
      <c r="N39" s="179" t="n">
        <v>46306</v>
      </c>
      <c r="O39" s="179" t="n">
        <v>46344</v>
      </c>
      <c r="P39" s="179" t="n">
        <v>46388</v>
      </c>
      <c r="Q39" s="125" t="n">
        <v>0</v>
      </c>
      <c r="R39" s="125" t="n">
        <v>101</v>
      </c>
      <c r="S39" s="125" t="inlineStr">
        <is>
          <t>PASS</t>
        </is>
      </c>
      <c r="T39" s="125">
        <f>'CRAWL_LOG'!C39</f>
        <v/>
      </c>
      <c r="U39" s="86" t="inlineStr">
        <is>
          <t>Có Tết Dương lịch 01/01</t>
        </is>
      </c>
      <c r="V39" s="86" t="n"/>
    </row>
    <row r="40" ht="24" customHeight="1" s="80">
      <c r="A40" s="177" t="n">
        <v>46288</v>
      </c>
      <c r="B40" t="inlineStr">
        <is>
          <t>Thứ Tư</t>
        </is>
      </c>
      <c r="C40" t="inlineStr">
        <is>
          <t>Official</t>
        </is>
      </c>
      <c r="D40" t="inlineStr">
        <is>
          <t>00:30</t>
        </is>
      </c>
      <c r="E40" s="178" t="n">
        <v>46310</v>
      </c>
      <c r="F40" s="178" t="n">
        <v>46312</v>
      </c>
      <c r="G40" s="178" t="n">
        <v>46315</v>
      </c>
      <c r="H40" s="178" t="n">
        <v>46291</v>
      </c>
      <c r="I40" s="178" t="n">
        <v>46295</v>
      </c>
      <c r="J40" s="178" t="n">
        <v>46299</v>
      </c>
      <c r="K40" s="178" t="n">
        <v>46302</v>
      </c>
      <c r="L40" s="178" t="n">
        <v>46305</v>
      </c>
      <c r="M40" s="178" t="n">
        <v>46307</v>
      </c>
      <c r="N40" s="179" t="n">
        <v>46306</v>
      </c>
      <c r="O40" s="179" t="n">
        <v>46344</v>
      </c>
      <c r="P40" s="179" t="n">
        <v>46388</v>
      </c>
      <c r="Q40" s="125" t="n">
        <v>3</v>
      </c>
      <c r="R40" s="125" t="n">
        <v>100</v>
      </c>
      <c r="S40" s="125" t="inlineStr">
        <is>
          <t>PASS</t>
        </is>
      </c>
      <c r="T40" s="125">
        <f>'CRAWL_LOG'!C40</f>
        <v/>
      </c>
      <c r="U40" s="86" t="inlineStr">
        <is>
          <t>Có Tết Dương lịch 01/01</t>
        </is>
      </c>
      <c r="V40" s="86" t="n"/>
    </row>
    <row r="41" ht="24" customHeight="1" s="80">
      <c r="A41" s="177" t="n">
        <v>46289</v>
      </c>
      <c r="B41" t="inlineStr">
        <is>
          <t>Thứ Năm</t>
        </is>
      </c>
      <c r="C41" t="inlineStr">
        <is>
          <t>Official</t>
        </is>
      </c>
      <c r="D41" t="inlineStr">
        <is>
          <t>00:30</t>
        </is>
      </c>
      <c r="E41" s="178" t="n">
        <v>46310</v>
      </c>
      <c r="F41" s="178" t="n">
        <v>46312</v>
      </c>
      <c r="G41" s="178" t="n">
        <v>46315</v>
      </c>
      <c r="H41" s="178" t="n">
        <v>46291</v>
      </c>
      <c r="I41" s="178" t="n">
        <v>46295</v>
      </c>
      <c r="J41" s="178" t="n">
        <v>46299</v>
      </c>
      <c r="K41" s="178" t="n">
        <v>46302</v>
      </c>
      <c r="L41" s="178" t="n">
        <v>46305</v>
      </c>
      <c r="M41" s="178" t="n">
        <v>46307</v>
      </c>
      <c r="N41" s="179" t="n">
        <v>46306</v>
      </c>
      <c r="O41" s="179" t="n">
        <v>46344</v>
      </c>
      <c r="P41" s="179" t="n">
        <v>46388</v>
      </c>
      <c r="Q41" s="125" t="n">
        <v>2</v>
      </c>
      <c r="R41" s="125" t="n">
        <v>99</v>
      </c>
      <c r="S41" s="125" t="inlineStr">
        <is>
          <t>PASS</t>
        </is>
      </c>
      <c r="T41" s="125">
        <f>'CRAWL_LOG'!C41</f>
        <v/>
      </c>
      <c r="U41" s="86" t="inlineStr">
        <is>
          <t>Có Tết Dương lịch 01/01</t>
        </is>
      </c>
      <c r="V41" s="86" t="n"/>
    </row>
    <row r="42" ht="24" customHeight="1" s="80">
      <c r="A42" s="177" t="n">
        <v>46290</v>
      </c>
      <c r="B42" t="inlineStr">
        <is>
          <t>Thứ Sáu</t>
        </is>
      </c>
      <c r="C42" t="inlineStr">
        <is>
          <t>Official</t>
        </is>
      </c>
      <c r="D42" t="inlineStr">
        <is>
          <t>00:30</t>
        </is>
      </c>
      <c r="E42" s="178" t="n">
        <v>46310</v>
      </c>
      <c r="F42" s="178" t="n">
        <v>46312</v>
      </c>
      <c r="G42" s="178" t="n">
        <v>46315</v>
      </c>
      <c r="H42" s="178" t="n">
        <v>46291</v>
      </c>
      <c r="I42" s="178" t="n">
        <v>46295</v>
      </c>
      <c r="J42" s="178" t="n">
        <v>46299</v>
      </c>
      <c r="K42" s="178" t="n">
        <v>46302</v>
      </c>
      <c r="L42" s="178" t="n">
        <v>46305</v>
      </c>
      <c r="M42" s="178" t="n">
        <v>46307</v>
      </c>
      <c r="N42" s="179" t="n">
        <v>46306</v>
      </c>
      <c r="O42" s="179" t="n">
        <v>46344</v>
      </c>
      <c r="P42" s="179" t="n">
        <v>46388</v>
      </c>
      <c r="Q42" s="125" t="n">
        <v>1</v>
      </c>
      <c r="R42" s="125" t="n">
        <v>98</v>
      </c>
      <c r="S42" s="125" t="inlineStr">
        <is>
          <t>PASS</t>
        </is>
      </c>
      <c r="T42" s="125">
        <f>'CRAWL_LOG'!C42</f>
        <v/>
      </c>
      <c r="U42" s="86" t="inlineStr">
        <is>
          <t>Có Tết Dương lịch 01/01</t>
        </is>
      </c>
      <c r="V42" s="86" t="n"/>
    </row>
    <row r="43" ht="24" customHeight="1" s="80">
      <c r="A43" s="177" t="n">
        <v>46291</v>
      </c>
      <c r="B43" t="inlineStr">
        <is>
          <t>Thứ Bảy</t>
        </is>
      </c>
      <c r="C43" t="inlineStr">
        <is>
          <t>Official</t>
        </is>
      </c>
      <c r="D43" t="inlineStr">
        <is>
          <t>00:30</t>
        </is>
      </c>
      <c r="E43" s="178" t="n">
        <v>46310</v>
      </c>
      <c r="F43" s="178" t="n">
        <v>46312</v>
      </c>
      <c r="G43" s="178" t="n">
        <v>46315</v>
      </c>
      <c r="H43" s="178" t="n">
        <v>46291</v>
      </c>
      <c r="I43" s="178" t="n">
        <v>46295</v>
      </c>
      <c r="J43" s="178" t="n">
        <v>46299</v>
      </c>
      <c r="K43" s="178" t="n">
        <v>46302</v>
      </c>
      <c r="L43" s="178" t="n">
        <v>46305</v>
      </c>
      <c r="M43" s="178" t="n">
        <v>46307</v>
      </c>
      <c r="N43" s="179" t="n">
        <v>46306</v>
      </c>
      <c r="O43" s="179" t="n">
        <v>46344</v>
      </c>
      <c r="P43" s="179" t="n">
        <v>46388</v>
      </c>
      <c r="Q43" s="125" t="n">
        <v>0</v>
      </c>
      <c r="R43" s="125" t="n">
        <v>97</v>
      </c>
      <c r="S43" s="125" t="inlineStr">
        <is>
          <t>PASS</t>
        </is>
      </c>
      <c r="T43" s="125">
        <f>'CRAWL_LOG'!C43</f>
        <v/>
      </c>
      <c r="U43" s="86" t="inlineStr">
        <is>
          <t>Có Tết Dương lịch 01/01</t>
        </is>
      </c>
      <c r="V43" s="86" t="n"/>
    </row>
    <row r="44" ht="24" customHeight="1" s="80">
      <c r="A44" s="177" t="n">
        <v>46292</v>
      </c>
      <c r="B44" t="inlineStr">
        <is>
          <t>Chủ Nhật</t>
        </is>
      </c>
      <c r="C44" t="inlineStr">
        <is>
          <t>Official</t>
        </is>
      </c>
      <c r="D44" t="inlineStr">
        <is>
          <t>00:30</t>
        </is>
      </c>
      <c r="E44" s="178" t="n">
        <v>46310</v>
      </c>
      <c r="F44" s="178" t="n">
        <v>46312</v>
      </c>
      <c r="G44" s="178" t="n">
        <v>46315</v>
      </c>
      <c r="H44" s="178" t="n">
        <v>46319</v>
      </c>
      <c r="I44" s="178" t="n">
        <v>46295</v>
      </c>
      <c r="J44" s="178" t="n">
        <v>46299</v>
      </c>
      <c r="K44" s="178" t="n">
        <v>46302</v>
      </c>
      <c r="L44" s="178" t="n">
        <v>46305</v>
      </c>
      <c r="M44" s="178" t="n">
        <v>46307</v>
      </c>
      <c r="N44" s="179" t="n">
        <v>46306</v>
      </c>
      <c r="O44" s="179" t="n">
        <v>46344</v>
      </c>
      <c r="P44" s="179" t="n">
        <v>46388</v>
      </c>
      <c r="Q44" s="125" t="n">
        <v>3</v>
      </c>
      <c r="R44" s="125" t="n">
        <v>96</v>
      </c>
      <c r="S44" s="125" t="inlineStr">
        <is>
          <t>PASS</t>
        </is>
      </c>
      <c r="T44" s="125">
        <f>'CRAWL_LOG'!C44</f>
        <v/>
      </c>
      <c r="U44" s="86" t="inlineStr">
        <is>
          <t>Có Tết Dương lịch 01/01</t>
        </is>
      </c>
      <c r="V44" s="86" t="n"/>
    </row>
    <row r="45" ht="24" customHeight="1" s="80">
      <c r="A45" s="177" t="n">
        <v>46293</v>
      </c>
      <c r="B45" t="inlineStr">
        <is>
          <t>Thứ Hai</t>
        </is>
      </c>
      <c r="C45" t="inlineStr">
        <is>
          <t>Official</t>
        </is>
      </c>
      <c r="D45" t="inlineStr">
        <is>
          <t>00:30</t>
        </is>
      </c>
      <c r="E45" s="178" t="n">
        <v>46310</v>
      </c>
      <c r="F45" s="178" t="n">
        <v>46312</v>
      </c>
      <c r="G45" s="178" t="n">
        <v>46315</v>
      </c>
      <c r="H45" s="178" t="n">
        <v>46319</v>
      </c>
      <c r="I45" s="178" t="n">
        <v>46295</v>
      </c>
      <c r="J45" s="178" t="n">
        <v>46299</v>
      </c>
      <c r="K45" s="178" t="n">
        <v>46302</v>
      </c>
      <c r="L45" s="178" t="n">
        <v>46305</v>
      </c>
      <c r="M45" s="178" t="n">
        <v>46307</v>
      </c>
      <c r="N45" s="179" t="n">
        <v>46306</v>
      </c>
      <c r="O45" s="179" t="n">
        <v>46344</v>
      </c>
      <c r="P45" s="179" t="n">
        <v>46388</v>
      </c>
      <c r="Q45" s="125" t="n">
        <v>2</v>
      </c>
      <c r="R45" s="125" t="n">
        <v>95</v>
      </c>
      <c r="S45" s="125" t="inlineStr">
        <is>
          <t>PASS</t>
        </is>
      </c>
      <c r="T45" s="125">
        <f>'CRAWL_LOG'!C45</f>
        <v/>
      </c>
      <c r="U45" s="86" t="inlineStr">
        <is>
          <t>Có Tết Dương lịch 01/01</t>
        </is>
      </c>
      <c r="V45" s="86" t="n"/>
    </row>
    <row r="46" ht="24" customHeight="1" s="80">
      <c r="A46" s="177" t="n">
        <v>46294</v>
      </c>
      <c r="B46" t="inlineStr">
        <is>
          <t>Thứ Ba</t>
        </is>
      </c>
      <c r="C46" t="inlineStr">
        <is>
          <t>Official</t>
        </is>
      </c>
      <c r="D46" t="inlineStr">
        <is>
          <t>00:30</t>
        </is>
      </c>
      <c r="E46" s="178" t="n">
        <v>46310</v>
      </c>
      <c r="F46" s="178" t="n">
        <v>46312</v>
      </c>
      <c r="G46" s="178" t="n">
        <v>46315</v>
      </c>
      <c r="H46" s="178" t="n">
        <v>46319</v>
      </c>
      <c r="I46" s="178" t="n">
        <v>46295</v>
      </c>
      <c r="J46" s="178" t="n">
        <v>46299</v>
      </c>
      <c r="K46" s="178" t="n">
        <v>46302</v>
      </c>
      <c r="L46" s="178" t="n">
        <v>46305</v>
      </c>
      <c r="M46" s="178" t="n">
        <v>46307</v>
      </c>
      <c r="N46" s="179" t="n">
        <v>46306</v>
      </c>
      <c r="O46" s="179" t="n">
        <v>46344</v>
      </c>
      <c r="P46" s="179" t="n">
        <v>46388</v>
      </c>
      <c r="Q46" s="125" t="n">
        <v>1</v>
      </c>
      <c r="R46" s="125" t="n">
        <v>94</v>
      </c>
      <c r="S46" s="125" t="inlineStr">
        <is>
          <t>PASS</t>
        </is>
      </c>
      <c r="T46" s="125">
        <f>'CRAWL_LOG'!C46</f>
        <v/>
      </c>
      <c r="U46" s="86" t="inlineStr">
        <is>
          <t>Có Tết Dương lịch 01/01</t>
        </is>
      </c>
      <c r="V46" s="86" t="n"/>
    </row>
    <row r="47" ht="24" customHeight="1" s="80">
      <c r="A47" s="177" t="n">
        <v>46295</v>
      </c>
      <c r="B47" t="inlineStr">
        <is>
          <t>Thứ Tư</t>
        </is>
      </c>
      <c r="C47" t="inlineStr">
        <is>
          <t>Official</t>
        </is>
      </c>
      <c r="D47" t="inlineStr">
        <is>
          <t>00:30</t>
        </is>
      </c>
      <c r="E47" s="178" t="n">
        <v>46310</v>
      </c>
      <c r="F47" s="178" t="n">
        <v>46312</v>
      </c>
      <c r="G47" s="178" t="n">
        <v>46315</v>
      </c>
      <c r="H47" s="178" t="n">
        <v>46319</v>
      </c>
      <c r="I47" s="178" t="n">
        <v>46295</v>
      </c>
      <c r="J47" s="178" t="n">
        <v>46299</v>
      </c>
      <c r="K47" s="178" t="n">
        <v>46302</v>
      </c>
      <c r="L47" s="178" t="n">
        <v>46305</v>
      </c>
      <c r="M47" s="178" t="n">
        <v>46307</v>
      </c>
      <c r="N47" s="179" t="n">
        <v>46306</v>
      </c>
      <c r="O47" s="179" t="n">
        <v>46344</v>
      </c>
      <c r="P47" s="179" t="n">
        <v>46388</v>
      </c>
      <c r="Q47" s="125" t="n">
        <v>0</v>
      </c>
      <c r="R47" s="125" t="n">
        <v>93</v>
      </c>
      <c r="S47" s="125" t="inlineStr">
        <is>
          <t>PASS</t>
        </is>
      </c>
      <c r="T47" s="125">
        <f>'CRAWL_LOG'!C47</f>
        <v/>
      </c>
      <c r="U47" s="86" t="inlineStr">
        <is>
          <t>Có Tết Dương lịch 01/01</t>
        </is>
      </c>
      <c r="V47" s="86" t="n"/>
    </row>
    <row r="48" ht="24" customHeight="1" s="80">
      <c r="A48" s="177" t="n">
        <v>46296</v>
      </c>
      <c r="B48" t="inlineStr">
        <is>
          <t>Thứ Năm</t>
        </is>
      </c>
      <c r="C48" t="inlineStr">
        <is>
          <t>Official</t>
        </is>
      </c>
      <c r="D48" t="inlineStr">
        <is>
          <t>00:30</t>
        </is>
      </c>
      <c r="E48" s="178" t="n">
        <v>46310</v>
      </c>
      <c r="F48" s="178" t="n">
        <v>46312</v>
      </c>
      <c r="G48" s="178" t="n">
        <v>46315</v>
      </c>
      <c r="H48" s="178" t="n">
        <v>46319</v>
      </c>
      <c r="I48" s="178" t="n">
        <v>46323</v>
      </c>
      <c r="J48" s="178" t="n">
        <v>46299</v>
      </c>
      <c r="K48" s="178" t="n">
        <v>46302</v>
      </c>
      <c r="L48" s="178" t="n">
        <v>46305</v>
      </c>
      <c r="M48" s="178" t="n">
        <v>46307</v>
      </c>
      <c r="N48" s="179" t="n">
        <v>46306</v>
      </c>
      <c r="O48" s="179" t="n">
        <v>46344</v>
      </c>
      <c r="P48" s="179" t="n">
        <v>46388</v>
      </c>
      <c r="Q48" s="125" t="n">
        <v>3</v>
      </c>
      <c r="R48" s="125" t="n">
        <v>92</v>
      </c>
      <c r="S48" s="125" t="inlineStr">
        <is>
          <t>PASS</t>
        </is>
      </c>
      <c r="T48" s="125">
        <f>'CRAWL_LOG'!C48</f>
        <v/>
      </c>
      <c r="U48" s="86" t="inlineStr">
        <is>
          <t>Có Tết Dương lịch 01/01</t>
        </is>
      </c>
      <c r="V48" s="86" t="n"/>
    </row>
    <row r="49" ht="24" customHeight="1" s="80">
      <c r="A49" s="177" t="n">
        <v>46297</v>
      </c>
      <c r="B49" t="inlineStr">
        <is>
          <t>Thứ Sáu</t>
        </is>
      </c>
      <c r="C49" t="inlineStr">
        <is>
          <t>Official</t>
        </is>
      </c>
      <c r="D49" t="inlineStr">
        <is>
          <t>00:30</t>
        </is>
      </c>
      <c r="E49" s="178" t="n">
        <v>46310</v>
      </c>
      <c r="F49" s="178" t="n">
        <v>46312</v>
      </c>
      <c r="G49" s="178" t="n">
        <v>46315</v>
      </c>
      <c r="H49" s="178" t="n">
        <v>46319</v>
      </c>
      <c r="I49" s="178" t="n">
        <v>46323</v>
      </c>
      <c r="J49" s="178" t="n">
        <v>46299</v>
      </c>
      <c r="K49" s="178" t="n">
        <v>46302</v>
      </c>
      <c r="L49" s="178" t="n">
        <v>46305</v>
      </c>
      <c r="M49" s="178" t="n">
        <v>46307</v>
      </c>
      <c r="N49" s="179" t="n">
        <v>46306</v>
      </c>
      <c r="O49" s="179" t="n">
        <v>46344</v>
      </c>
      <c r="P49" s="179" t="n">
        <v>46388</v>
      </c>
      <c r="Q49" s="125" t="n">
        <v>2</v>
      </c>
      <c r="R49" s="125" t="n">
        <v>91</v>
      </c>
      <c r="S49" s="125" t="inlineStr">
        <is>
          <t>PASS</t>
        </is>
      </c>
      <c r="T49" s="125">
        <f>'CRAWL_LOG'!C49</f>
        <v/>
      </c>
      <c r="U49" s="86" t="inlineStr">
        <is>
          <t>Có Tết Dương lịch 01/01</t>
        </is>
      </c>
      <c r="V49" s="86" t="n"/>
    </row>
    <row r="50" ht="24" customHeight="1" s="80">
      <c r="A50" s="177" t="n">
        <v>46298</v>
      </c>
      <c r="B50" t="inlineStr">
        <is>
          <t>Thứ Bảy</t>
        </is>
      </c>
      <c r="C50" t="inlineStr">
        <is>
          <t>Official</t>
        </is>
      </c>
      <c r="D50" t="inlineStr">
        <is>
          <t>00:30</t>
        </is>
      </c>
      <c r="E50" s="178" t="n">
        <v>46310</v>
      </c>
      <c r="F50" s="178" t="n">
        <v>46312</v>
      </c>
      <c r="G50" s="178" t="n">
        <v>46315</v>
      </c>
      <c r="H50" s="178" t="n">
        <v>46319</v>
      </c>
      <c r="I50" s="178" t="n">
        <v>46323</v>
      </c>
      <c r="J50" s="178" t="n">
        <v>46299</v>
      </c>
      <c r="K50" s="178" t="n">
        <v>46302</v>
      </c>
      <c r="L50" s="178" t="n">
        <v>46305</v>
      </c>
      <c r="M50" s="178" t="n">
        <v>46307</v>
      </c>
      <c r="N50" s="179" t="n">
        <v>46306</v>
      </c>
      <c r="O50" s="179" t="n">
        <v>46344</v>
      </c>
      <c r="P50" s="179" t="n">
        <v>46388</v>
      </c>
      <c r="Q50" s="125" t="n">
        <v>1</v>
      </c>
      <c r="R50" s="125" t="n">
        <v>90</v>
      </c>
      <c r="S50" s="125" t="inlineStr">
        <is>
          <t>PASS</t>
        </is>
      </c>
      <c r="T50" s="125">
        <f>'CRAWL_LOG'!C50</f>
        <v/>
      </c>
      <c r="U50" s="86" t="inlineStr">
        <is>
          <t>Có Tết Dương lịch 01/01</t>
        </is>
      </c>
      <c r="V50" s="86" t="n"/>
    </row>
    <row r="51" ht="24" customHeight="1" s="80">
      <c r="A51" s="177" t="n">
        <v>46299</v>
      </c>
      <c r="B51" t="inlineStr">
        <is>
          <t>Chủ Nhật</t>
        </is>
      </c>
      <c r="C51" t="inlineStr">
        <is>
          <t>Official</t>
        </is>
      </c>
      <c r="D51" t="inlineStr">
        <is>
          <t>00:30</t>
        </is>
      </c>
      <c r="E51" s="178" t="n">
        <v>46310</v>
      </c>
      <c r="F51" s="178" t="n">
        <v>46312</v>
      </c>
      <c r="G51" s="178" t="n">
        <v>46315</v>
      </c>
      <c r="H51" s="178" t="n">
        <v>46319</v>
      </c>
      <c r="I51" s="178" t="n">
        <v>46323</v>
      </c>
      <c r="J51" s="178" t="n">
        <v>46299</v>
      </c>
      <c r="K51" s="178" t="n">
        <v>46302</v>
      </c>
      <c r="L51" s="178" t="n">
        <v>46305</v>
      </c>
      <c r="M51" s="178" t="n">
        <v>46307</v>
      </c>
      <c r="N51" s="179" t="n">
        <v>46306</v>
      </c>
      <c r="O51" s="179" t="n">
        <v>46344</v>
      </c>
      <c r="P51" s="179" t="n">
        <v>46388</v>
      </c>
      <c r="Q51" s="125" t="n">
        <v>0</v>
      </c>
      <c r="R51" s="125" t="n">
        <v>89</v>
      </c>
      <c r="S51" s="125" t="inlineStr">
        <is>
          <t>PASS</t>
        </is>
      </c>
      <c r="T51" s="125">
        <f>'CRAWL_LOG'!C51</f>
        <v/>
      </c>
      <c r="U51" s="86" t="inlineStr">
        <is>
          <t>Có Tết Dương lịch 01/01</t>
        </is>
      </c>
      <c r="V51" s="86" t="n"/>
    </row>
    <row r="52" ht="24" customHeight="1" s="80">
      <c r="A52" s="177" t="n">
        <v>46300</v>
      </c>
      <c r="B52" t="inlineStr">
        <is>
          <t>Thứ Hai</t>
        </is>
      </c>
      <c r="C52" t="inlineStr">
        <is>
          <t>Official</t>
        </is>
      </c>
      <c r="D52" t="inlineStr">
        <is>
          <t>00:30</t>
        </is>
      </c>
      <c r="E52" s="178" t="n">
        <v>46310</v>
      </c>
      <c r="F52" s="178" t="n">
        <v>46312</v>
      </c>
      <c r="G52" s="178" t="n">
        <v>46315</v>
      </c>
      <c r="H52" s="178" t="n">
        <v>46319</v>
      </c>
      <c r="I52" s="178" t="n">
        <v>46323</v>
      </c>
      <c r="J52" s="178" t="n">
        <v>46327</v>
      </c>
      <c r="K52" s="178" t="n">
        <v>46302</v>
      </c>
      <c r="L52" s="178" t="n">
        <v>46305</v>
      </c>
      <c r="M52" s="178" t="n">
        <v>46307</v>
      </c>
      <c r="N52" s="179" t="n">
        <v>46306</v>
      </c>
      <c r="O52" s="179" t="n">
        <v>46344</v>
      </c>
      <c r="P52" s="179" t="n">
        <v>46388</v>
      </c>
      <c r="Q52" s="125" t="n">
        <v>2</v>
      </c>
      <c r="R52" s="125" t="n">
        <v>88</v>
      </c>
      <c r="S52" s="125" t="inlineStr">
        <is>
          <t>PASS</t>
        </is>
      </c>
      <c r="T52" s="125">
        <f>'CRAWL_LOG'!C52</f>
        <v/>
      </c>
      <c r="U52" s="86" t="inlineStr">
        <is>
          <t>Có Tết Dương lịch 01/01</t>
        </is>
      </c>
      <c r="V52" s="86" t="n"/>
    </row>
    <row r="53" ht="24" customHeight="1" s="80">
      <c r="A53" s="177" t="n">
        <v>46301</v>
      </c>
      <c r="B53" t="inlineStr">
        <is>
          <t>Thứ Ba</t>
        </is>
      </c>
      <c r="C53" t="inlineStr">
        <is>
          <t>Official</t>
        </is>
      </c>
      <c r="D53" t="inlineStr">
        <is>
          <t>00:30</t>
        </is>
      </c>
      <c r="E53" s="178" t="n">
        <v>46310</v>
      </c>
      <c r="F53" s="178" t="n">
        <v>46312</v>
      </c>
      <c r="G53" s="178" t="n">
        <v>46315</v>
      </c>
      <c r="H53" s="178" t="n">
        <v>46319</v>
      </c>
      <c r="I53" s="178" t="n">
        <v>46323</v>
      </c>
      <c r="J53" s="178" t="n">
        <v>46327</v>
      </c>
      <c r="K53" s="178" t="n">
        <v>46302</v>
      </c>
      <c r="L53" s="178" t="n">
        <v>46305</v>
      </c>
      <c r="M53" s="178" t="n">
        <v>46307</v>
      </c>
      <c r="N53" s="179" t="n">
        <v>46306</v>
      </c>
      <c r="O53" s="179" t="n">
        <v>46344</v>
      </c>
      <c r="P53" s="179" t="n">
        <v>46388</v>
      </c>
      <c r="Q53" s="125" t="n">
        <v>1</v>
      </c>
      <c r="R53" s="125" t="n">
        <v>87</v>
      </c>
      <c r="S53" s="125" t="inlineStr">
        <is>
          <t>PASS</t>
        </is>
      </c>
      <c r="T53" s="125">
        <f>'CRAWL_LOG'!C53</f>
        <v/>
      </c>
      <c r="U53" s="86" t="inlineStr">
        <is>
          <t>Có Tết Dương lịch 01/01</t>
        </is>
      </c>
      <c r="V53" s="86" t="n"/>
    </row>
    <row r="54" ht="24" customHeight="1" s="80">
      <c r="A54" s="177" t="n">
        <v>46302</v>
      </c>
      <c r="B54" t="inlineStr">
        <is>
          <t>Thứ Tư</t>
        </is>
      </c>
      <c r="C54" t="inlineStr">
        <is>
          <t>Official</t>
        </is>
      </c>
      <c r="D54" t="inlineStr">
        <is>
          <t>00:30</t>
        </is>
      </c>
      <c r="E54" s="178" t="n">
        <v>46310</v>
      </c>
      <c r="F54" s="178" t="n">
        <v>46312</v>
      </c>
      <c r="G54" s="178" t="n">
        <v>46315</v>
      </c>
      <c r="H54" s="178" t="n">
        <v>46319</v>
      </c>
      <c r="I54" s="178" t="n">
        <v>46323</v>
      </c>
      <c r="J54" s="178" t="n">
        <v>46327</v>
      </c>
      <c r="K54" s="178" t="n">
        <v>46302</v>
      </c>
      <c r="L54" s="178" t="n">
        <v>46305</v>
      </c>
      <c r="M54" s="178" t="n">
        <v>46307</v>
      </c>
      <c r="N54" s="179" t="n">
        <v>46306</v>
      </c>
      <c r="O54" s="179" t="n">
        <v>46344</v>
      </c>
      <c r="P54" s="179" t="n">
        <v>46388</v>
      </c>
      <c r="Q54" s="125" t="n">
        <v>0</v>
      </c>
      <c r="R54" s="125" t="n">
        <v>86</v>
      </c>
      <c r="S54" s="125" t="inlineStr">
        <is>
          <t>PASS</t>
        </is>
      </c>
      <c r="T54" s="125">
        <f>'CRAWL_LOG'!C54</f>
        <v/>
      </c>
      <c r="U54" s="86" t="inlineStr">
        <is>
          <t>Có Tết Dương lịch 01/01</t>
        </is>
      </c>
      <c r="V54" s="86" t="n"/>
    </row>
    <row r="55" ht="24" customHeight="1" s="80">
      <c r="A55" s="177" t="n">
        <v>46303</v>
      </c>
      <c r="B55" t="inlineStr">
        <is>
          <t>Thứ Năm</t>
        </is>
      </c>
      <c r="C55" t="inlineStr">
        <is>
          <t>Official</t>
        </is>
      </c>
      <c r="D55" t="inlineStr">
        <is>
          <t>00:30</t>
        </is>
      </c>
      <c r="E55" s="178" t="n">
        <v>46310</v>
      </c>
      <c r="F55" s="178" t="n">
        <v>46312</v>
      </c>
      <c r="G55" s="178" t="n">
        <v>46315</v>
      </c>
      <c r="H55" s="178" t="n">
        <v>46319</v>
      </c>
      <c r="I55" s="178" t="n">
        <v>46323</v>
      </c>
      <c r="J55" s="178" t="n">
        <v>46327</v>
      </c>
      <c r="K55" s="178" t="n">
        <v>46330</v>
      </c>
      <c r="L55" s="178" t="n">
        <v>46305</v>
      </c>
      <c r="M55" s="178" t="n">
        <v>46307</v>
      </c>
      <c r="N55" s="179" t="n">
        <v>46306</v>
      </c>
      <c r="O55" s="179" t="n">
        <v>46344</v>
      </c>
      <c r="P55" s="179" t="n">
        <v>46388</v>
      </c>
      <c r="Q55" s="125" t="n">
        <v>2</v>
      </c>
      <c r="R55" s="125" t="n">
        <v>85</v>
      </c>
      <c r="S55" s="125" t="inlineStr">
        <is>
          <t>PASS</t>
        </is>
      </c>
      <c r="T55" s="125">
        <f>'CRAWL_LOG'!C55</f>
        <v/>
      </c>
      <c r="U55" s="86" t="inlineStr">
        <is>
          <t>Có Tết Dương lịch 01/01</t>
        </is>
      </c>
      <c r="V55" s="86" t="n"/>
    </row>
    <row r="56" ht="24" customHeight="1" s="80">
      <c r="A56" s="177" t="n">
        <v>46304</v>
      </c>
      <c r="B56" t="inlineStr">
        <is>
          <t>Thứ Sáu</t>
        </is>
      </c>
      <c r="C56" t="inlineStr">
        <is>
          <t>Official</t>
        </is>
      </c>
      <c r="D56" t="inlineStr">
        <is>
          <t>00:30</t>
        </is>
      </c>
      <c r="E56" s="178" t="n">
        <v>46310</v>
      </c>
      <c r="F56" s="178" t="n">
        <v>46312</v>
      </c>
      <c r="G56" s="178" t="n">
        <v>46315</v>
      </c>
      <c r="H56" s="178" t="n">
        <v>46319</v>
      </c>
      <c r="I56" s="178" t="n">
        <v>46323</v>
      </c>
      <c r="J56" s="178" t="n">
        <v>46327</v>
      </c>
      <c r="K56" s="178" t="n">
        <v>46330</v>
      </c>
      <c r="L56" s="178" t="n">
        <v>46305</v>
      </c>
      <c r="M56" s="178" t="n">
        <v>46307</v>
      </c>
      <c r="N56" s="179" t="n">
        <v>46306</v>
      </c>
      <c r="O56" s="179" t="n">
        <v>46344</v>
      </c>
      <c r="P56" s="179" t="n">
        <v>46388</v>
      </c>
      <c r="Q56" s="125" t="n">
        <v>1</v>
      </c>
      <c r="R56" s="125" t="n">
        <v>84</v>
      </c>
      <c r="S56" s="125" t="inlineStr">
        <is>
          <t>PASS</t>
        </is>
      </c>
      <c r="T56" s="125">
        <f>'CRAWL_LOG'!C56</f>
        <v/>
      </c>
      <c r="U56" s="86" t="inlineStr">
        <is>
          <t>Có Tết Dương lịch 01/01</t>
        </is>
      </c>
      <c r="V56" s="86" t="n"/>
    </row>
    <row r="57" ht="24" customHeight="1" s="80">
      <c r="A57" s="177" t="n">
        <v>46305</v>
      </c>
      <c r="B57" t="inlineStr">
        <is>
          <t>Thứ Bảy</t>
        </is>
      </c>
      <c r="C57" t="inlineStr">
        <is>
          <t>Official</t>
        </is>
      </c>
      <c r="D57" t="inlineStr">
        <is>
          <t>00:30</t>
        </is>
      </c>
      <c r="E57" s="178" t="n">
        <v>46310</v>
      </c>
      <c r="F57" s="178" t="n">
        <v>46312</v>
      </c>
      <c r="G57" s="178" t="n">
        <v>46315</v>
      </c>
      <c r="H57" s="178" t="n">
        <v>46319</v>
      </c>
      <c r="I57" s="178" t="n">
        <v>46323</v>
      </c>
      <c r="J57" s="178" t="n">
        <v>46327</v>
      </c>
      <c r="K57" s="178" t="n">
        <v>46330</v>
      </c>
      <c r="L57" s="178" t="n">
        <v>46305</v>
      </c>
      <c r="M57" s="178" t="n">
        <v>46307</v>
      </c>
      <c r="N57" s="179" t="n">
        <v>46306</v>
      </c>
      <c r="O57" s="179" t="n">
        <v>46344</v>
      </c>
      <c r="P57" s="179" t="n">
        <v>46388</v>
      </c>
      <c r="Q57" s="125" t="n">
        <v>0</v>
      </c>
      <c r="R57" s="125" t="n">
        <v>83</v>
      </c>
      <c r="S57" s="125" t="inlineStr">
        <is>
          <t>PASS</t>
        </is>
      </c>
      <c r="T57" s="125">
        <f>'CRAWL_LOG'!C57</f>
        <v/>
      </c>
      <c r="U57" s="86" t="inlineStr">
        <is>
          <t>Có Tết Dương lịch 01/01</t>
        </is>
      </c>
      <c r="V57" s="86" t="n"/>
    </row>
    <row r="58" ht="24" customHeight="1" s="80">
      <c r="A58" s="177" t="n">
        <v>46306</v>
      </c>
      <c r="B58" t="inlineStr">
        <is>
          <t>Chủ Nhật</t>
        </is>
      </c>
      <c r="C58" t="inlineStr">
        <is>
          <t>Official</t>
        </is>
      </c>
      <c r="D58" t="inlineStr">
        <is>
          <t>00:30</t>
        </is>
      </c>
      <c r="E58" s="178" t="n">
        <v>46310</v>
      </c>
      <c r="F58" s="178" t="n">
        <v>46312</v>
      </c>
      <c r="G58" s="178" t="n">
        <v>46315</v>
      </c>
      <c r="H58" s="178" t="n">
        <v>46319</v>
      </c>
      <c r="I58" s="178" t="n">
        <v>46323</v>
      </c>
      <c r="J58" s="178" t="n">
        <v>46327</v>
      </c>
      <c r="K58" s="178" t="n">
        <v>46330</v>
      </c>
      <c r="L58" s="178" t="n">
        <v>46333</v>
      </c>
      <c r="M58" s="178" t="n">
        <v>46307</v>
      </c>
      <c r="N58" s="179" t="n">
        <v>46306</v>
      </c>
      <c r="O58" s="179" t="n">
        <v>46344</v>
      </c>
      <c r="P58" s="179" t="n">
        <v>46388</v>
      </c>
      <c r="Q58" s="125" t="n">
        <v>0</v>
      </c>
      <c r="R58" s="125" t="n">
        <v>82</v>
      </c>
      <c r="S58" s="125" t="inlineStr">
        <is>
          <t>PASS</t>
        </is>
      </c>
      <c r="T58" s="125">
        <f>'CRAWL_LOG'!C58</f>
        <v/>
      </c>
      <c r="U58" s="86" t="inlineStr">
        <is>
          <t>Có Tết Dương lịch 01/01</t>
        </is>
      </c>
      <c r="V58" s="86" t="n"/>
    </row>
    <row r="59" ht="24" customHeight="1" s="80">
      <c r="A59" s="177" t="n">
        <v>46307</v>
      </c>
      <c r="B59" t="inlineStr">
        <is>
          <t>Thứ Hai</t>
        </is>
      </c>
      <c r="C59" t="inlineStr">
        <is>
          <t>Official</t>
        </is>
      </c>
      <c r="D59" t="inlineStr">
        <is>
          <t>00:30</t>
        </is>
      </c>
      <c r="E59" s="178" t="n">
        <v>46310</v>
      </c>
      <c r="F59" s="178" t="n">
        <v>46312</v>
      </c>
      <c r="G59" s="178" t="n">
        <v>46315</v>
      </c>
      <c r="H59" s="178" t="n">
        <v>46319</v>
      </c>
      <c r="I59" s="178" t="n">
        <v>46323</v>
      </c>
      <c r="J59" s="178" t="n">
        <v>46327</v>
      </c>
      <c r="K59" s="178" t="n">
        <v>46330</v>
      </c>
      <c r="L59" s="178" t="n">
        <v>46333</v>
      </c>
      <c r="M59" s="178" t="n">
        <v>46307</v>
      </c>
      <c r="N59" s="179" t="n">
        <v>46362</v>
      </c>
      <c r="O59" s="179" t="n">
        <v>46344</v>
      </c>
      <c r="P59" s="179" t="n">
        <v>46388</v>
      </c>
      <c r="Q59" s="125" t="n">
        <v>0</v>
      </c>
      <c r="R59" s="125" t="n">
        <v>81</v>
      </c>
      <c r="S59" s="125" t="inlineStr">
        <is>
          <t>PASS</t>
        </is>
      </c>
      <c r="T59" s="125">
        <f>'CRAWL_LOG'!C59</f>
        <v/>
      </c>
      <c r="U59" s="86" t="inlineStr">
        <is>
          <t>Có Tết Dương lịch 01/01</t>
        </is>
      </c>
      <c r="V59" s="86" t="n"/>
    </row>
    <row r="60" ht="24" customHeight="1" s="80">
      <c r="A60" s="177" t="n">
        <v>46308</v>
      </c>
      <c r="B60" t="inlineStr">
        <is>
          <t>Thứ Ba</t>
        </is>
      </c>
      <c r="C60" t="inlineStr">
        <is>
          <t>Official</t>
        </is>
      </c>
      <c r="D60" t="inlineStr">
        <is>
          <t>00:30</t>
        </is>
      </c>
      <c r="E60" s="178" t="n">
        <v>46310</v>
      </c>
      <c r="F60" s="178" t="n">
        <v>46312</v>
      </c>
      <c r="G60" s="178" t="n">
        <v>46315</v>
      </c>
      <c r="H60" s="178" t="n">
        <v>46319</v>
      </c>
      <c r="I60" s="178" t="n">
        <v>46323</v>
      </c>
      <c r="J60" s="178" t="n">
        <v>46327</v>
      </c>
      <c r="K60" s="178" t="n">
        <v>46330</v>
      </c>
      <c r="L60" s="178" t="n">
        <v>46333</v>
      </c>
      <c r="M60" s="178" t="n">
        <v>46335</v>
      </c>
      <c r="N60" s="179" t="n">
        <v>46362</v>
      </c>
      <c r="O60" s="179" t="n">
        <v>46344</v>
      </c>
      <c r="P60" s="179" t="n">
        <v>46388</v>
      </c>
      <c r="Q60" s="125" t="n">
        <v>2</v>
      </c>
      <c r="R60" s="125" t="n">
        <v>80</v>
      </c>
      <c r="S60" s="125" t="inlineStr">
        <is>
          <t>PASS</t>
        </is>
      </c>
      <c r="T60" s="125">
        <f>'CRAWL_LOG'!C60</f>
        <v/>
      </c>
      <c r="U60" s="86" t="inlineStr">
        <is>
          <t>Có Tết Dương lịch 01/01</t>
        </is>
      </c>
      <c r="V60" s="86" t="n"/>
    </row>
    <row r="61" ht="24" customHeight="1" s="80">
      <c r="A61" s="177" t="n">
        <v>46309</v>
      </c>
      <c r="B61" t="inlineStr">
        <is>
          <t>Thứ Tư</t>
        </is>
      </c>
      <c r="C61" t="inlineStr">
        <is>
          <t>Official</t>
        </is>
      </c>
      <c r="D61" t="inlineStr">
        <is>
          <t>00:30</t>
        </is>
      </c>
      <c r="E61" s="178" t="n">
        <v>46310</v>
      </c>
      <c r="F61" s="178" t="n">
        <v>46312</v>
      </c>
      <c r="G61" s="178" t="n">
        <v>46315</v>
      </c>
      <c r="H61" s="178" t="n">
        <v>46319</v>
      </c>
      <c r="I61" s="178" t="n">
        <v>46323</v>
      </c>
      <c r="J61" s="178" t="n">
        <v>46327</v>
      </c>
      <c r="K61" s="178" t="n">
        <v>46330</v>
      </c>
      <c r="L61" s="178" t="n">
        <v>46333</v>
      </c>
      <c r="M61" s="178" t="n">
        <v>46335</v>
      </c>
      <c r="N61" s="179" t="n">
        <v>46362</v>
      </c>
      <c r="O61" s="179" t="n">
        <v>46344</v>
      </c>
      <c r="P61" s="179" t="n">
        <v>46388</v>
      </c>
      <c r="Q61" s="125" t="n">
        <v>1</v>
      </c>
      <c r="R61" s="125" t="n">
        <v>79</v>
      </c>
      <c r="S61" s="125" t="inlineStr">
        <is>
          <t>PASS</t>
        </is>
      </c>
      <c r="T61" s="125">
        <f>'CRAWL_LOG'!C61</f>
        <v/>
      </c>
      <c r="U61" s="86" t="inlineStr">
        <is>
          <t>Có Tết Dương lịch 01/01</t>
        </is>
      </c>
      <c r="V61" s="86" t="n"/>
    </row>
    <row r="62" ht="24" customHeight="1" s="80">
      <c r="A62" s="177" t="n">
        <v>46310</v>
      </c>
      <c r="B62" t="inlineStr">
        <is>
          <t>Thứ Năm</t>
        </is>
      </c>
      <c r="C62" t="inlineStr">
        <is>
          <t>Official</t>
        </is>
      </c>
      <c r="D62" t="inlineStr">
        <is>
          <t>00:30</t>
        </is>
      </c>
      <c r="E62" s="178" t="n">
        <v>46310</v>
      </c>
      <c r="F62" s="178" t="n">
        <v>46312</v>
      </c>
      <c r="G62" s="178" t="n">
        <v>46315</v>
      </c>
      <c r="H62" s="178" t="n">
        <v>46319</v>
      </c>
      <c r="I62" s="178" t="n">
        <v>46323</v>
      </c>
      <c r="J62" s="178" t="n">
        <v>46327</v>
      </c>
      <c r="K62" s="178" t="n">
        <v>46330</v>
      </c>
      <c r="L62" s="178" t="n">
        <v>46333</v>
      </c>
      <c r="M62" s="178" t="n">
        <v>46335</v>
      </c>
      <c r="N62" s="179" t="n">
        <v>46362</v>
      </c>
      <c r="O62" s="179" t="n">
        <v>46344</v>
      </c>
      <c r="P62" s="179" t="n">
        <v>46388</v>
      </c>
      <c r="Q62" s="125" t="n">
        <v>0</v>
      </c>
      <c r="R62" s="125" t="n">
        <v>78</v>
      </c>
      <c r="S62" s="125" t="inlineStr">
        <is>
          <t>PASS</t>
        </is>
      </c>
      <c r="T62" s="125">
        <f>'CRAWL_LOG'!C62</f>
        <v/>
      </c>
      <c r="U62" s="86" t="inlineStr">
        <is>
          <t>Có Tết Dương lịch 01/01</t>
        </is>
      </c>
      <c r="V62" s="86" t="n"/>
    </row>
    <row r="63" ht="24" customHeight="1" s="80">
      <c r="A63" s="177" t="n">
        <v>46311</v>
      </c>
      <c r="B63" t="inlineStr">
        <is>
          <t>Thứ Sáu</t>
        </is>
      </c>
      <c r="C63" t="inlineStr">
        <is>
          <t>Official</t>
        </is>
      </c>
      <c r="D63" t="inlineStr">
        <is>
          <t>00:30</t>
        </is>
      </c>
      <c r="E63" s="178" t="n">
        <v>46338</v>
      </c>
      <c r="F63" s="178" t="n">
        <v>46312</v>
      </c>
      <c r="G63" s="178" t="n">
        <v>46315</v>
      </c>
      <c r="H63" s="178" t="n">
        <v>46319</v>
      </c>
      <c r="I63" s="178" t="n">
        <v>46323</v>
      </c>
      <c r="J63" s="178" t="n">
        <v>46327</v>
      </c>
      <c r="K63" s="178" t="n">
        <v>46330</v>
      </c>
      <c r="L63" s="178" t="n">
        <v>46333</v>
      </c>
      <c r="M63" s="178" t="n">
        <v>46335</v>
      </c>
      <c r="N63" s="179" t="n">
        <v>46362</v>
      </c>
      <c r="O63" s="179" t="n">
        <v>46344</v>
      </c>
      <c r="P63" s="179" t="n">
        <v>46388</v>
      </c>
      <c r="Q63" s="125" t="n">
        <v>1</v>
      </c>
      <c r="R63" s="125" t="n">
        <v>77</v>
      </c>
      <c r="S63" s="125" t="inlineStr">
        <is>
          <t>PASS</t>
        </is>
      </c>
      <c r="T63" s="125">
        <f>'CRAWL_LOG'!C63</f>
        <v/>
      </c>
      <c r="U63" s="86" t="inlineStr">
        <is>
          <t>Có Tết Dương lịch 01/01</t>
        </is>
      </c>
      <c r="V63" s="86" t="n"/>
    </row>
    <row r="64" ht="24" customHeight="1" s="80">
      <c r="A64" s="177" t="n">
        <v>46312</v>
      </c>
      <c r="B64" t="inlineStr">
        <is>
          <t>Thứ Bảy</t>
        </is>
      </c>
      <c r="C64" t="inlineStr">
        <is>
          <t>Official</t>
        </is>
      </c>
      <c r="D64" t="inlineStr">
        <is>
          <t>00:30</t>
        </is>
      </c>
      <c r="E64" s="178" t="n">
        <v>46338</v>
      </c>
      <c r="F64" s="178" t="n">
        <v>46312</v>
      </c>
      <c r="G64" s="178" t="n">
        <v>46315</v>
      </c>
      <c r="H64" s="178" t="n">
        <v>46319</v>
      </c>
      <c r="I64" s="178" t="n">
        <v>46323</v>
      </c>
      <c r="J64" s="178" t="n">
        <v>46327</v>
      </c>
      <c r="K64" s="178" t="n">
        <v>46330</v>
      </c>
      <c r="L64" s="178" t="n">
        <v>46333</v>
      </c>
      <c r="M64" s="178" t="n">
        <v>46335</v>
      </c>
      <c r="N64" s="179" t="n">
        <v>46362</v>
      </c>
      <c r="O64" s="179" t="n">
        <v>46344</v>
      </c>
      <c r="P64" s="179" t="n">
        <v>46388</v>
      </c>
      <c r="Q64" s="125" t="n">
        <v>0</v>
      </c>
      <c r="R64" s="125" t="n">
        <v>76</v>
      </c>
      <c r="S64" s="125" t="inlineStr">
        <is>
          <t>PASS</t>
        </is>
      </c>
      <c r="T64" s="125">
        <f>'CRAWL_LOG'!C64</f>
        <v/>
      </c>
      <c r="U64" s="86" t="inlineStr">
        <is>
          <t>Có Tết Dương lịch 01/01</t>
        </is>
      </c>
      <c r="V64" s="86" t="n"/>
    </row>
    <row r="65" ht="24" customHeight="1" s="80">
      <c r="A65" s="177" t="n">
        <v>46313</v>
      </c>
      <c r="B65" t="inlineStr">
        <is>
          <t>Chủ Nhật</t>
        </is>
      </c>
      <c r="C65" t="inlineStr">
        <is>
          <t>Official</t>
        </is>
      </c>
      <c r="D65" t="inlineStr">
        <is>
          <t>00:30</t>
        </is>
      </c>
      <c r="E65" s="178" t="n">
        <v>46338</v>
      </c>
      <c r="F65" s="178" t="n">
        <v>46340</v>
      </c>
      <c r="G65" s="178" t="n">
        <v>46315</v>
      </c>
      <c r="H65" s="178" t="n">
        <v>46319</v>
      </c>
      <c r="I65" s="178" t="n">
        <v>46323</v>
      </c>
      <c r="J65" s="178" t="n">
        <v>46327</v>
      </c>
      <c r="K65" s="178" t="n">
        <v>46330</v>
      </c>
      <c r="L65" s="178" t="n">
        <v>46333</v>
      </c>
      <c r="M65" s="178" t="n">
        <v>46335</v>
      </c>
      <c r="N65" s="179" t="n">
        <v>46362</v>
      </c>
      <c r="O65" s="179" t="n">
        <v>46344</v>
      </c>
      <c r="P65" s="179" t="n">
        <v>46388</v>
      </c>
      <c r="Q65" s="125" t="n">
        <v>2</v>
      </c>
      <c r="R65" s="125" t="n">
        <v>75</v>
      </c>
      <c r="S65" s="125" t="inlineStr">
        <is>
          <t>PASS</t>
        </is>
      </c>
      <c r="T65" s="125">
        <f>'CRAWL_LOG'!C65</f>
        <v/>
      </c>
      <c r="U65" s="86" t="inlineStr">
        <is>
          <t>Có Tết Dương lịch 01/01</t>
        </is>
      </c>
      <c r="V65" s="86" t="n"/>
    </row>
    <row r="66" ht="24" customHeight="1" s="80">
      <c r="A66" s="177" t="n">
        <v>46314</v>
      </c>
      <c r="B66" t="inlineStr">
        <is>
          <t>Thứ Hai</t>
        </is>
      </c>
      <c r="C66" t="inlineStr">
        <is>
          <t>Official</t>
        </is>
      </c>
      <c r="D66" t="inlineStr">
        <is>
          <t>00:30</t>
        </is>
      </c>
      <c r="E66" s="178" t="n">
        <v>46338</v>
      </c>
      <c r="F66" s="178" t="n">
        <v>46340</v>
      </c>
      <c r="G66" s="178" t="n">
        <v>46315</v>
      </c>
      <c r="H66" s="178" t="n">
        <v>46319</v>
      </c>
      <c r="I66" s="178" t="n">
        <v>46323</v>
      </c>
      <c r="J66" s="178" t="n">
        <v>46327</v>
      </c>
      <c r="K66" s="178" t="n">
        <v>46330</v>
      </c>
      <c r="L66" s="178" t="n">
        <v>46333</v>
      </c>
      <c r="M66" s="178" t="n">
        <v>46335</v>
      </c>
      <c r="N66" s="179" t="n">
        <v>46362</v>
      </c>
      <c r="O66" s="179" t="n">
        <v>46344</v>
      </c>
      <c r="P66" s="179" t="n">
        <v>46388</v>
      </c>
      <c r="Q66" s="125" t="n">
        <v>1</v>
      </c>
      <c r="R66" s="125" t="n">
        <v>74</v>
      </c>
      <c r="S66" s="125" t="inlineStr">
        <is>
          <t>PASS</t>
        </is>
      </c>
      <c r="T66" s="125">
        <f>'CRAWL_LOG'!C66</f>
        <v/>
      </c>
      <c r="U66" s="86" t="inlineStr">
        <is>
          <t>Có Tết Dương lịch 01/01</t>
        </is>
      </c>
      <c r="V66" s="86" t="n"/>
    </row>
    <row r="67" ht="24" customHeight="1" s="80">
      <c r="A67" s="177" t="n">
        <v>46315</v>
      </c>
      <c r="B67" t="inlineStr">
        <is>
          <t>Thứ Ba</t>
        </is>
      </c>
      <c r="C67" t="inlineStr">
        <is>
          <t>Official</t>
        </is>
      </c>
      <c r="D67" t="inlineStr">
        <is>
          <t>00:30</t>
        </is>
      </c>
      <c r="E67" s="178" t="n">
        <v>46338</v>
      </c>
      <c r="F67" s="178" t="n">
        <v>46340</v>
      </c>
      <c r="G67" s="178" t="n">
        <v>46315</v>
      </c>
      <c r="H67" s="178" t="n">
        <v>46319</v>
      </c>
      <c r="I67" s="178" t="n">
        <v>46323</v>
      </c>
      <c r="J67" s="178" t="n">
        <v>46327</v>
      </c>
      <c r="K67" s="178" t="n">
        <v>46330</v>
      </c>
      <c r="L67" s="178" t="n">
        <v>46333</v>
      </c>
      <c r="M67" s="178" t="n">
        <v>46335</v>
      </c>
      <c r="N67" s="179" t="n">
        <v>46362</v>
      </c>
      <c r="O67" s="179" t="n">
        <v>46344</v>
      </c>
      <c r="P67" s="179" t="n">
        <v>46388</v>
      </c>
      <c r="Q67" s="125" t="n">
        <v>0</v>
      </c>
      <c r="R67" s="125" t="n">
        <v>73</v>
      </c>
      <c r="S67" s="125" t="inlineStr">
        <is>
          <t>PASS</t>
        </is>
      </c>
      <c r="T67" s="125">
        <f>'CRAWL_LOG'!C67</f>
        <v/>
      </c>
      <c r="U67" s="86" t="inlineStr">
        <is>
          <t>Có Tết Dương lịch 01/01</t>
        </is>
      </c>
      <c r="V67" s="86" t="n"/>
    </row>
    <row r="68" ht="24" customHeight="1" s="80">
      <c r="A68" s="177" t="n">
        <v>46316</v>
      </c>
      <c r="B68" t="inlineStr">
        <is>
          <t>Thứ Tư</t>
        </is>
      </c>
      <c r="C68" t="inlineStr">
        <is>
          <t>Official</t>
        </is>
      </c>
      <c r="D68" t="inlineStr">
        <is>
          <t>00:30</t>
        </is>
      </c>
      <c r="E68" s="178" t="n">
        <v>46338</v>
      </c>
      <c r="F68" s="178" t="n">
        <v>46340</v>
      </c>
      <c r="G68" s="178" t="n">
        <v>46343</v>
      </c>
      <c r="H68" s="178" t="n">
        <v>46319</v>
      </c>
      <c r="I68" s="178" t="n">
        <v>46323</v>
      </c>
      <c r="J68" s="178" t="n">
        <v>46327</v>
      </c>
      <c r="K68" s="178" t="n">
        <v>46330</v>
      </c>
      <c r="L68" s="178" t="n">
        <v>46333</v>
      </c>
      <c r="M68" s="178" t="n">
        <v>46335</v>
      </c>
      <c r="N68" s="179" t="n">
        <v>46362</v>
      </c>
      <c r="O68" s="179" t="n">
        <v>46344</v>
      </c>
      <c r="P68" s="179" t="n">
        <v>46388</v>
      </c>
      <c r="Q68" s="125" t="n">
        <v>3</v>
      </c>
      <c r="R68" s="125" t="n">
        <v>72</v>
      </c>
      <c r="S68" s="125" t="inlineStr">
        <is>
          <t>PASS</t>
        </is>
      </c>
      <c r="T68" s="125">
        <f>'CRAWL_LOG'!C68</f>
        <v/>
      </c>
      <c r="U68" s="86" t="inlineStr">
        <is>
          <t>Có Tết Dương lịch 01/01</t>
        </is>
      </c>
      <c r="V68" s="86" t="n"/>
    </row>
    <row r="69" ht="24" customHeight="1" s="80">
      <c r="A69" s="177" t="n">
        <v>46317</v>
      </c>
      <c r="B69" t="inlineStr">
        <is>
          <t>Thứ Năm</t>
        </is>
      </c>
      <c r="C69" t="inlineStr">
        <is>
          <t>Official</t>
        </is>
      </c>
      <c r="D69" t="inlineStr">
        <is>
          <t>00:30</t>
        </is>
      </c>
      <c r="E69" s="178" t="n">
        <v>46338</v>
      </c>
      <c r="F69" s="178" t="n">
        <v>46340</v>
      </c>
      <c r="G69" s="178" t="n">
        <v>46343</v>
      </c>
      <c r="H69" s="178" t="n">
        <v>46319</v>
      </c>
      <c r="I69" s="178" t="n">
        <v>46323</v>
      </c>
      <c r="J69" s="178" t="n">
        <v>46327</v>
      </c>
      <c r="K69" s="178" t="n">
        <v>46330</v>
      </c>
      <c r="L69" s="178" t="n">
        <v>46333</v>
      </c>
      <c r="M69" s="178" t="n">
        <v>46335</v>
      </c>
      <c r="N69" s="179" t="n">
        <v>46362</v>
      </c>
      <c r="O69" s="179" t="n">
        <v>46344</v>
      </c>
      <c r="P69" s="179" t="n">
        <v>46388</v>
      </c>
      <c r="Q69" s="125" t="n">
        <v>2</v>
      </c>
      <c r="R69" s="125" t="n">
        <v>71</v>
      </c>
      <c r="S69" s="125" t="inlineStr">
        <is>
          <t>PASS</t>
        </is>
      </c>
      <c r="T69" s="125">
        <f>'CRAWL_LOG'!C69</f>
        <v/>
      </c>
      <c r="U69" s="86" t="inlineStr">
        <is>
          <t>Có Tết Dương lịch 01/01</t>
        </is>
      </c>
      <c r="V69" s="86" t="n"/>
    </row>
    <row r="70" ht="24" customHeight="1" s="80">
      <c r="A70" s="177" t="n">
        <v>46318</v>
      </c>
      <c r="B70" t="inlineStr">
        <is>
          <t>Thứ Sáu</t>
        </is>
      </c>
      <c r="C70" t="inlineStr">
        <is>
          <t>Official</t>
        </is>
      </c>
      <c r="D70" t="inlineStr">
        <is>
          <t>00:30</t>
        </is>
      </c>
      <c r="E70" s="178" t="n">
        <v>46338</v>
      </c>
      <c r="F70" s="178" t="n">
        <v>46340</v>
      </c>
      <c r="G70" s="178" t="n">
        <v>46343</v>
      </c>
      <c r="H70" s="178" t="n">
        <v>46319</v>
      </c>
      <c r="I70" s="178" t="n">
        <v>46323</v>
      </c>
      <c r="J70" s="178" t="n">
        <v>46327</v>
      </c>
      <c r="K70" s="178" t="n">
        <v>46330</v>
      </c>
      <c r="L70" s="178" t="n">
        <v>46333</v>
      </c>
      <c r="M70" s="178" t="n">
        <v>46335</v>
      </c>
      <c r="N70" s="179" t="n">
        <v>46362</v>
      </c>
      <c r="O70" s="179" t="n">
        <v>46344</v>
      </c>
      <c r="P70" s="179" t="n">
        <v>46388</v>
      </c>
      <c r="Q70" s="125" t="n">
        <v>1</v>
      </c>
      <c r="R70" s="125" t="n">
        <v>70</v>
      </c>
      <c r="S70" s="125" t="inlineStr">
        <is>
          <t>PASS</t>
        </is>
      </c>
      <c r="T70" s="125">
        <f>'CRAWL_LOG'!C70</f>
        <v/>
      </c>
      <c r="U70" s="86" t="inlineStr">
        <is>
          <t>Có Tết Dương lịch 01/01</t>
        </is>
      </c>
      <c r="V70" s="86" t="n"/>
    </row>
    <row r="71" ht="24" customHeight="1" s="80">
      <c r="A71" s="177" t="n">
        <v>46319</v>
      </c>
      <c r="B71" t="inlineStr">
        <is>
          <t>Thứ Bảy</t>
        </is>
      </c>
      <c r="C71" t="inlineStr">
        <is>
          <t>Official</t>
        </is>
      </c>
      <c r="D71" t="inlineStr">
        <is>
          <t>00:30</t>
        </is>
      </c>
      <c r="E71" s="178" t="n">
        <v>46338</v>
      </c>
      <c r="F71" s="178" t="n">
        <v>46340</v>
      </c>
      <c r="G71" s="178" t="n">
        <v>46343</v>
      </c>
      <c r="H71" s="178" t="n">
        <v>46319</v>
      </c>
      <c r="I71" s="178" t="n">
        <v>46323</v>
      </c>
      <c r="J71" s="178" t="n">
        <v>46327</v>
      </c>
      <c r="K71" s="178" t="n">
        <v>46330</v>
      </c>
      <c r="L71" s="178" t="n">
        <v>46333</v>
      </c>
      <c r="M71" s="178" t="n">
        <v>46335</v>
      </c>
      <c r="N71" s="179" t="n">
        <v>46362</v>
      </c>
      <c r="O71" s="179" t="n">
        <v>46344</v>
      </c>
      <c r="P71" s="179" t="n">
        <v>46388</v>
      </c>
      <c r="Q71" s="125" t="n">
        <v>0</v>
      </c>
      <c r="R71" s="125" t="n">
        <v>69</v>
      </c>
      <c r="S71" s="125" t="inlineStr">
        <is>
          <t>PASS</t>
        </is>
      </c>
      <c r="T71" s="125">
        <f>'CRAWL_LOG'!C71</f>
        <v/>
      </c>
      <c r="U71" s="86" t="inlineStr">
        <is>
          <t>Có Tết Dương lịch 01/01</t>
        </is>
      </c>
      <c r="V71" s="86" t="n"/>
    </row>
    <row r="72" ht="24" customHeight="1" s="80">
      <c r="A72" s="177" t="n">
        <v>46320</v>
      </c>
      <c r="B72" t="inlineStr">
        <is>
          <t>Chủ Nhật</t>
        </is>
      </c>
      <c r="C72" t="inlineStr">
        <is>
          <t>Official</t>
        </is>
      </c>
      <c r="D72" t="inlineStr">
        <is>
          <t>00:30</t>
        </is>
      </c>
      <c r="E72" s="178" t="n">
        <v>46338</v>
      </c>
      <c r="F72" s="178" t="n">
        <v>46340</v>
      </c>
      <c r="G72" s="178" t="n">
        <v>46343</v>
      </c>
      <c r="H72" s="178" t="n">
        <v>46347</v>
      </c>
      <c r="I72" s="178" t="n">
        <v>46323</v>
      </c>
      <c r="J72" s="178" t="n">
        <v>46327</v>
      </c>
      <c r="K72" s="178" t="n">
        <v>46330</v>
      </c>
      <c r="L72" s="178" t="n">
        <v>46333</v>
      </c>
      <c r="M72" s="178" t="n">
        <v>46335</v>
      </c>
      <c r="N72" s="179" t="n">
        <v>46362</v>
      </c>
      <c r="O72" s="179" t="n">
        <v>46344</v>
      </c>
      <c r="P72" s="179" t="n">
        <v>46388</v>
      </c>
      <c r="Q72" s="125" t="n">
        <v>3</v>
      </c>
      <c r="R72" s="125" t="n">
        <v>68</v>
      </c>
      <c r="S72" s="125" t="inlineStr">
        <is>
          <t>PASS</t>
        </is>
      </c>
      <c r="T72" s="125">
        <f>'CRAWL_LOG'!C72</f>
        <v/>
      </c>
      <c r="U72" s="86" t="inlineStr">
        <is>
          <t>Có Tết Dương lịch 01/01</t>
        </is>
      </c>
      <c r="V72" s="86" t="n"/>
    </row>
    <row r="73" ht="24" customHeight="1" s="80">
      <c r="A73" s="177" t="n">
        <v>46321</v>
      </c>
      <c r="B73" t="inlineStr">
        <is>
          <t>Thứ Hai</t>
        </is>
      </c>
      <c r="C73" t="inlineStr">
        <is>
          <t>Official</t>
        </is>
      </c>
      <c r="D73" t="inlineStr">
        <is>
          <t>00:30</t>
        </is>
      </c>
      <c r="E73" s="178" t="n">
        <v>46338</v>
      </c>
      <c r="F73" s="178" t="n">
        <v>46340</v>
      </c>
      <c r="G73" s="178" t="n">
        <v>46343</v>
      </c>
      <c r="H73" s="178" t="n">
        <v>46347</v>
      </c>
      <c r="I73" s="178" t="n">
        <v>46323</v>
      </c>
      <c r="J73" s="178" t="n">
        <v>46327</v>
      </c>
      <c r="K73" s="178" t="n">
        <v>46330</v>
      </c>
      <c r="L73" s="178" t="n">
        <v>46333</v>
      </c>
      <c r="M73" s="178" t="n">
        <v>46335</v>
      </c>
      <c r="N73" s="179" t="n">
        <v>46362</v>
      </c>
      <c r="O73" s="179" t="n">
        <v>46344</v>
      </c>
      <c r="P73" s="179" t="n">
        <v>46388</v>
      </c>
      <c r="Q73" s="125" t="n">
        <v>2</v>
      </c>
      <c r="R73" s="125" t="n">
        <v>67</v>
      </c>
      <c r="S73" s="125" t="inlineStr">
        <is>
          <t>PASS</t>
        </is>
      </c>
      <c r="T73" s="125">
        <f>'CRAWL_LOG'!C73</f>
        <v/>
      </c>
      <c r="U73" s="86" t="inlineStr">
        <is>
          <t>Có Tết Dương lịch 01/01</t>
        </is>
      </c>
      <c r="V73" s="86" t="n"/>
    </row>
    <row r="74" ht="24" customHeight="1" s="80">
      <c r="A74" s="177" t="n">
        <v>46322</v>
      </c>
      <c r="B74" t="inlineStr">
        <is>
          <t>Thứ Ba</t>
        </is>
      </c>
      <c r="C74" t="inlineStr">
        <is>
          <t>Official</t>
        </is>
      </c>
      <c r="D74" t="inlineStr">
        <is>
          <t>00:30</t>
        </is>
      </c>
      <c r="E74" s="178" t="n">
        <v>46338</v>
      </c>
      <c r="F74" s="178" t="n">
        <v>46340</v>
      </c>
      <c r="G74" s="178" t="n">
        <v>46343</v>
      </c>
      <c r="H74" s="178" t="n">
        <v>46347</v>
      </c>
      <c r="I74" s="178" t="n">
        <v>46323</v>
      </c>
      <c r="J74" s="178" t="n">
        <v>46327</v>
      </c>
      <c r="K74" s="178" t="n">
        <v>46330</v>
      </c>
      <c r="L74" s="178" t="n">
        <v>46333</v>
      </c>
      <c r="M74" s="178" t="n">
        <v>46335</v>
      </c>
      <c r="N74" s="179" t="n">
        <v>46362</v>
      </c>
      <c r="O74" s="179" t="n">
        <v>46344</v>
      </c>
      <c r="P74" s="179" t="n">
        <v>46388</v>
      </c>
      <c r="Q74" s="125" t="n">
        <v>1</v>
      </c>
      <c r="R74" s="125" t="n">
        <v>66</v>
      </c>
      <c r="S74" s="125" t="inlineStr">
        <is>
          <t>PASS</t>
        </is>
      </c>
      <c r="T74" s="125">
        <f>'CRAWL_LOG'!C74</f>
        <v/>
      </c>
      <c r="U74" s="86" t="inlineStr">
        <is>
          <t>Có Tết Dương lịch 01/01</t>
        </is>
      </c>
      <c r="V74" s="86" t="n"/>
    </row>
    <row r="75" ht="24" customHeight="1" s="80">
      <c r="A75" s="177" t="n">
        <v>46323</v>
      </c>
      <c r="B75" t="inlineStr">
        <is>
          <t>Thứ Tư</t>
        </is>
      </c>
      <c r="C75" t="inlineStr">
        <is>
          <t>Official</t>
        </is>
      </c>
      <c r="D75" t="inlineStr">
        <is>
          <t>00:30</t>
        </is>
      </c>
      <c r="E75" s="178" t="n">
        <v>46338</v>
      </c>
      <c r="F75" s="178" t="n">
        <v>46340</v>
      </c>
      <c r="G75" s="178" t="n">
        <v>46343</v>
      </c>
      <c r="H75" s="178" t="n">
        <v>46347</v>
      </c>
      <c r="I75" s="178" t="n">
        <v>46323</v>
      </c>
      <c r="J75" s="178" t="n">
        <v>46327</v>
      </c>
      <c r="K75" s="178" t="n">
        <v>46330</v>
      </c>
      <c r="L75" s="178" t="n">
        <v>46333</v>
      </c>
      <c r="M75" s="178" t="n">
        <v>46335</v>
      </c>
      <c r="N75" s="179" t="n">
        <v>46362</v>
      </c>
      <c r="O75" s="179" t="n">
        <v>46344</v>
      </c>
      <c r="P75" s="179" t="n">
        <v>46388</v>
      </c>
      <c r="Q75" s="125" t="n">
        <v>0</v>
      </c>
      <c r="R75" s="125" t="n">
        <v>65</v>
      </c>
      <c r="S75" s="125" t="inlineStr">
        <is>
          <t>PASS</t>
        </is>
      </c>
      <c r="T75" s="125">
        <f>'CRAWL_LOG'!C75</f>
        <v/>
      </c>
      <c r="U75" s="86" t="inlineStr">
        <is>
          <t>Có Tết Dương lịch 01/01</t>
        </is>
      </c>
      <c r="V75" s="86" t="n"/>
    </row>
    <row r="76" ht="24" customHeight="1" s="80">
      <c r="A76" s="177" t="n">
        <v>46324</v>
      </c>
      <c r="B76" t="inlineStr">
        <is>
          <t>Thứ Năm</t>
        </is>
      </c>
      <c r="C76" t="inlineStr">
        <is>
          <t>Official</t>
        </is>
      </c>
      <c r="D76" t="inlineStr">
        <is>
          <t>00:30</t>
        </is>
      </c>
      <c r="E76" s="178" t="n">
        <v>46338</v>
      </c>
      <c r="F76" s="178" t="n">
        <v>46340</v>
      </c>
      <c r="G76" s="178" t="n">
        <v>46343</v>
      </c>
      <c r="H76" s="178" t="n">
        <v>46347</v>
      </c>
      <c r="I76" s="178" t="n">
        <v>46351</v>
      </c>
      <c r="J76" s="178" t="n">
        <v>46327</v>
      </c>
      <c r="K76" s="178" t="n">
        <v>46330</v>
      </c>
      <c r="L76" s="178" t="n">
        <v>46333</v>
      </c>
      <c r="M76" s="178" t="n">
        <v>46335</v>
      </c>
      <c r="N76" s="179" t="n">
        <v>46362</v>
      </c>
      <c r="O76" s="179" t="n">
        <v>46344</v>
      </c>
      <c r="P76" s="179" t="n">
        <v>46388</v>
      </c>
      <c r="Q76" s="125" t="n">
        <v>3</v>
      </c>
      <c r="R76" s="125" t="n">
        <v>64</v>
      </c>
      <c r="S76" s="125" t="inlineStr">
        <is>
          <t>PASS</t>
        </is>
      </c>
      <c r="T76" s="125">
        <f>'CRAWL_LOG'!C76</f>
        <v/>
      </c>
      <c r="U76" s="86" t="inlineStr">
        <is>
          <t>Có Tết Dương lịch 01/01</t>
        </is>
      </c>
      <c r="V76" s="86" t="n"/>
    </row>
    <row r="77" ht="24" customHeight="1" s="80">
      <c r="A77" s="177" t="n">
        <v>46325</v>
      </c>
      <c r="B77" t="inlineStr">
        <is>
          <t>Thứ Sáu</t>
        </is>
      </c>
      <c r="C77" t="inlineStr">
        <is>
          <t>Official</t>
        </is>
      </c>
      <c r="D77" t="inlineStr">
        <is>
          <t>00:30</t>
        </is>
      </c>
      <c r="E77" s="178" t="n">
        <v>46338</v>
      </c>
      <c r="F77" s="178" t="n">
        <v>46340</v>
      </c>
      <c r="G77" s="178" t="n">
        <v>46343</v>
      </c>
      <c r="H77" s="178" t="n">
        <v>46347</v>
      </c>
      <c r="I77" s="178" t="n">
        <v>46351</v>
      </c>
      <c r="J77" s="178" t="n">
        <v>46327</v>
      </c>
      <c r="K77" s="178" t="n">
        <v>46330</v>
      </c>
      <c r="L77" s="178" t="n">
        <v>46333</v>
      </c>
      <c r="M77" s="178" t="n">
        <v>46335</v>
      </c>
      <c r="N77" s="179" t="n">
        <v>46362</v>
      </c>
      <c r="O77" s="179" t="n">
        <v>46344</v>
      </c>
      <c r="P77" s="179" t="n">
        <v>46388</v>
      </c>
      <c r="Q77" s="125" t="n">
        <v>2</v>
      </c>
      <c r="R77" s="125" t="n">
        <v>63</v>
      </c>
      <c r="S77" s="125" t="inlineStr">
        <is>
          <t>PASS</t>
        </is>
      </c>
      <c r="T77" s="125">
        <f>'CRAWL_LOG'!C77</f>
        <v/>
      </c>
      <c r="U77" s="86" t="inlineStr">
        <is>
          <t>Có Tết Dương lịch 01/01</t>
        </is>
      </c>
      <c r="V77" s="86" t="n"/>
    </row>
    <row r="78" ht="24" customHeight="1" s="80">
      <c r="A78" s="177" t="n">
        <v>46326</v>
      </c>
      <c r="B78" t="inlineStr">
        <is>
          <t>Thứ Bảy</t>
        </is>
      </c>
      <c r="C78" t="inlineStr">
        <is>
          <t>Official</t>
        </is>
      </c>
      <c r="D78" t="inlineStr">
        <is>
          <t>00:30</t>
        </is>
      </c>
      <c r="E78" s="178" t="n">
        <v>46338</v>
      </c>
      <c r="F78" s="178" t="n">
        <v>46340</v>
      </c>
      <c r="G78" s="178" t="n">
        <v>46343</v>
      </c>
      <c r="H78" s="178" t="n">
        <v>46347</v>
      </c>
      <c r="I78" s="178" t="n">
        <v>46351</v>
      </c>
      <c r="J78" s="178" t="n">
        <v>46327</v>
      </c>
      <c r="K78" s="178" t="n">
        <v>46330</v>
      </c>
      <c r="L78" s="178" t="n">
        <v>46333</v>
      </c>
      <c r="M78" s="178" t="n">
        <v>46335</v>
      </c>
      <c r="N78" s="179" t="n">
        <v>46362</v>
      </c>
      <c r="O78" s="179" t="n">
        <v>46344</v>
      </c>
      <c r="P78" s="179" t="n">
        <v>46388</v>
      </c>
      <c r="Q78" s="125" t="n">
        <v>1</v>
      </c>
      <c r="R78" s="125" t="n">
        <v>62</v>
      </c>
      <c r="S78" s="125" t="inlineStr">
        <is>
          <t>PASS</t>
        </is>
      </c>
      <c r="T78" s="125">
        <f>'CRAWL_LOG'!C78</f>
        <v/>
      </c>
      <c r="U78" s="86" t="inlineStr">
        <is>
          <t>Có Tết Dương lịch 01/01</t>
        </is>
      </c>
      <c r="V78" s="86" t="n"/>
    </row>
    <row r="79" ht="24" customHeight="1" s="80">
      <c r="A79" s="177" t="n">
        <v>46327</v>
      </c>
      <c r="B79" t="inlineStr">
        <is>
          <t>Chủ Nhật</t>
        </is>
      </c>
      <c r="C79" t="inlineStr">
        <is>
          <t>Official</t>
        </is>
      </c>
      <c r="D79" t="inlineStr">
        <is>
          <t>00:30</t>
        </is>
      </c>
      <c r="E79" s="178" t="n">
        <v>46338</v>
      </c>
      <c r="F79" s="178" t="n">
        <v>46340</v>
      </c>
      <c r="G79" s="178" t="n">
        <v>46343</v>
      </c>
      <c r="H79" s="178" t="n">
        <v>46347</v>
      </c>
      <c r="I79" s="178" t="n">
        <v>46351</v>
      </c>
      <c r="J79" s="178" t="n">
        <v>46327</v>
      </c>
      <c r="K79" s="178" t="n">
        <v>46330</v>
      </c>
      <c r="L79" s="178" t="n">
        <v>46333</v>
      </c>
      <c r="M79" s="178" t="n">
        <v>46335</v>
      </c>
      <c r="N79" s="179" t="n">
        <v>46362</v>
      </c>
      <c r="O79" s="179" t="n">
        <v>46344</v>
      </c>
      <c r="P79" s="179" t="n">
        <v>46388</v>
      </c>
      <c r="Q79" s="125" t="n">
        <v>0</v>
      </c>
      <c r="R79" s="125" t="n">
        <v>61</v>
      </c>
      <c r="S79" s="125" t="inlineStr">
        <is>
          <t>PASS</t>
        </is>
      </c>
      <c r="T79" s="125">
        <f>'CRAWL_LOG'!C79</f>
        <v/>
      </c>
      <c r="U79" s="86" t="inlineStr">
        <is>
          <t>Có Tết Dương lịch 01/01</t>
        </is>
      </c>
      <c r="V79" s="86" t="n"/>
    </row>
    <row r="80" ht="24" customHeight="1" s="80">
      <c r="A80" s="177" t="n">
        <v>46328</v>
      </c>
      <c r="B80" t="inlineStr">
        <is>
          <t>Thứ Hai</t>
        </is>
      </c>
      <c r="C80" t="inlineStr">
        <is>
          <t>Official</t>
        </is>
      </c>
      <c r="D80" t="inlineStr">
        <is>
          <t>00:30</t>
        </is>
      </c>
      <c r="E80" s="178" t="n">
        <v>46338</v>
      </c>
      <c r="F80" s="178" t="n">
        <v>46340</v>
      </c>
      <c r="G80" s="178" t="n">
        <v>46343</v>
      </c>
      <c r="H80" s="178" t="n">
        <v>46347</v>
      </c>
      <c r="I80" s="178" t="n">
        <v>46351</v>
      </c>
      <c r="J80" s="178" t="n">
        <v>46355</v>
      </c>
      <c r="K80" s="178" t="n">
        <v>46330</v>
      </c>
      <c r="L80" s="178" t="n">
        <v>46333</v>
      </c>
      <c r="M80" s="178" t="n">
        <v>46335</v>
      </c>
      <c r="N80" s="179" t="n">
        <v>46362</v>
      </c>
      <c r="O80" s="179" t="n">
        <v>46344</v>
      </c>
      <c r="P80" s="179" t="n">
        <v>46388</v>
      </c>
      <c r="Q80" s="125" t="n">
        <v>2</v>
      </c>
      <c r="R80" s="125" t="n">
        <v>60</v>
      </c>
      <c r="S80" s="125" t="inlineStr">
        <is>
          <t>PASS</t>
        </is>
      </c>
      <c r="T80" s="125">
        <f>'CRAWL_LOG'!C80</f>
        <v/>
      </c>
      <c r="U80" s="86" t="inlineStr">
        <is>
          <t>Có Tết Dương lịch 01/01</t>
        </is>
      </c>
      <c r="V80" s="86" t="n"/>
    </row>
    <row r="81" ht="24" customHeight="1" s="80">
      <c r="A81" s="177" t="n">
        <v>46329</v>
      </c>
      <c r="B81" t="inlineStr">
        <is>
          <t>Thứ Ba</t>
        </is>
      </c>
      <c r="C81" t="inlineStr">
        <is>
          <t>Official</t>
        </is>
      </c>
      <c r="D81" t="inlineStr">
        <is>
          <t>00:30</t>
        </is>
      </c>
      <c r="E81" s="178" t="n">
        <v>46338</v>
      </c>
      <c r="F81" s="178" t="n">
        <v>46340</v>
      </c>
      <c r="G81" s="178" t="n">
        <v>46343</v>
      </c>
      <c r="H81" s="178" t="n">
        <v>46347</v>
      </c>
      <c r="I81" s="178" t="n">
        <v>46351</v>
      </c>
      <c r="J81" s="178" t="n">
        <v>46355</v>
      </c>
      <c r="K81" s="178" t="n">
        <v>46330</v>
      </c>
      <c r="L81" s="178" t="n">
        <v>46333</v>
      </c>
      <c r="M81" s="178" t="n">
        <v>46335</v>
      </c>
      <c r="N81" s="179" t="n">
        <v>46362</v>
      </c>
      <c r="O81" s="179" t="n">
        <v>46344</v>
      </c>
      <c r="P81" s="179" t="n">
        <v>46388</v>
      </c>
      <c r="Q81" s="125" t="n">
        <v>1</v>
      </c>
      <c r="R81" s="125" t="n">
        <v>59</v>
      </c>
      <c r="S81" s="125" t="inlineStr">
        <is>
          <t>PASS</t>
        </is>
      </c>
      <c r="T81" s="125">
        <f>'CRAWL_LOG'!C81</f>
        <v/>
      </c>
      <c r="U81" s="86" t="inlineStr">
        <is>
          <t>Có Tết Dương lịch 01/01</t>
        </is>
      </c>
      <c r="V81" s="86" t="n"/>
    </row>
    <row r="82" ht="24" customHeight="1" s="80">
      <c r="A82" s="177" t="n">
        <v>46330</v>
      </c>
      <c r="B82" t="inlineStr">
        <is>
          <t>Thứ Tư</t>
        </is>
      </c>
      <c r="C82" t="inlineStr">
        <is>
          <t>Official</t>
        </is>
      </c>
      <c r="D82" t="inlineStr">
        <is>
          <t>00:30</t>
        </is>
      </c>
      <c r="E82" s="178" t="n">
        <v>46338</v>
      </c>
      <c r="F82" s="178" t="n">
        <v>46340</v>
      </c>
      <c r="G82" s="178" t="n">
        <v>46343</v>
      </c>
      <c r="H82" s="178" t="n">
        <v>46347</v>
      </c>
      <c r="I82" s="178" t="n">
        <v>46351</v>
      </c>
      <c r="J82" s="178" t="n">
        <v>46355</v>
      </c>
      <c r="K82" s="178" t="n">
        <v>46330</v>
      </c>
      <c r="L82" s="178" t="n">
        <v>46333</v>
      </c>
      <c r="M82" s="178" t="n">
        <v>46335</v>
      </c>
      <c r="N82" s="179" t="n">
        <v>46362</v>
      </c>
      <c r="O82" s="179" t="n">
        <v>46344</v>
      </c>
      <c r="P82" s="179" t="n">
        <v>46388</v>
      </c>
      <c r="Q82" s="125" t="n">
        <v>0</v>
      </c>
      <c r="R82" s="125" t="n">
        <v>58</v>
      </c>
      <c r="S82" s="125" t="inlineStr">
        <is>
          <t>PASS</t>
        </is>
      </c>
      <c r="T82" s="125">
        <f>'CRAWL_LOG'!C82</f>
        <v/>
      </c>
      <c r="U82" s="86" t="inlineStr">
        <is>
          <t>Có Tết Dương lịch 01/01</t>
        </is>
      </c>
      <c r="V82" s="86" t="n"/>
    </row>
    <row r="83" ht="24" customHeight="1" s="80">
      <c r="A83" s="177" t="n">
        <v>46331</v>
      </c>
      <c r="B83" t="inlineStr">
        <is>
          <t>Thứ Năm</t>
        </is>
      </c>
      <c r="C83" t="inlineStr">
        <is>
          <t>Official</t>
        </is>
      </c>
      <c r="D83" t="inlineStr">
        <is>
          <t>00:30</t>
        </is>
      </c>
      <c r="E83" s="178" t="n">
        <v>46338</v>
      </c>
      <c r="F83" s="178" t="n">
        <v>46340</v>
      </c>
      <c r="G83" s="178" t="n">
        <v>46343</v>
      </c>
      <c r="H83" s="178" t="n">
        <v>46347</v>
      </c>
      <c r="I83" s="178" t="n">
        <v>46351</v>
      </c>
      <c r="J83" s="178" t="n">
        <v>46355</v>
      </c>
      <c r="K83" s="178" t="n">
        <v>46358</v>
      </c>
      <c r="L83" s="178" t="n">
        <v>46333</v>
      </c>
      <c r="M83" s="178" t="n">
        <v>46335</v>
      </c>
      <c r="N83" s="179" t="n">
        <v>46362</v>
      </c>
      <c r="O83" s="179" t="n">
        <v>46344</v>
      </c>
      <c r="P83" s="179" t="n">
        <v>46388</v>
      </c>
      <c r="Q83" s="125" t="n">
        <v>2</v>
      </c>
      <c r="R83" s="125" t="n">
        <v>57</v>
      </c>
      <c r="S83" s="125" t="inlineStr">
        <is>
          <t>PASS</t>
        </is>
      </c>
      <c r="T83" s="125">
        <f>'CRAWL_LOG'!C83</f>
        <v/>
      </c>
      <c r="U83" s="86" t="inlineStr">
        <is>
          <t>Có Tết Dương lịch 01/01</t>
        </is>
      </c>
      <c r="V83" s="86" t="n"/>
    </row>
    <row r="84" ht="24" customHeight="1" s="80">
      <c r="A84" s="177" t="n">
        <v>46332</v>
      </c>
      <c r="B84" t="inlineStr">
        <is>
          <t>Thứ Sáu</t>
        </is>
      </c>
      <c r="C84" t="inlineStr">
        <is>
          <t>Official</t>
        </is>
      </c>
      <c r="D84" t="inlineStr">
        <is>
          <t>00:30</t>
        </is>
      </c>
      <c r="E84" s="178" t="n">
        <v>46338</v>
      </c>
      <c r="F84" s="178" t="n">
        <v>46340</v>
      </c>
      <c r="G84" s="178" t="n">
        <v>46343</v>
      </c>
      <c r="H84" s="178" t="n">
        <v>46347</v>
      </c>
      <c r="I84" s="178" t="n">
        <v>46351</v>
      </c>
      <c r="J84" s="178" t="n">
        <v>46355</v>
      </c>
      <c r="K84" s="178" t="n">
        <v>46358</v>
      </c>
      <c r="L84" s="178" t="n">
        <v>46333</v>
      </c>
      <c r="M84" s="178" t="n">
        <v>46335</v>
      </c>
      <c r="N84" s="179" t="n">
        <v>46362</v>
      </c>
      <c r="O84" s="179" t="n">
        <v>46344</v>
      </c>
      <c r="P84" s="179" t="n">
        <v>46388</v>
      </c>
      <c r="Q84" s="125" t="n">
        <v>1</v>
      </c>
      <c r="R84" s="125" t="n">
        <v>56</v>
      </c>
      <c r="S84" s="125" t="inlineStr">
        <is>
          <t>PASS</t>
        </is>
      </c>
      <c r="T84" s="125">
        <f>'CRAWL_LOG'!C84</f>
        <v/>
      </c>
      <c r="U84" s="86" t="inlineStr">
        <is>
          <t>Có Tết Dương lịch 01/01</t>
        </is>
      </c>
      <c r="V84" s="86" t="n"/>
    </row>
    <row r="85" ht="24" customHeight="1" s="80">
      <c r="A85" s="177" t="n">
        <v>46333</v>
      </c>
      <c r="B85" t="inlineStr">
        <is>
          <t>Thứ Bảy</t>
        </is>
      </c>
      <c r="C85" t="inlineStr">
        <is>
          <t>Official</t>
        </is>
      </c>
      <c r="D85" t="inlineStr">
        <is>
          <t>00:30</t>
        </is>
      </c>
      <c r="E85" s="178" t="n">
        <v>46338</v>
      </c>
      <c r="F85" s="178" t="n">
        <v>46340</v>
      </c>
      <c r="G85" s="178" t="n">
        <v>46343</v>
      </c>
      <c r="H85" s="178" t="n">
        <v>46347</v>
      </c>
      <c r="I85" s="178" t="n">
        <v>46351</v>
      </c>
      <c r="J85" s="178" t="n">
        <v>46355</v>
      </c>
      <c r="K85" s="178" t="n">
        <v>46358</v>
      </c>
      <c r="L85" s="178" t="n">
        <v>46333</v>
      </c>
      <c r="M85" s="178" t="n">
        <v>46335</v>
      </c>
      <c r="N85" s="179" t="n">
        <v>46362</v>
      </c>
      <c r="O85" s="179" t="n">
        <v>46344</v>
      </c>
      <c r="P85" s="179" t="n">
        <v>46388</v>
      </c>
      <c r="Q85" s="125" t="n">
        <v>0</v>
      </c>
      <c r="R85" s="125" t="n">
        <v>55</v>
      </c>
      <c r="S85" s="125" t="inlineStr">
        <is>
          <t>PASS</t>
        </is>
      </c>
      <c r="T85" s="125">
        <f>'CRAWL_LOG'!C85</f>
        <v/>
      </c>
      <c r="U85" s="86" t="inlineStr">
        <is>
          <t>Có Tết Dương lịch 01/01</t>
        </is>
      </c>
      <c r="V85" s="86" t="n"/>
    </row>
    <row r="86" ht="24" customHeight="1" s="80">
      <c r="A86" s="177" t="n">
        <v>46334</v>
      </c>
      <c r="B86" t="inlineStr">
        <is>
          <t>Chủ Nhật</t>
        </is>
      </c>
      <c r="C86" t="inlineStr">
        <is>
          <t>Official</t>
        </is>
      </c>
      <c r="D86" t="inlineStr">
        <is>
          <t>00:30</t>
        </is>
      </c>
      <c r="E86" s="178" t="n">
        <v>46338</v>
      </c>
      <c r="F86" s="178" t="n">
        <v>46340</v>
      </c>
      <c r="G86" s="178" t="n">
        <v>46343</v>
      </c>
      <c r="H86" s="178" t="n">
        <v>46347</v>
      </c>
      <c r="I86" s="178" t="n">
        <v>46351</v>
      </c>
      <c r="J86" s="178" t="n">
        <v>46355</v>
      </c>
      <c r="K86" s="178" t="n">
        <v>46358</v>
      </c>
      <c r="L86" s="178" t="n">
        <v>46361</v>
      </c>
      <c r="M86" s="178" t="n">
        <v>46335</v>
      </c>
      <c r="N86" s="179" t="n">
        <v>46362</v>
      </c>
      <c r="O86" s="179" t="n">
        <v>46344</v>
      </c>
      <c r="P86" s="179" t="n">
        <v>46388</v>
      </c>
      <c r="Q86" s="125" t="n">
        <v>1</v>
      </c>
      <c r="R86" s="125" t="n">
        <v>54</v>
      </c>
      <c r="S86" s="125" t="inlineStr">
        <is>
          <t>PASS</t>
        </is>
      </c>
      <c r="T86" s="125">
        <f>'CRAWL_LOG'!C86</f>
        <v/>
      </c>
      <c r="U86" s="86" t="inlineStr">
        <is>
          <t>Có Tết Dương lịch 01/01</t>
        </is>
      </c>
      <c r="V86" s="86" t="n"/>
    </row>
    <row r="87" ht="24" customHeight="1" s="80">
      <c r="A87" s="177" t="n">
        <v>46335</v>
      </c>
      <c r="B87" t="inlineStr">
        <is>
          <t>Thứ Hai</t>
        </is>
      </c>
      <c r="C87" t="inlineStr">
        <is>
          <t>Official</t>
        </is>
      </c>
      <c r="D87" t="inlineStr">
        <is>
          <t>00:30</t>
        </is>
      </c>
      <c r="E87" s="178" t="n">
        <v>46338</v>
      </c>
      <c r="F87" s="178" t="n">
        <v>46340</v>
      </c>
      <c r="G87" s="178" t="n">
        <v>46343</v>
      </c>
      <c r="H87" s="178" t="n">
        <v>46347</v>
      </c>
      <c r="I87" s="178" t="n">
        <v>46351</v>
      </c>
      <c r="J87" s="178" t="n">
        <v>46355</v>
      </c>
      <c r="K87" s="178" t="n">
        <v>46358</v>
      </c>
      <c r="L87" s="178" t="n">
        <v>46361</v>
      </c>
      <c r="M87" s="178" t="n">
        <v>46335</v>
      </c>
      <c r="N87" s="179" t="n">
        <v>46362</v>
      </c>
      <c r="O87" s="179" t="n">
        <v>46344</v>
      </c>
      <c r="P87" s="179" t="n">
        <v>46388</v>
      </c>
      <c r="Q87" s="125" t="n">
        <v>0</v>
      </c>
      <c r="R87" s="125" t="n">
        <v>53</v>
      </c>
      <c r="S87" s="125" t="inlineStr">
        <is>
          <t>PASS</t>
        </is>
      </c>
      <c r="T87" s="125">
        <f>'CRAWL_LOG'!C87</f>
        <v/>
      </c>
      <c r="U87" s="86" t="inlineStr">
        <is>
          <t>Có Tết Dương lịch 01/01</t>
        </is>
      </c>
      <c r="V87" s="86" t="n"/>
    </row>
    <row r="88" ht="24" customHeight="1" s="80">
      <c r="A88" s="177" t="n">
        <v>46336</v>
      </c>
      <c r="B88" t="inlineStr">
        <is>
          <t>Thứ Ba</t>
        </is>
      </c>
      <c r="C88" t="inlineStr">
        <is>
          <t>Official</t>
        </is>
      </c>
      <c r="D88" t="inlineStr">
        <is>
          <t>00:30</t>
        </is>
      </c>
      <c r="E88" s="178" t="n">
        <v>46338</v>
      </c>
      <c r="F88" s="178" t="n">
        <v>46340</v>
      </c>
      <c r="G88" s="178" t="n">
        <v>46343</v>
      </c>
      <c r="H88" s="178" t="n">
        <v>46347</v>
      </c>
      <c r="I88" s="178" t="n">
        <v>46351</v>
      </c>
      <c r="J88" s="178" t="n">
        <v>46355</v>
      </c>
      <c r="K88" s="178" t="n">
        <v>46358</v>
      </c>
      <c r="L88" s="178" t="n">
        <v>46361</v>
      </c>
      <c r="M88" s="178" t="n">
        <v>46363</v>
      </c>
      <c r="N88" s="179" t="n">
        <v>46362</v>
      </c>
      <c r="O88" s="179" t="n">
        <v>46344</v>
      </c>
      <c r="P88" s="179" t="n">
        <v>46388</v>
      </c>
      <c r="Q88" s="125" t="n">
        <v>2</v>
      </c>
      <c r="R88" s="125" t="n">
        <v>52</v>
      </c>
      <c r="S88" s="125" t="inlineStr">
        <is>
          <t>PASS</t>
        </is>
      </c>
      <c r="T88" s="125">
        <f>'CRAWL_LOG'!C88</f>
        <v/>
      </c>
      <c r="U88" s="86" t="inlineStr">
        <is>
          <t>Có Tết Dương lịch 01/01</t>
        </is>
      </c>
      <c r="V88" s="86" t="n"/>
    </row>
    <row r="89" ht="24" customHeight="1" s="80">
      <c r="A89" s="177" t="n">
        <v>46337</v>
      </c>
      <c r="B89" t="inlineStr">
        <is>
          <t>Thứ Tư</t>
        </is>
      </c>
      <c r="C89" t="inlineStr">
        <is>
          <t>Official</t>
        </is>
      </c>
      <c r="D89" t="inlineStr">
        <is>
          <t>00:30</t>
        </is>
      </c>
      <c r="E89" s="178" t="n">
        <v>46338</v>
      </c>
      <c r="F89" s="178" t="n">
        <v>46340</v>
      </c>
      <c r="G89" s="178" t="n">
        <v>46343</v>
      </c>
      <c r="H89" s="178" t="n">
        <v>46347</v>
      </c>
      <c r="I89" s="178" t="n">
        <v>46351</v>
      </c>
      <c r="J89" s="178" t="n">
        <v>46355</v>
      </c>
      <c r="K89" s="178" t="n">
        <v>46358</v>
      </c>
      <c r="L89" s="178" t="n">
        <v>46361</v>
      </c>
      <c r="M89" s="178" t="n">
        <v>46363</v>
      </c>
      <c r="N89" s="179" t="n">
        <v>46362</v>
      </c>
      <c r="O89" s="179" t="n">
        <v>46344</v>
      </c>
      <c r="P89" s="179" t="n">
        <v>46388</v>
      </c>
      <c r="Q89" s="125" t="n">
        <v>1</v>
      </c>
      <c r="R89" s="125" t="n">
        <v>51</v>
      </c>
      <c r="S89" s="125" t="inlineStr">
        <is>
          <t>PASS</t>
        </is>
      </c>
      <c r="T89" s="125">
        <f>'CRAWL_LOG'!C89</f>
        <v/>
      </c>
      <c r="U89" s="86" t="inlineStr">
        <is>
          <t>Có Tết Dương lịch 01/01</t>
        </is>
      </c>
      <c r="V89" s="86" t="n"/>
    </row>
    <row r="90" ht="24" customHeight="1" s="80">
      <c r="A90" s="177" t="n">
        <v>46338</v>
      </c>
      <c r="B90" t="inlineStr">
        <is>
          <t>Thứ Năm</t>
        </is>
      </c>
      <c r="C90" t="inlineStr">
        <is>
          <t>Official</t>
        </is>
      </c>
      <c r="D90" t="inlineStr">
        <is>
          <t>00:30</t>
        </is>
      </c>
      <c r="E90" s="178" t="n">
        <v>46338</v>
      </c>
      <c r="F90" s="178" t="n">
        <v>46340</v>
      </c>
      <c r="G90" s="178" t="n">
        <v>46343</v>
      </c>
      <c r="H90" s="178" t="n">
        <v>46347</v>
      </c>
      <c r="I90" s="178" t="n">
        <v>46351</v>
      </c>
      <c r="J90" s="178" t="n">
        <v>46355</v>
      </c>
      <c r="K90" s="178" t="n">
        <v>46358</v>
      </c>
      <c r="L90" s="178" t="n">
        <v>46361</v>
      </c>
      <c r="M90" s="178" t="n">
        <v>46363</v>
      </c>
      <c r="N90" s="179" t="n">
        <v>46362</v>
      </c>
      <c r="O90" s="179" t="n">
        <v>46344</v>
      </c>
      <c r="P90" s="179" t="n">
        <v>46388</v>
      </c>
      <c r="Q90" s="125" t="n">
        <v>0</v>
      </c>
      <c r="R90" s="125" t="n">
        <v>50</v>
      </c>
      <c r="S90" s="125" t="inlineStr">
        <is>
          <t>PASS</t>
        </is>
      </c>
      <c r="T90" s="125">
        <f>'CRAWL_LOG'!C90</f>
        <v/>
      </c>
      <c r="U90" s="86" t="inlineStr">
        <is>
          <t>Có Tết Dương lịch 01/01</t>
        </is>
      </c>
      <c r="V90" s="86" t="n"/>
    </row>
    <row r="91" ht="24" customHeight="1" s="80">
      <c r="A91" s="177" t="n">
        <v>46339</v>
      </c>
      <c r="B91" t="inlineStr">
        <is>
          <t>Thứ Sáu</t>
        </is>
      </c>
      <c r="C91" t="inlineStr">
        <is>
          <t>Official</t>
        </is>
      </c>
      <c r="D91" t="inlineStr">
        <is>
          <t>00:30</t>
        </is>
      </c>
      <c r="E91" s="178" t="n">
        <v>46366</v>
      </c>
      <c r="F91" s="178" t="n">
        <v>46340</v>
      </c>
      <c r="G91" s="178" t="n">
        <v>46343</v>
      </c>
      <c r="H91" s="178" t="n">
        <v>46347</v>
      </c>
      <c r="I91" s="178" t="n">
        <v>46351</v>
      </c>
      <c r="J91" s="178" t="n">
        <v>46355</v>
      </c>
      <c r="K91" s="178" t="n">
        <v>46358</v>
      </c>
      <c r="L91" s="178" t="n">
        <v>46361</v>
      </c>
      <c r="M91" s="178" t="n">
        <v>46363</v>
      </c>
      <c r="N91" s="179" t="n">
        <v>46362</v>
      </c>
      <c r="O91" s="179" t="n">
        <v>46344</v>
      </c>
      <c r="P91" s="179" t="n">
        <v>46388</v>
      </c>
      <c r="Q91" s="125" t="n">
        <v>1</v>
      </c>
      <c r="R91" s="125" t="n">
        <v>49</v>
      </c>
      <c r="S91" s="125" t="inlineStr">
        <is>
          <t>PASS</t>
        </is>
      </c>
      <c r="T91" s="125">
        <f>'CRAWL_LOG'!C91</f>
        <v/>
      </c>
      <c r="U91" s="86" t="inlineStr">
        <is>
          <t>Có Tết Dương lịch 01/01</t>
        </is>
      </c>
      <c r="V91" s="86" t="n"/>
    </row>
    <row r="92" ht="24" customHeight="1" s="80">
      <c r="A92" s="177" t="n">
        <v>46340</v>
      </c>
      <c r="B92" t="inlineStr">
        <is>
          <t>Thứ Bảy</t>
        </is>
      </c>
      <c r="C92" t="inlineStr">
        <is>
          <t>Official</t>
        </is>
      </c>
      <c r="D92" t="inlineStr">
        <is>
          <t>00:30</t>
        </is>
      </c>
      <c r="E92" s="178" t="n">
        <v>46366</v>
      </c>
      <c r="F92" s="178" t="n">
        <v>46340</v>
      </c>
      <c r="G92" s="178" t="n">
        <v>46343</v>
      </c>
      <c r="H92" s="178" t="n">
        <v>46347</v>
      </c>
      <c r="I92" s="178" t="n">
        <v>46351</v>
      </c>
      <c r="J92" s="178" t="n">
        <v>46355</v>
      </c>
      <c r="K92" s="178" t="n">
        <v>46358</v>
      </c>
      <c r="L92" s="178" t="n">
        <v>46361</v>
      </c>
      <c r="M92" s="178" t="n">
        <v>46363</v>
      </c>
      <c r="N92" s="179" t="n">
        <v>46362</v>
      </c>
      <c r="O92" s="179" t="n">
        <v>46344</v>
      </c>
      <c r="P92" s="179" t="n">
        <v>46388</v>
      </c>
      <c r="Q92" s="125" t="n">
        <v>0</v>
      </c>
      <c r="R92" s="125" t="n">
        <v>48</v>
      </c>
      <c r="S92" s="125" t="inlineStr">
        <is>
          <t>PASS</t>
        </is>
      </c>
      <c r="T92" s="125">
        <f>'CRAWL_LOG'!C92</f>
        <v/>
      </c>
      <c r="U92" s="86" t="inlineStr">
        <is>
          <t>Có Tết Dương lịch 01/01</t>
        </is>
      </c>
      <c r="V92" s="86" t="n"/>
    </row>
    <row r="93" ht="24" customHeight="1" s="80">
      <c r="A93" s="177" t="n">
        <v>46341</v>
      </c>
      <c r="B93" t="inlineStr">
        <is>
          <t>Chủ Nhật</t>
        </is>
      </c>
      <c r="C93" t="inlineStr">
        <is>
          <t>Official</t>
        </is>
      </c>
      <c r="D93" t="inlineStr">
        <is>
          <t>00:30</t>
        </is>
      </c>
      <c r="E93" s="178" t="n">
        <v>46366</v>
      </c>
      <c r="F93" s="178" t="n">
        <v>46368</v>
      </c>
      <c r="G93" s="178" t="n">
        <v>46343</v>
      </c>
      <c r="H93" s="178" t="n">
        <v>46347</v>
      </c>
      <c r="I93" s="178" t="n">
        <v>46351</v>
      </c>
      <c r="J93" s="178" t="n">
        <v>46355</v>
      </c>
      <c r="K93" s="178" t="n">
        <v>46358</v>
      </c>
      <c r="L93" s="178" t="n">
        <v>46361</v>
      </c>
      <c r="M93" s="178" t="n">
        <v>46363</v>
      </c>
      <c r="N93" s="179" t="n">
        <v>46362</v>
      </c>
      <c r="O93" s="179" t="n">
        <v>46344</v>
      </c>
      <c r="P93" s="179" t="n">
        <v>46388</v>
      </c>
      <c r="Q93" s="125" t="n">
        <v>2</v>
      </c>
      <c r="R93" s="125" t="n">
        <v>47</v>
      </c>
      <c r="S93" s="125" t="inlineStr">
        <is>
          <t>PASS</t>
        </is>
      </c>
      <c r="T93" s="125">
        <f>'CRAWL_LOG'!C93</f>
        <v/>
      </c>
      <c r="U93" s="86" t="inlineStr">
        <is>
          <t>Có Tết Dương lịch 01/01</t>
        </is>
      </c>
      <c r="V93" s="86" t="n"/>
    </row>
    <row r="94" ht="24" customHeight="1" s="80">
      <c r="A94" s="177" t="n">
        <v>46342</v>
      </c>
      <c r="B94" t="inlineStr">
        <is>
          <t>Thứ Hai</t>
        </is>
      </c>
      <c r="C94" t="inlineStr">
        <is>
          <t>Official</t>
        </is>
      </c>
      <c r="D94" t="inlineStr">
        <is>
          <t>00:30</t>
        </is>
      </c>
      <c r="E94" s="178" t="n">
        <v>46366</v>
      </c>
      <c r="F94" s="178" t="n">
        <v>46368</v>
      </c>
      <c r="G94" s="178" t="n">
        <v>46343</v>
      </c>
      <c r="H94" s="178" t="n">
        <v>46347</v>
      </c>
      <c r="I94" s="178" t="n">
        <v>46351</v>
      </c>
      <c r="J94" s="178" t="n">
        <v>46355</v>
      </c>
      <c r="K94" s="178" t="n">
        <v>46358</v>
      </c>
      <c r="L94" s="178" t="n">
        <v>46361</v>
      </c>
      <c r="M94" s="178" t="n">
        <v>46363</v>
      </c>
      <c r="N94" s="179" t="n">
        <v>46362</v>
      </c>
      <c r="O94" s="179" t="n">
        <v>46344</v>
      </c>
      <c r="P94" s="179" t="n">
        <v>46388</v>
      </c>
      <c r="Q94" s="125" t="n">
        <v>1</v>
      </c>
      <c r="R94" s="125" t="n">
        <v>46</v>
      </c>
      <c r="S94" s="125" t="inlineStr">
        <is>
          <t>PASS</t>
        </is>
      </c>
      <c r="T94" s="125">
        <f>'CRAWL_LOG'!C94</f>
        <v/>
      </c>
      <c r="U94" s="86" t="inlineStr">
        <is>
          <t>Có Tết Dương lịch 01/01</t>
        </is>
      </c>
      <c r="V94" s="86" t="n"/>
    </row>
    <row r="95" ht="24" customHeight="1" s="80">
      <c r="A95" s="177" t="n">
        <v>46343</v>
      </c>
      <c r="B95" t="inlineStr">
        <is>
          <t>Thứ Ba</t>
        </is>
      </c>
      <c r="C95" t="inlineStr">
        <is>
          <t>Official</t>
        </is>
      </c>
      <c r="D95" t="inlineStr">
        <is>
          <t>00:30</t>
        </is>
      </c>
      <c r="E95" s="178" t="n">
        <v>46366</v>
      </c>
      <c r="F95" s="178" t="n">
        <v>46368</v>
      </c>
      <c r="G95" s="178" t="n">
        <v>46343</v>
      </c>
      <c r="H95" s="178" t="n">
        <v>46347</v>
      </c>
      <c r="I95" s="178" t="n">
        <v>46351</v>
      </c>
      <c r="J95" s="178" t="n">
        <v>46355</v>
      </c>
      <c r="K95" s="178" t="n">
        <v>46358</v>
      </c>
      <c r="L95" s="178" t="n">
        <v>46361</v>
      </c>
      <c r="M95" s="178" t="n">
        <v>46363</v>
      </c>
      <c r="N95" s="179" t="n">
        <v>46362</v>
      </c>
      <c r="O95" s="179" t="n">
        <v>46344</v>
      </c>
      <c r="P95" s="179" t="n">
        <v>46388</v>
      </c>
      <c r="Q95" s="125" t="n">
        <v>0</v>
      </c>
      <c r="R95" s="125" t="n">
        <v>45</v>
      </c>
      <c r="S95" s="125" t="inlineStr">
        <is>
          <t>PASS</t>
        </is>
      </c>
      <c r="T95" s="125">
        <f>'CRAWL_LOG'!C95</f>
        <v/>
      </c>
      <c r="U95" s="86" t="inlineStr">
        <is>
          <t>Có Tết Dương lịch 01/01</t>
        </is>
      </c>
      <c r="V95" s="86" t="n"/>
    </row>
    <row r="96" ht="24" customHeight="1" s="80">
      <c r="A96" s="177" t="n">
        <v>46344</v>
      </c>
      <c r="B96" t="inlineStr">
        <is>
          <t>Thứ Tư</t>
        </is>
      </c>
      <c r="C96" t="inlineStr">
        <is>
          <t>Official</t>
        </is>
      </c>
      <c r="D96" t="inlineStr">
        <is>
          <t>00:30</t>
        </is>
      </c>
      <c r="E96" s="178" t="n">
        <v>46366</v>
      </c>
      <c r="F96" s="178" t="n">
        <v>46368</v>
      </c>
      <c r="G96" s="178" t="n">
        <v>46371</v>
      </c>
      <c r="H96" s="178" t="n">
        <v>46347</v>
      </c>
      <c r="I96" s="178" t="n">
        <v>46351</v>
      </c>
      <c r="J96" s="178" t="n">
        <v>46355</v>
      </c>
      <c r="K96" s="178" t="n">
        <v>46358</v>
      </c>
      <c r="L96" s="178" t="n">
        <v>46361</v>
      </c>
      <c r="M96" s="178" t="n">
        <v>46363</v>
      </c>
      <c r="N96" s="179" t="n">
        <v>46362</v>
      </c>
      <c r="O96" s="179" t="n">
        <v>46344</v>
      </c>
      <c r="P96" s="179" t="n">
        <v>46388</v>
      </c>
      <c r="Q96" s="125" t="n">
        <v>0</v>
      </c>
      <c r="R96" s="125" t="n">
        <v>44</v>
      </c>
      <c r="S96" s="125" t="inlineStr">
        <is>
          <t>PASS</t>
        </is>
      </c>
      <c r="T96" s="125">
        <f>'CRAWL_LOG'!C96</f>
        <v/>
      </c>
      <c r="U96" s="86" t="inlineStr">
        <is>
          <t>Có Tết Dương lịch 01/01</t>
        </is>
      </c>
      <c r="V96" s="86" t="n"/>
    </row>
    <row r="97" ht="24" customHeight="1" s="80">
      <c r="A97" s="177" t="n">
        <v>46345</v>
      </c>
      <c r="B97" t="inlineStr">
        <is>
          <t>Thứ Năm</t>
        </is>
      </c>
      <c r="C97" t="inlineStr">
        <is>
          <t>Official</t>
        </is>
      </c>
      <c r="D97" t="inlineStr">
        <is>
          <t>00:30</t>
        </is>
      </c>
      <c r="E97" s="178" t="n">
        <v>46366</v>
      </c>
      <c r="F97" s="178" t="n">
        <v>46368</v>
      </c>
      <c r="G97" s="178" t="n">
        <v>46371</v>
      </c>
      <c r="H97" s="178" t="n">
        <v>46347</v>
      </c>
      <c r="I97" s="178" t="n">
        <v>46351</v>
      </c>
      <c r="J97" s="178" t="n">
        <v>46355</v>
      </c>
      <c r="K97" s="178" t="n">
        <v>46358</v>
      </c>
      <c r="L97" s="178" t="n">
        <v>46361</v>
      </c>
      <c r="M97" s="178" t="n">
        <v>46363</v>
      </c>
      <c r="N97" s="179" t="n">
        <v>46362</v>
      </c>
      <c r="O97" s="179" t="n">
        <v>46428</v>
      </c>
      <c r="P97" s="179" t="n">
        <v>46388</v>
      </c>
      <c r="Q97" s="125" t="n">
        <v>2</v>
      </c>
      <c r="R97" s="125" t="n">
        <v>83</v>
      </c>
      <c r="S97" s="125" t="inlineStr">
        <is>
          <t>PASS</t>
        </is>
      </c>
      <c r="T97" s="125">
        <f>'CRAWL_LOG'!C97</f>
        <v/>
      </c>
      <c r="U97" s="86" t="inlineStr">
        <is>
          <t>Có Tết Dương lịch 01/01</t>
        </is>
      </c>
      <c r="V97" s="86" t="n"/>
    </row>
    <row r="98" ht="24" customHeight="1" s="80">
      <c r="A98" s="177" t="n">
        <v>46346</v>
      </c>
      <c r="B98" t="inlineStr">
        <is>
          <t>Thứ Sáu</t>
        </is>
      </c>
      <c r="C98" t="inlineStr">
        <is>
          <t>Official</t>
        </is>
      </c>
      <c r="D98" t="inlineStr">
        <is>
          <t>00:30</t>
        </is>
      </c>
      <c r="E98" s="178" t="n">
        <v>46366</v>
      </c>
      <c r="F98" s="178" t="n">
        <v>46368</v>
      </c>
      <c r="G98" s="178" t="n">
        <v>46371</v>
      </c>
      <c r="H98" s="178" t="n">
        <v>46347</v>
      </c>
      <c r="I98" s="178" t="n">
        <v>46351</v>
      </c>
      <c r="J98" s="178" t="n">
        <v>46355</v>
      </c>
      <c r="K98" s="178" t="n">
        <v>46358</v>
      </c>
      <c r="L98" s="178" t="n">
        <v>46361</v>
      </c>
      <c r="M98" s="178" t="n">
        <v>46363</v>
      </c>
      <c r="N98" s="179" t="n">
        <v>46362</v>
      </c>
      <c r="O98" s="179" t="n">
        <v>46428</v>
      </c>
      <c r="P98" s="179" t="n">
        <v>46388</v>
      </c>
      <c r="Q98" s="125" t="n">
        <v>1</v>
      </c>
      <c r="R98" s="125" t="n">
        <v>82</v>
      </c>
      <c r="S98" s="125" t="inlineStr">
        <is>
          <t>PASS</t>
        </is>
      </c>
      <c r="T98" s="125">
        <f>'CRAWL_LOG'!C98</f>
        <v/>
      </c>
      <c r="U98" s="86" t="inlineStr">
        <is>
          <t>Có Tết Dương lịch 01/01</t>
        </is>
      </c>
      <c r="V98" s="86" t="n"/>
    </row>
    <row r="99" ht="24" customHeight="1" s="80">
      <c r="A99" s="177" t="n">
        <v>46347</v>
      </c>
      <c r="B99" t="inlineStr">
        <is>
          <t>Thứ Bảy</t>
        </is>
      </c>
      <c r="C99" t="inlineStr">
        <is>
          <t>Official</t>
        </is>
      </c>
      <c r="D99" t="inlineStr">
        <is>
          <t>00:30</t>
        </is>
      </c>
      <c r="E99" s="178" t="n">
        <v>46366</v>
      </c>
      <c r="F99" s="178" t="n">
        <v>46368</v>
      </c>
      <c r="G99" s="178" t="n">
        <v>46371</v>
      </c>
      <c r="H99" s="178" t="n">
        <v>46347</v>
      </c>
      <c r="I99" s="178" t="n">
        <v>46351</v>
      </c>
      <c r="J99" s="178" t="n">
        <v>46355</v>
      </c>
      <c r="K99" s="178" t="n">
        <v>46358</v>
      </c>
      <c r="L99" s="178" t="n">
        <v>46361</v>
      </c>
      <c r="M99" s="178" t="n">
        <v>46363</v>
      </c>
      <c r="N99" s="179" t="n">
        <v>46362</v>
      </c>
      <c r="O99" s="179" t="n">
        <v>46428</v>
      </c>
      <c r="P99" s="179" t="n">
        <v>46388</v>
      </c>
      <c r="Q99" s="125" t="n">
        <v>0</v>
      </c>
      <c r="R99" s="125" t="n">
        <v>81</v>
      </c>
      <c r="S99" s="125" t="inlineStr">
        <is>
          <t>PASS</t>
        </is>
      </c>
      <c r="T99" s="125">
        <f>'CRAWL_LOG'!C99</f>
        <v/>
      </c>
      <c r="U99" s="86" t="inlineStr">
        <is>
          <t>Có Tết Dương lịch 01/01</t>
        </is>
      </c>
      <c r="V99" s="86" t="n"/>
    </row>
    <row r="100" ht="24" customHeight="1" s="80">
      <c r="A100" s="177" t="n">
        <v>46348</v>
      </c>
      <c r="B100" t="inlineStr">
        <is>
          <t>Chủ Nhật</t>
        </is>
      </c>
      <c r="C100" t="inlineStr">
        <is>
          <t>Official</t>
        </is>
      </c>
      <c r="D100" t="inlineStr">
        <is>
          <t>00:30</t>
        </is>
      </c>
      <c r="E100" s="178" t="n">
        <v>46366</v>
      </c>
      <c r="F100" s="178" t="n">
        <v>46368</v>
      </c>
      <c r="G100" s="178" t="n">
        <v>46371</v>
      </c>
      <c r="H100" s="178" t="n">
        <v>46375</v>
      </c>
      <c r="I100" s="178" t="n">
        <v>46351</v>
      </c>
      <c r="J100" s="178" t="n">
        <v>46355</v>
      </c>
      <c r="K100" s="178" t="n">
        <v>46358</v>
      </c>
      <c r="L100" s="178" t="n">
        <v>46361</v>
      </c>
      <c r="M100" s="178" t="n">
        <v>46363</v>
      </c>
      <c r="N100" s="179" t="n">
        <v>46362</v>
      </c>
      <c r="O100" s="179" t="n">
        <v>46428</v>
      </c>
      <c r="P100" s="179" t="n">
        <v>46388</v>
      </c>
      <c r="Q100" s="125" t="n">
        <v>3</v>
      </c>
      <c r="R100" s="125" t="n">
        <v>80</v>
      </c>
      <c r="S100" s="125" t="inlineStr">
        <is>
          <t>PASS</t>
        </is>
      </c>
      <c r="T100" s="125">
        <f>'CRAWL_LOG'!C100</f>
        <v/>
      </c>
      <c r="U100" s="86" t="inlineStr">
        <is>
          <t>Có Tết Dương lịch 01/01</t>
        </is>
      </c>
      <c r="V100" s="86" t="n"/>
    </row>
    <row r="101" ht="24" customHeight="1" s="80">
      <c r="A101" s="177" t="n">
        <v>46349</v>
      </c>
      <c r="B101" t="inlineStr">
        <is>
          <t>Thứ Hai</t>
        </is>
      </c>
      <c r="C101" t="inlineStr">
        <is>
          <t>Official</t>
        </is>
      </c>
      <c r="D101" t="inlineStr">
        <is>
          <t>00:30</t>
        </is>
      </c>
      <c r="E101" s="178" t="n">
        <v>46366</v>
      </c>
      <c r="F101" s="178" t="n">
        <v>46368</v>
      </c>
      <c r="G101" s="178" t="n">
        <v>46371</v>
      </c>
      <c r="H101" s="178" t="n">
        <v>46375</v>
      </c>
      <c r="I101" s="178" t="n">
        <v>46351</v>
      </c>
      <c r="J101" s="178" t="n">
        <v>46355</v>
      </c>
      <c r="K101" s="178" t="n">
        <v>46358</v>
      </c>
      <c r="L101" s="178" t="n">
        <v>46361</v>
      </c>
      <c r="M101" s="178" t="n">
        <v>46363</v>
      </c>
      <c r="N101" s="179" t="n">
        <v>46362</v>
      </c>
      <c r="O101" s="179" t="n">
        <v>46428</v>
      </c>
      <c r="P101" s="179" t="n">
        <v>46388</v>
      </c>
      <c r="Q101" s="125" t="n">
        <v>2</v>
      </c>
      <c r="R101" s="125" t="n">
        <v>79</v>
      </c>
      <c r="S101" s="125" t="inlineStr">
        <is>
          <t>PASS</t>
        </is>
      </c>
      <c r="T101" s="125">
        <f>'CRAWL_LOG'!C101</f>
        <v/>
      </c>
      <c r="U101" s="86" t="inlineStr">
        <is>
          <t>Có Tết Dương lịch 01/01</t>
        </is>
      </c>
      <c r="V101" s="86" t="n"/>
    </row>
    <row r="102" ht="24" customHeight="1" s="80">
      <c r="A102" s="177" t="n">
        <v>46350</v>
      </c>
      <c r="B102" t="inlineStr">
        <is>
          <t>Thứ Ba</t>
        </is>
      </c>
      <c r="C102" t="inlineStr">
        <is>
          <t>Official</t>
        </is>
      </c>
      <c r="D102" t="inlineStr">
        <is>
          <t>00:30</t>
        </is>
      </c>
      <c r="E102" s="178" t="n">
        <v>46366</v>
      </c>
      <c r="F102" s="178" t="n">
        <v>46368</v>
      </c>
      <c r="G102" s="178" t="n">
        <v>46371</v>
      </c>
      <c r="H102" s="178" t="n">
        <v>46375</v>
      </c>
      <c r="I102" s="178" t="n">
        <v>46351</v>
      </c>
      <c r="J102" s="178" t="n">
        <v>46355</v>
      </c>
      <c r="K102" s="178" t="n">
        <v>46358</v>
      </c>
      <c r="L102" s="178" t="n">
        <v>46361</v>
      </c>
      <c r="M102" s="178" t="n">
        <v>46363</v>
      </c>
      <c r="N102" s="179" t="n">
        <v>46362</v>
      </c>
      <c r="O102" s="179" t="n">
        <v>46428</v>
      </c>
      <c r="P102" s="179" t="n">
        <v>46388</v>
      </c>
      <c r="Q102" s="125" t="n">
        <v>1</v>
      </c>
      <c r="R102" s="125" t="n">
        <v>78</v>
      </c>
      <c r="S102" s="125" t="inlineStr">
        <is>
          <t>PASS</t>
        </is>
      </c>
      <c r="T102" s="125">
        <f>'CRAWL_LOG'!C102</f>
        <v/>
      </c>
      <c r="U102" s="86" t="inlineStr">
        <is>
          <t>Có Tết Dương lịch 01/01</t>
        </is>
      </c>
      <c r="V102" s="86" t="n"/>
    </row>
    <row r="103" ht="24" customHeight="1" s="80">
      <c r="A103" s="177" t="n">
        <v>46351</v>
      </c>
      <c r="B103" t="inlineStr">
        <is>
          <t>Thứ Tư</t>
        </is>
      </c>
      <c r="C103" t="inlineStr">
        <is>
          <t>Official</t>
        </is>
      </c>
      <c r="D103" t="inlineStr">
        <is>
          <t>00:30</t>
        </is>
      </c>
      <c r="E103" s="178" t="n">
        <v>46366</v>
      </c>
      <c r="F103" s="178" t="n">
        <v>46368</v>
      </c>
      <c r="G103" s="178" t="n">
        <v>46371</v>
      </c>
      <c r="H103" s="178" t="n">
        <v>46375</v>
      </c>
      <c r="I103" s="178" t="n">
        <v>46351</v>
      </c>
      <c r="J103" s="178" t="n">
        <v>46355</v>
      </c>
      <c r="K103" s="178" t="n">
        <v>46358</v>
      </c>
      <c r="L103" s="178" t="n">
        <v>46361</v>
      </c>
      <c r="M103" s="178" t="n">
        <v>46363</v>
      </c>
      <c r="N103" s="179" t="n">
        <v>46362</v>
      </c>
      <c r="O103" s="179" t="n">
        <v>46428</v>
      </c>
      <c r="P103" s="179" t="n">
        <v>46388</v>
      </c>
      <c r="Q103" s="125" t="n">
        <v>0</v>
      </c>
      <c r="R103" s="125" t="n">
        <v>77</v>
      </c>
      <c r="S103" s="125" t="inlineStr">
        <is>
          <t>PASS</t>
        </is>
      </c>
      <c r="T103" s="125">
        <f>'CRAWL_LOG'!C103</f>
        <v/>
      </c>
      <c r="U103" s="86" t="inlineStr">
        <is>
          <t>Có Tết Dương lịch 01/01</t>
        </is>
      </c>
      <c r="V103" s="86" t="n"/>
    </row>
    <row r="104" ht="24" customHeight="1" s="80">
      <c r="A104" s="177" t="n">
        <v>46352</v>
      </c>
      <c r="B104" t="inlineStr">
        <is>
          <t>Thứ Năm</t>
        </is>
      </c>
      <c r="C104" t="inlineStr">
        <is>
          <t>Official</t>
        </is>
      </c>
      <c r="D104" t="inlineStr">
        <is>
          <t>00:30</t>
        </is>
      </c>
      <c r="E104" s="178" t="n">
        <v>46366</v>
      </c>
      <c r="F104" s="178" t="n">
        <v>46368</v>
      </c>
      <c r="G104" s="178" t="n">
        <v>46371</v>
      </c>
      <c r="H104" s="178" t="n">
        <v>46375</v>
      </c>
      <c r="I104" s="178" t="n">
        <v>46379</v>
      </c>
      <c r="J104" s="178" t="n">
        <v>46355</v>
      </c>
      <c r="K104" s="178" t="n">
        <v>46358</v>
      </c>
      <c r="L104" s="178" t="n">
        <v>46361</v>
      </c>
      <c r="M104" s="178" t="n">
        <v>46363</v>
      </c>
      <c r="N104" s="179" t="n">
        <v>46362</v>
      </c>
      <c r="O104" s="179" t="n">
        <v>46428</v>
      </c>
      <c r="P104" s="179" t="n">
        <v>46388</v>
      </c>
      <c r="Q104" s="125" t="n">
        <v>3</v>
      </c>
      <c r="R104" s="125" t="n">
        <v>76</v>
      </c>
      <c r="S104" s="125" t="inlineStr">
        <is>
          <t>PASS</t>
        </is>
      </c>
      <c r="T104" s="125">
        <f>'CRAWL_LOG'!C104</f>
        <v/>
      </c>
      <c r="U104" s="86" t="inlineStr">
        <is>
          <t>Có Tết Dương lịch 01/01</t>
        </is>
      </c>
      <c r="V104" s="86" t="n"/>
    </row>
    <row r="105" ht="24" customHeight="1" s="80">
      <c r="A105" s="177" t="n">
        <v>46353</v>
      </c>
      <c r="B105" t="inlineStr">
        <is>
          <t>Thứ Sáu</t>
        </is>
      </c>
      <c r="C105" t="inlineStr">
        <is>
          <t>Official</t>
        </is>
      </c>
      <c r="D105" t="inlineStr">
        <is>
          <t>00:30</t>
        </is>
      </c>
      <c r="E105" s="178" t="n">
        <v>46366</v>
      </c>
      <c r="F105" s="178" t="n">
        <v>46368</v>
      </c>
      <c r="G105" s="178" t="n">
        <v>46371</v>
      </c>
      <c r="H105" s="178" t="n">
        <v>46375</v>
      </c>
      <c r="I105" s="178" t="n">
        <v>46379</v>
      </c>
      <c r="J105" s="178" t="n">
        <v>46355</v>
      </c>
      <c r="K105" s="178" t="n">
        <v>46358</v>
      </c>
      <c r="L105" s="178" t="n">
        <v>46361</v>
      </c>
      <c r="M105" s="178" t="n">
        <v>46363</v>
      </c>
      <c r="N105" s="179" t="n">
        <v>46362</v>
      </c>
      <c r="O105" s="179" t="n">
        <v>46428</v>
      </c>
      <c r="P105" s="179" t="n">
        <v>46388</v>
      </c>
      <c r="Q105" s="125" t="n">
        <v>2</v>
      </c>
      <c r="R105" s="125" t="n">
        <v>75</v>
      </c>
      <c r="S105" s="125" t="inlineStr">
        <is>
          <t>PASS</t>
        </is>
      </c>
      <c r="T105" s="125">
        <f>'CRAWL_LOG'!C105</f>
        <v/>
      </c>
      <c r="U105" s="86" t="inlineStr">
        <is>
          <t>Có Tết Dương lịch 01/01</t>
        </is>
      </c>
      <c r="V105" s="86" t="n"/>
    </row>
    <row r="106" ht="24" customHeight="1" s="80">
      <c r="A106" s="177" t="n">
        <v>46354</v>
      </c>
      <c r="B106" t="inlineStr">
        <is>
          <t>Thứ Bảy</t>
        </is>
      </c>
      <c r="C106" t="inlineStr">
        <is>
          <t>Official</t>
        </is>
      </c>
      <c r="D106" t="inlineStr">
        <is>
          <t>00:30</t>
        </is>
      </c>
      <c r="E106" s="178" t="n">
        <v>46366</v>
      </c>
      <c r="F106" s="178" t="n">
        <v>46368</v>
      </c>
      <c r="G106" s="178" t="n">
        <v>46371</v>
      </c>
      <c r="H106" s="178" t="n">
        <v>46375</v>
      </c>
      <c r="I106" s="178" t="n">
        <v>46379</v>
      </c>
      <c r="J106" s="178" t="n">
        <v>46355</v>
      </c>
      <c r="K106" s="178" t="n">
        <v>46358</v>
      </c>
      <c r="L106" s="178" t="n">
        <v>46361</v>
      </c>
      <c r="M106" s="178" t="n">
        <v>46363</v>
      </c>
      <c r="N106" s="179" t="n">
        <v>46362</v>
      </c>
      <c r="O106" s="179" t="n">
        <v>46428</v>
      </c>
      <c r="P106" s="179" t="n">
        <v>46388</v>
      </c>
      <c r="Q106" s="125" t="n">
        <v>1</v>
      </c>
      <c r="R106" s="125" t="n">
        <v>74</v>
      </c>
      <c r="S106" s="125" t="inlineStr">
        <is>
          <t>PASS</t>
        </is>
      </c>
      <c r="T106" s="125">
        <f>'CRAWL_LOG'!C106</f>
        <v/>
      </c>
      <c r="U106" s="86" t="inlineStr">
        <is>
          <t>Có Tết Dương lịch 01/01</t>
        </is>
      </c>
      <c r="V106" s="86" t="n"/>
    </row>
    <row r="107">
      <c r="A107" s="177" t="n">
        <v>46355</v>
      </c>
      <c r="B107" t="inlineStr">
        <is>
          <t>Chủ Nhật</t>
        </is>
      </c>
      <c r="C107" t="inlineStr">
        <is>
          <t>Official</t>
        </is>
      </c>
      <c r="D107" t="inlineStr">
        <is>
          <t>00:30</t>
        </is>
      </c>
      <c r="E107" s="178" t="n">
        <v>46366</v>
      </c>
      <c r="F107" s="178" t="n">
        <v>46368</v>
      </c>
      <c r="G107" s="178" t="n">
        <v>46371</v>
      </c>
      <c r="H107" s="178" t="n">
        <v>46375</v>
      </c>
      <c r="I107" s="178" t="n">
        <v>46379</v>
      </c>
      <c r="J107" s="178" t="n">
        <v>46355</v>
      </c>
      <c r="K107" s="178" t="n">
        <v>46358</v>
      </c>
      <c r="L107" s="178" t="n">
        <v>46361</v>
      </c>
      <c r="M107" s="178" t="n">
        <v>46363</v>
      </c>
      <c r="N107" s="179" t="n">
        <v>46362</v>
      </c>
      <c r="O107" s="179" t="n">
        <v>46428</v>
      </c>
      <c r="P107" s="179" t="n">
        <v>46388</v>
      </c>
      <c r="Q107" s="125" t="n">
        <v>0</v>
      </c>
      <c r="R107" s="125" t="n">
        <v>73</v>
      </c>
      <c r="S107" s="125" t="inlineStr">
        <is>
          <t>PASS</t>
        </is>
      </c>
      <c r="T107" s="125">
        <f>'CRAWL_LOG'!C107</f>
        <v/>
      </c>
      <c r="U107" s="86" t="inlineStr">
        <is>
          <t>Có Tết Dương lịch 01/01</t>
        </is>
      </c>
      <c r="V107" s="86" t="n"/>
    </row>
    <row r="108">
      <c r="A108" s="177" t="n">
        <v>46356</v>
      </c>
      <c r="B108" t="inlineStr">
        <is>
          <t>Thứ Hai</t>
        </is>
      </c>
      <c r="C108" t="inlineStr">
        <is>
          <t>Official</t>
        </is>
      </c>
      <c r="D108" t="inlineStr">
        <is>
          <t>00:30</t>
        </is>
      </c>
      <c r="E108" s="178" t="n">
        <v>46366</v>
      </c>
      <c r="F108" s="178" t="n">
        <v>46368</v>
      </c>
      <c r="G108" s="178" t="n">
        <v>46371</v>
      </c>
      <c r="H108" s="178" t="n">
        <v>46375</v>
      </c>
      <c r="I108" s="178" t="n">
        <v>46379</v>
      </c>
      <c r="J108" s="178" t="n">
        <v>46383</v>
      </c>
      <c r="K108" s="178" t="n">
        <v>46358</v>
      </c>
      <c r="L108" s="178" t="n">
        <v>46361</v>
      </c>
      <c r="M108" s="178" t="n">
        <v>46363</v>
      </c>
      <c r="N108" s="179" t="n">
        <v>46362</v>
      </c>
      <c r="O108" s="179" t="n">
        <v>46428</v>
      </c>
      <c r="P108" s="179" t="n">
        <v>46388</v>
      </c>
      <c r="Q108" s="125" t="n">
        <v>2</v>
      </c>
      <c r="R108" s="125" t="n">
        <v>72</v>
      </c>
      <c r="S108" s="125" t="inlineStr">
        <is>
          <t>PASS</t>
        </is>
      </c>
      <c r="T108" s="125">
        <f>'CRAWL_LOG'!C108</f>
        <v/>
      </c>
      <c r="U108" s="86" t="inlineStr">
        <is>
          <t>Có Tết Dương lịch 01/01</t>
        </is>
      </c>
      <c r="V108" s="86" t="n"/>
    </row>
  </sheetData>
  <mergeCells count="2">
    <mergeCell ref="A2:V2"/>
    <mergeCell ref="A1:V1"/>
  </mergeCells>
  <conditionalFormatting sqref="Q4:Q106">
    <cfRule type="containsText" priority="1" operator="containsText" dxfId="0" text="Hoàn thành"/>
    <cfRule type="containsText" priority="2" operator="containsText" dxfId="1" text="Đang chạy"/>
    <cfRule type="containsText" priority="3" operator="containsText" dxfId="2" text="Thất bại"/>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108"/>
  <sheetViews>
    <sheetView showGridLines="0" workbookViewId="0">
      <selection activeCell="A1" sqref="A1"/>
    </sheetView>
  </sheetViews>
  <sheetFormatPr baseColWidth="8" defaultRowHeight="15"/>
  <cols>
    <col width="14" customWidth="1" style="80" min="1" max="1"/>
    <col width="16" customWidth="1" style="80" min="2" max="2"/>
    <col width="21" customWidth="1" style="80" min="3" max="3"/>
    <col width="18" customWidth="1" style="80" min="4" max="4"/>
    <col width="19" customWidth="1" style="80" min="5" max="5"/>
    <col width="19" customWidth="1" style="80" min="6" max="6"/>
    <col width="16" customWidth="1" style="80" min="7" max="7"/>
    <col width="13" customWidth="1" style="80" min="8" max="8"/>
    <col width="12" customWidth="1" style="80" min="9" max="9"/>
    <col width="12" customWidth="1" style="80" min="10" max="10"/>
    <col width="12" customWidth="1" style="80" min="11" max="11"/>
    <col width="12" customWidth="1" style="80" min="12" max="12"/>
    <col width="15" customWidth="1" style="80" min="13" max="13"/>
    <col width="12" customWidth="1" style="80" min="14" max="14"/>
    <col width="15" customWidth="1" style="80" min="15" max="15"/>
    <col width="16" customWidth="1" style="80" min="16" max="16"/>
    <col width="42" customWidth="1" style="80" min="17" max="17"/>
  </cols>
  <sheetData>
    <row r="1" ht="28" customHeight="1" s="80">
      <c r="A1" s="143" t="inlineStr">
        <is>
          <t>CRAWL LOG — MỖI NGÀY CÀO CHỈ MỘT DÒNG</t>
        </is>
      </c>
    </row>
    <row r="2" ht="24" customHeight="1" s="80">
      <c r="A2" s="159" t="inlineStr">
        <is>
          <t>Nếu backend chia nhiều batch/run, ghi toàn bộ run ID vào cùng một ô Run IDs; không thêm dòng mới cho cùng crawl date.</t>
        </is>
      </c>
    </row>
    <row r="3" ht="30" customHeight="1" s="80">
      <c r="A3" s="148" t="inlineStr">
        <is>
          <t>Crawl date</t>
        </is>
      </c>
      <c r="B3" s="148" t="inlineStr">
        <is>
          <t>Start time (ICT)</t>
        </is>
      </c>
      <c r="C3" s="148" t="inlineStr">
        <is>
          <t>Status</t>
        </is>
      </c>
      <c r="D3" s="148" t="inlineStr">
        <is>
          <t>Run IDs</t>
        </is>
      </c>
      <c r="E3" s="148" t="inlineStr">
        <is>
          <t>Started at</t>
        </is>
      </c>
      <c r="F3" s="148" t="inlineStr">
        <is>
          <t>Finished at</t>
        </is>
      </c>
      <c r="G3" s="148" t="inlineStr">
        <is>
          <t>Duration (hours)</t>
        </is>
      </c>
      <c r="H3" s="148" t="inlineStr">
        <is>
          <t>Total items</t>
        </is>
      </c>
      <c r="I3" s="148" t="inlineStr">
        <is>
          <t>Processed</t>
        </is>
      </c>
      <c r="J3" s="148" t="inlineStr">
        <is>
          <t>Success</t>
        </is>
      </c>
      <c r="K3" s="148" t="inlineStr">
        <is>
          <t>Partial</t>
        </is>
      </c>
      <c r="L3" s="148" t="inlineStr">
        <is>
          <t>Sold out</t>
        </is>
      </c>
      <c r="M3" s="148" t="inlineStr">
        <is>
          <t>Not bookable</t>
        </is>
      </c>
      <c r="N3" s="148" t="inlineStr">
        <is>
          <t>Error</t>
        </is>
      </c>
      <c r="O3" s="148" t="inlineStr">
        <is>
          <t>Valid records</t>
        </is>
      </c>
      <c r="P3" s="148" t="inlineStr">
        <is>
          <t>Check-in count</t>
        </is>
      </c>
      <c r="Q3" s="148" t="inlineStr">
        <is>
          <t>Notes</t>
        </is>
      </c>
    </row>
    <row r="4" ht="24" customHeight="1" s="80">
      <c r="A4" s="177" t="n">
        <v>46252</v>
      </c>
      <c r="B4" t="inlineStr">
        <is>
          <t>00:30</t>
        </is>
      </c>
      <c r="C4" t="inlineStr">
        <is>
          <t>Hoàn thành</t>
        </is>
      </c>
      <c r="D4" t="inlineStr">
        <is>
          <t>11</t>
        </is>
      </c>
      <c r="E4" s="180" t="n">
        <v>46252.02187171296</v>
      </c>
      <c r="F4" s="180" t="n">
        <v>46252.72123199074</v>
      </c>
      <c r="G4" s="181">
        <f>IF(OR(E4="",F4=""),"",(F4-E4)*24)</f>
        <v/>
      </c>
      <c r="H4" s="182" t="n">
        <v>4260</v>
      </c>
      <c r="I4" s="182" t="n">
        <v>4260</v>
      </c>
      <c r="J4" s="182" t="n">
        <v>3815</v>
      </c>
      <c r="K4" s="182" t="n">
        <v>0</v>
      </c>
      <c r="L4" s="182" t="n">
        <v>433</v>
      </c>
      <c r="M4" s="182" t="n">
        <v>12</v>
      </c>
      <c r="N4" s="182" t="n">
        <v>0</v>
      </c>
      <c r="O4" s="182" t="n">
        <v>41218</v>
      </c>
      <c r="P4" s="182" t="n">
        <v>12</v>
      </c>
      <c r="Q4" s="86" t="inlineStr">
        <is>
          <t>Scheduled run 11 đã đạt terminal state</t>
        </is>
      </c>
    </row>
    <row r="5" ht="24" customHeight="1" s="80">
      <c r="A5" s="177" t="n">
        <v>46253</v>
      </c>
      <c r="B5" t="inlineStr">
        <is>
          <t>00:30</t>
        </is>
      </c>
      <c r="C5" t="inlineStr">
        <is>
          <t>Hoàn thành</t>
        </is>
      </c>
      <c r="D5" t="inlineStr">
        <is>
          <t>12</t>
        </is>
      </c>
      <c r="E5" s="180" t="n">
        <v>46253.02209534722</v>
      </c>
      <c r="F5" s="180" t="n">
        <v>46253.72352921296</v>
      </c>
      <c r="G5" s="181">
        <f>IF(OR(E5="",F5=""),"",(F5-E5)*24)</f>
        <v/>
      </c>
      <c r="H5" s="182" t="n">
        <v>4260</v>
      </c>
      <c r="I5" s="182" t="n">
        <v>4260</v>
      </c>
      <c r="J5" s="182" t="n">
        <v>3816</v>
      </c>
      <c r="K5" s="182" t="n">
        <v>0</v>
      </c>
      <c r="L5" s="182" t="n">
        <v>444</v>
      </c>
      <c r="M5" s="182" t="n">
        <v>0</v>
      </c>
      <c r="N5" s="182" t="n">
        <v>0</v>
      </c>
      <c r="O5" s="182" t="n">
        <v>39507</v>
      </c>
      <c r="P5" s="182" t="n">
        <v>12</v>
      </c>
      <c r="Q5" s="86" t="inlineStr">
        <is>
          <t>Scheduled run 12 đã đạt terminal state</t>
        </is>
      </c>
    </row>
    <row r="6" ht="24" customHeight="1" s="80">
      <c r="A6" s="177" t="n">
        <v>46254</v>
      </c>
      <c r="B6" t="inlineStr">
        <is>
          <t>00:30</t>
        </is>
      </c>
      <c r="C6" t="inlineStr">
        <is>
          <t>Hoàn thành</t>
        </is>
      </c>
      <c r="D6" t="inlineStr">
        <is>
          <t>14</t>
        </is>
      </c>
      <c r="E6" s="180" t="n">
        <v>46254.04391013889</v>
      </c>
      <c r="F6" s="180" t="n">
        <v>46254.73005012731</v>
      </c>
      <c r="G6" s="181">
        <f>IF(OR(E6="",F6=""),"",(F6-E6)*24)</f>
        <v/>
      </c>
      <c r="H6" s="182" t="n">
        <v>4260</v>
      </c>
      <c r="I6" s="182" t="n">
        <v>4260</v>
      </c>
      <c r="J6" s="182" t="n">
        <v>3785</v>
      </c>
      <c r="K6" s="182" t="n">
        <v>0</v>
      </c>
      <c r="L6" s="182" t="n">
        <v>463</v>
      </c>
      <c r="M6" s="182" t="n">
        <v>12</v>
      </c>
      <c r="N6" s="182" t="n">
        <v>0</v>
      </c>
      <c r="O6" s="182" t="n">
        <v>39339</v>
      </c>
      <c r="P6" s="182" t="n">
        <v>12</v>
      </c>
      <c r="Q6" s="86" t="inlineStr">
        <is>
          <t>Scheduled run 14 đã đạt terminal state</t>
        </is>
      </c>
    </row>
    <row r="7" ht="24" customHeight="1" s="80">
      <c r="A7" s="177" t="n">
        <v>46255</v>
      </c>
      <c r="B7" t="inlineStr">
        <is>
          <t>00:30</t>
        </is>
      </c>
      <c r="C7" t="inlineStr">
        <is>
          <t>Hoàn thành</t>
        </is>
      </c>
      <c r="D7" t="inlineStr">
        <is>
          <t>16</t>
        </is>
      </c>
      <c r="E7" s="180" t="n">
        <v>46255.07475989583</v>
      </c>
      <c r="F7" s="180" t="n">
        <v>46255.90631582176</v>
      </c>
      <c r="G7" s="181">
        <f>IF(OR(E7="",F7=""),"",(F7-E7)*24)</f>
        <v/>
      </c>
      <c r="H7" s="182" t="n">
        <v>4260</v>
      </c>
      <c r="I7" s="182" t="n">
        <v>4260</v>
      </c>
      <c r="J7" s="182" t="n">
        <v>3808</v>
      </c>
      <c r="K7" s="182" t="n">
        <v>0</v>
      </c>
      <c r="L7" s="182" t="n">
        <v>452</v>
      </c>
      <c r="M7" s="182" t="n">
        <v>0</v>
      </c>
      <c r="N7" s="182" t="n">
        <v>0</v>
      </c>
      <c r="O7" s="182" t="n">
        <v>34030</v>
      </c>
      <c r="P7" s="182" t="n">
        <v>12</v>
      </c>
      <c r="Q7" s="86" t="inlineStr">
        <is>
          <t>Scheduled run 16 đã đạt terminal state</t>
        </is>
      </c>
    </row>
    <row r="8" ht="24" customHeight="1" s="80">
      <c r="A8" s="177" t="n">
        <v>46256</v>
      </c>
      <c r="B8" t="inlineStr">
        <is>
          <t>00:30</t>
        </is>
      </c>
      <c r="C8" t="inlineStr">
        <is>
          <t>Hoàn thành</t>
        </is>
      </c>
      <c r="D8" t="inlineStr">
        <is>
          <t>17</t>
        </is>
      </c>
      <c r="E8" s="180" t="n">
        <v>46256.02737123842</v>
      </c>
      <c r="F8" s="180" t="n">
        <v>46256.69755518519</v>
      </c>
      <c r="G8" s="181">
        <f>IF(OR(E8="",F8=""),"",(F8-E8)*24)</f>
        <v/>
      </c>
      <c r="H8" s="182" t="n">
        <v>4260</v>
      </c>
      <c r="I8" s="182" t="n">
        <v>4260</v>
      </c>
      <c r="J8" s="182" t="n">
        <v>3782</v>
      </c>
      <c r="K8" s="182" t="n">
        <v>0</v>
      </c>
      <c r="L8" s="182" t="n">
        <v>478</v>
      </c>
      <c r="M8" s="182" t="n">
        <v>0</v>
      </c>
      <c r="N8" s="182" t="n">
        <v>0</v>
      </c>
      <c r="O8" s="182" t="n">
        <v>34252</v>
      </c>
      <c r="P8" s="182" t="n">
        <v>12</v>
      </c>
      <c r="Q8" s="86" t="inlineStr">
        <is>
          <t>Scheduled run 17 đã đạt terminal state</t>
        </is>
      </c>
    </row>
    <row r="9" ht="24" customHeight="1" s="80">
      <c r="A9" s="177" t="n">
        <v>46257</v>
      </c>
      <c r="B9" t="inlineStr">
        <is>
          <t>00:30</t>
        </is>
      </c>
      <c r="C9" t="inlineStr">
        <is>
          <t>Hoàn thành</t>
        </is>
      </c>
      <c r="D9" t="inlineStr">
        <is>
          <t>18</t>
        </is>
      </c>
      <c r="E9" s="180" t="n">
        <v>46257.02248891204</v>
      </c>
      <c r="F9" s="180" t="n">
        <v>46257.72114275463</v>
      </c>
      <c r="G9" s="181">
        <f>IF(OR(E9="",F9=""),"",(F9-E9)*24)</f>
        <v/>
      </c>
      <c r="H9" s="182" t="n">
        <v>4260</v>
      </c>
      <c r="I9" s="182" t="n">
        <v>4260</v>
      </c>
      <c r="J9" s="182" t="n">
        <v>3818</v>
      </c>
      <c r="K9" s="182" t="n">
        <v>0</v>
      </c>
      <c r="L9" s="182" t="n">
        <v>430</v>
      </c>
      <c r="M9" s="182" t="n">
        <v>12</v>
      </c>
      <c r="N9" s="182" t="n">
        <v>0</v>
      </c>
      <c r="O9" s="182" t="n">
        <v>34674</v>
      </c>
      <c r="P9" s="182" t="n">
        <v>12</v>
      </c>
      <c r="Q9" s="86" t="inlineStr">
        <is>
          <t>Scheduled run 18 đã đạt terminal state</t>
        </is>
      </c>
    </row>
    <row r="10" ht="24" customHeight="1" s="80">
      <c r="A10" s="177" t="n">
        <v>46258</v>
      </c>
      <c r="B10" t="inlineStr">
        <is>
          <t>00:30</t>
        </is>
      </c>
      <c r="C10" t="inlineStr">
        <is>
          <t>Hoàn thành</t>
        </is>
      </c>
      <c r="D10" t="inlineStr">
        <is>
          <t>20</t>
        </is>
      </c>
      <c r="E10" s="180" t="n">
        <v>46258.03397636574</v>
      </c>
      <c r="F10" s="180" t="n">
        <v>46258.71595146991</v>
      </c>
      <c r="G10" s="181">
        <f>IF(OR(E10="",F10=""),"",(F10-E10)*24)</f>
        <v/>
      </c>
      <c r="H10" s="182" t="n">
        <v>4260</v>
      </c>
      <c r="I10" s="182" t="n">
        <v>4260</v>
      </c>
      <c r="J10" s="182" t="n">
        <v>3821</v>
      </c>
      <c r="K10" s="182" t="n">
        <v>0</v>
      </c>
      <c r="L10" s="182" t="n">
        <v>427</v>
      </c>
      <c r="M10" s="182" t="n">
        <v>12</v>
      </c>
      <c r="N10" s="182" t="n">
        <v>0</v>
      </c>
      <c r="O10" s="182" t="n">
        <v>34218</v>
      </c>
      <c r="P10" s="182" t="n">
        <v>12</v>
      </c>
      <c r="Q10" s="86" t="inlineStr">
        <is>
          <t>Scheduled run 20 đã đạt terminal state</t>
        </is>
      </c>
    </row>
    <row r="11" ht="24" customHeight="1" s="80">
      <c r="A11" s="177" t="n">
        <v>46259</v>
      </c>
      <c r="B11" t="inlineStr">
        <is>
          <t>00:30</t>
        </is>
      </c>
      <c r="C11" t="inlineStr">
        <is>
          <t>Hoàn thành</t>
        </is>
      </c>
      <c r="D11" t="inlineStr">
        <is>
          <t>21</t>
        </is>
      </c>
      <c r="E11" s="180" t="n">
        <v>46259.02196075232</v>
      </c>
      <c r="F11" s="180" t="n">
        <v>46259.69631299769</v>
      </c>
      <c r="G11" s="181">
        <f>IF(OR(E11="",F11=""),"",(F11-E11)*24)</f>
        <v/>
      </c>
      <c r="H11" s="182" t="n">
        <v>4260</v>
      </c>
      <c r="I11" s="182" t="n">
        <v>4260</v>
      </c>
      <c r="J11" s="182" t="n">
        <v>3811</v>
      </c>
      <c r="K11" s="182" t="n">
        <v>0</v>
      </c>
      <c r="L11" s="182" t="n">
        <v>437</v>
      </c>
      <c r="M11" s="182" t="n">
        <v>12</v>
      </c>
      <c r="N11" s="182" t="n">
        <v>0</v>
      </c>
      <c r="O11" s="182" t="n">
        <v>34746</v>
      </c>
      <c r="P11" s="182" t="n">
        <v>12</v>
      </c>
      <c r="Q11" s="86" t="inlineStr">
        <is>
          <t>Scheduled run 21 đã đạt terminal state</t>
        </is>
      </c>
    </row>
    <row r="12" ht="24" customHeight="1" s="80">
      <c r="A12" s="177" t="n">
        <v>46260</v>
      </c>
      <c r="B12" t="inlineStr">
        <is>
          <t>00:30</t>
        </is>
      </c>
      <c r="C12" t="inlineStr">
        <is>
          <t>Hoàn thành</t>
        </is>
      </c>
      <c r="D12" t="inlineStr">
        <is>
          <t>22</t>
        </is>
      </c>
      <c r="E12" s="180" t="n">
        <v>46260.022528125</v>
      </c>
      <c r="F12" s="180" t="n">
        <v>46260.69894597222</v>
      </c>
      <c r="G12" s="181">
        <f>IF(OR(E12="",F12=""),"",(F12-E12)*24)</f>
        <v/>
      </c>
      <c r="H12" s="182" t="n">
        <v>4260</v>
      </c>
      <c r="I12" s="182" t="n">
        <v>4260</v>
      </c>
      <c r="J12" s="182" t="n">
        <v>3816</v>
      </c>
      <c r="K12" s="182" t="n">
        <v>0</v>
      </c>
      <c r="L12" s="182" t="n">
        <v>432</v>
      </c>
      <c r="M12" s="182" t="n">
        <v>12</v>
      </c>
      <c r="N12" s="182" t="n">
        <v>0</v>
      </c>
      <c r="O12" s="182" t="n">
        <v>34961</v>
      </c>
      <c r="P12" s="182" t="n">
        <v>12</v>
      </c>
      <c r="Q12" s="86" t="inlineStr">
        <is>
          <t>Scheduled run 22 đã đạt terminal state</t>
        </is>
      </c>
    </row>
    <row r="13" ht="24" customHeight="1" s="80">
      <c r="A13" s="177" t="n">
        <v>46261</v>
      </c>
      <c r="B13" t="inlineStr">
        <is>
          <t>00:30</t>
        </is>
      </c>
      <c r="C13" t="inlineStr">
        <is>
          <t>Hoàn thành có lỗi</t>
        </is>
      </c>
      <c r="D13" t="inlineStr">
        <is>
          <t>23</t>
        </is>
      </c>
      <c r="E13" s="180" t="n">
        <v>46261.02233122685</v>
      </c>
      <c r="F13" s="180" t="n">
        <v>46261.77158122685</v>
      </c>
      <c r="G13" s="181">
        <f>IF(OR(E13="",F13=""),"",(F13-E13)*24)</f>
        <v/>
      </c>
      <c r="H13" s="182" t="n">
        <v>4260</v>
      </c>
      <c r="I13" s="182" t="n">
        <v>4260</v>
      </c>
      <c r="J13" s="182" t="n">
        <v>3747</v>
      </c>
      <c r="K13" s="182" t="n">
        <v>0</v>
      </c>
      <c r="L13" s="182" t="n">
        <v>405</v>
      </c>
      <c r="M13" s="182" t="n">
        <v>84</v>
      </c>
      <c r="N13" s="182" t="n">
        <v>24</v>
      </c>
      <c r="O13" s="182" t="n">
        <v>33540</v>
      </c>
      <c r="P13" s="182" t="n">
        <v>12</v>
      </c>
      <c r="Q13" s="86" t="inlineStr">
        <is>
          <t>Scheduled run 23 đã đạt terminal state</t>
        </is>
      </c>
    </row>
    <row r="14" ht="24" customHeight="1" s="80">
      <c r="A14" s="177" t="n">
        <v>46262</v>
      </c>
      <c r="B14" t="inlineStr">
        <is>
          <t>00:30</t>
        </is>
      </c>
      <c r="C14" t="inlineStr">
        <is>
          <t>Hoàn thành có lỗi</t>
        </is>
      </c>
      <c r="D14" t="inlineStr">
        <is>
          <t>24</t>
        </is>
      </c>
      <c r="E14" s="180" t="n">
        <v>46262.02246920139</v>
      </c>
      <c r="F14" s="180" t="n">
        <v>46262.6940521875</v>
      </c>
      <c r="G14" s="181">
        <f>IF(OR(E14="",F14=""),"",(F14-E14)*24)</f>
        <v/>
      </c>
      <c r="H14" s="182" t="n">
        <v>4260</v>
      </c>
      <c r="I14" s="182" t="n">
        <v>4260</v>
      </c>
      <c r="J14" s="182" t="n">
        <v>3768</v>
      </c>
      <c r="K14" s="182" t="n">
        <v>0</v>
      </c>
      <c r="L14" s="182" t="n">
        <v>384</v>
      </c>
      <c r="M14" s="182" t="n">
        <v>96</v>
      </c>
      <c r="N14" s="182" t="n">
        <v>12</v>
      </c>
      <c r="O14" s="182" t="n">
        <v>34100</v>
      </c>
      <c r="P14" s="182" t="n">
        <v>12</v>
      </c>
      <c r="Q14" s="86" t="inlineStr">
        <is>
          <t>Scheduled run 24 đã đạt terminal state</t>
        </is>
      </c>
    </row>
    <row r="15" ht="24" customHeight="1" s="80">
      <c r="A15" s="177" t="n">
        <v>46263</v>
      </c>
      <c r="B15" t="inlineStr">
        <is>
          <t>00:30</t>
        </is>
      </c>
      <c r="C15" t="inlineStr">
        <is>
          <t>Hoàn thành có lỗi</t>
        </is>
      </c>
      <c r="D15" t="inlineStr">
        <is>
          <t>25</t>
        </is>
      </c>
      <c r="E15" s="180" t="n">
        <v>46263.02209759259</v>
      </c>
      <c r="F15" s="180" t="n">
        <v>46263.69990559028</v>
      </c>
      <c r="G15" s="181">
        <f>IF(OR(E15="",F15=""),"",(F15-E15)*24)</f>
        <v/>
      </c>
      <c r="H15" s="182" t="n">
        <v>4260</v>
      </c>
      <c r="I15" s="182" t="n">
        <v>4260</v>
      </c>
      <c r="J15" s="182" t="n">
        <v>3755</v>
      </c>
      <c r="K15" s="182" t="n">
        <v>0</v>
      </c>
      <c r="L15" s="182" t="n">
        <v>409</v>
      </c>
      <c r="M15" s="182" t="n">
        <v>84</v>
      </c>
      <c r="N15" s="182" t="n">
        <v>12</v>
      </c>
      <c r="O15" s="182" t="n">
        <v>33683</v>
      </c>
      <c r="P15" s="182" t="n">
        <v>12</v>
      </c>
      <c r="Q15" s="86" t="inlineStr">
        <is>
          <t>Scheduled run 25 đã đạt terminal state</t>
        </is>
      </c>
    </row>
    <row r="16" ht="24" customHeight="1" s="80">
      <c r="A16" s="177" t="n">
        <v>46264</v>
      </c>
      <c r="B16" t="inlineStr">
        <is>
          <t>00:30</t>
        </is>
      </c>
      <c r="C16" t="inlineStr">
        <is>
          <t>Hoàn thành có lỗi</t>
        </is>
      </c>
      <c r="D16" t="inlineStr">
        <is>
          <t>26</t>
        </is>
      </c>
      <c r="E16" s="180" t="n">
        <v>46264.02248944445</v>
      </c>
      <c r="F16" s="180" t="n">
        <v>46264.70586725695</v>
      </c>
      <c r="G16" s="181">
        <f>IF(OR(E16="",F16=""),"",(F16-E16)*24)</f>
        <v/>
      </c>
      <c r="H16" s="182" t="n">
        <v>4260</v>
      </c>
      <c r="I16" s="182" t="n">
        <v>4260</v>
      </c>
      <c r="J16" s="182" t="n">
        <v>3853</v>
      </c>
      <c r="K16" s="182" t="n">
        <v>0</v>
      </c>
      <c r="L16" s="182" t="n">
        <v>323</v>
      </c>
      <c r="M16" s="182" t="n">
        <v>72</v>
      </c>
      <c r="N16" s="182" t="n">
        <v>12</v>
      </c>
      <c r="O16" s="182" t="n">
        <v>35199</v>
      </c>
      <c r="P16" s="182" t="n">
        <v>12</v>
      </c>
      <c r="Q16" s="86" t="inlineStr">
        <is>
          <t>Scheduled run 26 đã đạt terminal state</t>
        </is>
      </c>
    </row>
    <row r="17" ht="24" customHeight="1" s="80">
      <c r="A17" s="177" t="n">
        <v>46265</v>
      </c>
      <c r="B17" t="inlineStr">
        <is>
          <t>00:30</t>
        </is>
      </c>
      <c r="C17" t="inlineStr">
        <is>
          <t>Hoàn thành có lỗi</t>
        </is>
      </c>
      <c r="D17" t="inlineStr">
        <is>
          <t>27</t>
        </is>
      </c>
      <c r="E17" s="180" t="n">
        <v>46265.02229482639</v>
      </c>
      <c r="F17" s="180" t="n">
        <v>46265.69593640047</v>
      </c>
      <c r="G17" s="181">
        <f>IF(OR(E17="",F17=""),"",(F17-E17)*24)</f>
        <v/>
      </c>
      <c r="H17" s="182" t="n">
        <v>4260</v>
      </c>
      <c r="I17" s="182" t="n">
        <v>4260</v>
      </c>
      <c r="J17" s="182" t="n">
        <v>3858</v>
      </c>
      <c r="K17" s="182" t="n">
        <v>0</v>
      </c>
      <c r="L17" s="182" t="n">
        <v>318</v>
      </c>
      <c r="M17" s="182" t="n">
        <v>72</v>
      </c>
      <c r="N17" s="182" t="n">
        <v>12</v>
      </c>
      <c r="O17" s="182" t="n">
        <v>34469</v>
      </c>
      <c r="P17" s="182" t="n">
        <v>12</v>
      </c>
      <c r="Q17" s="86" t="inlineStr">
        <is>
          <t>Scheduled run 27 đã đạt terminal state</t>
        </is>
      </c>
    </row>
    <row r="18" ht="24" customHeight="1" s="80">
      <c r="A18" s="177" t="n">
        <v>46266</v>
      </c>
      <c r="B18" t="inlineStr">
        <is>
          <t>00:30</t>
        </is>
      </c>
      <c r="C18" t="inlineStr">
        <is>
          <t>Hoàn thành có lỗi</t>
        </is>
      </c>
      <c r="D18" t="inlineStr">
        <is>
          <t>28</t>
        </is>
      </c>
      <c r="E18" s="180" t="n">
        <v>46266.02162206019</v>
      </c>
      <c r="F18" s="180" t="n">
        <v>46266.69667009259</v>
      </c>
      <c r="G18" s="181">
        <f>IF(OR(E18="",F18=""),"",(F18-E18)*24)</f>
        <v/>
      </c>
      <c r="H18" s="182" t="n">
        <v>4260</v>
      </c>
      <c r="I18" s="182" t="n">
        <v>4260</v>
      </c>
      <c r="J18" s="182" t="n">
        <v>3862</v>
      </c>
      <c r="K18" s="182" t="n">
        <v>0</v>
      </c>
      <c r="L18" s="182" t="n">
        <v>314</v>
      </c>
      <c r="M18" s="182" t="n">
        <v>72</v>
      </c>
      <c r="N18" s="182" t="n">
        <v>12</v>
      </c>
      <c r="O18" s="182" t="n">
        <v>34376</v>
      </c>
      <c r="P18" s="182" t="n">
        <v>12</v>
      </c>
      <c r="Q18" s="86" t="inlineStr">
        <is>
          <t>Scheduled run 28 đã đạt terminal state</t>
        </is>
      </c>
    </row>
    <row r="19" ht="24" customHeight="1" s="80">
      <c r="A19" s="177" t="n">
        <v>46267</v>
      </c>
      <c r="B19" t="inlineStr">
        <is>
          <t>00:30</t>
        </is>
      </c>
      <c r="C19" t="inlineStr">
        <is>
          <t>Hoàn thành có lỗi</t>
        </is>
      </c>
      <c r="D19" t="inlineStr">
        <is>
          <t>29</t>
        </is>
      </c>
      <c r="E19" s="180" t="n">
        <v>46267.02152130787</v>
      </c>
      <c r="F19" s="180" t="n">
        <v>46267.89147708334</v>
      </c>
      <c r="G19" s="181">
        <f>IF(OR(E19="",F19=""),"",(F19-E19)*24)</f>
        <v/>
      </c>
      <c r="H19" s="182" t="n">
        <v>4260</v>
      </c>
      <c r="I19" s="182" t="n">
        <v>4260</v>
      </c>
      <c r="J19" s="182" t="n">
        <v>3853</v>
      </c>
      <c r="K19" s="182" t="n">
        <v>0</v>
      </c>
      <c r="L19" s="182" t="n">
        <v>323</v>
      </c>
      <c r="M19" s="182" t="n">
        <v>72</v>
      </c>
      <c r="N19" s="182" t="n">
        <v>12</v>
      </c>
      <c r="O19" s="182" t="n">
        <v>34019</v>
      </c>
      <c r="P19" s="182" t="n">
        <v>12</v>
      </c>
      <c r="Q19" s="86" t="inlineStr">
        <is>
          <t>Scheduled run 29 đã đạt terminal state</t>
        </is>
      </c>
    </row>
    <row r="20" ht="24" customHeight="1" s="80">
      <c r="A20" s="177" t="n">
        <v>46268</v>
      </c>
      <c r="B20" t="inlineStr">
        <is>
          <t>00:30</t>
        </is>
      </c>
      <c r="C20" t="inlineStr">
        <is>
          <t>Hoàn thành có lỗi</t>
        </is>
      </c>
      <c r="D20" t="inlineStr">
        <is>
          <t>30</t>
        </is>
      </c>
      <c r="E20" s="180" t="n">
        <v>46268.02163693287</v>
      </c>
      <c r="F20" s="180" t="n">
        <v>46269.06629292824</v>
      </c>
      <c r="G20" s="181">
        <f>IF(OR(E20="",F20=""),"",(F20-E20)*24)</f>
        <v/>
      </c>
      <c r="H20" s="182" t="n">
        <v>4248</v>
      </c>
      <c r="I20" s="182" t="n">
        <v>4248</v>
      </c>
      <c r="J20" s="182" t="n">
        <v>3867</v>
      </c>
      <c r="K20" s="182" t="n">
        <v>0</v>
      </c>
      <c r="L20" s="182" t="n">
        <v>309</v>
      </c>
      <c r="M20" s="182" t="n">
        <v>48</v>
      </c>
      <c r="N20" s="182" t="n">
        <v>24</v>
      </c>
      <c r="O20" s="182" t="n">
        <v>35445</v>
      </c>
      <c r="P20" s="182" t="n">
        <v>12</v>
      </c>
      <c r="Q20" s="86" t="inlineStr">
        <is>
          <t>Scheduled run 30 đã đạt terminal state</t>
        </is>
      </c>
    </row>
    <row r="21" ht="24" customHeight="1" s="80">
      <c r="A21" s="177" t="n">
        <v>46269</v>
      </c>
      <c r="B21" t="inlineStr">
        <is>
          <t>00:30</t>
        </is>
      </c>
      <c r="C21" t="inlineStr">
        <is>
          <t>Hoàn thành có lỗi</t>
        </is>
      </c>
      <c r="D21" t="inlineStr">
        <is>
          <t>31</t>
        </is>
      </c>
      <c r="E21" s="180" t="n">
        <v>46269.06903935185</v>
      </c>
      <c r="F21" s="180" t="n">
        <v>46269.98512731482</v>
      </c>
      <c r="G21" s="181">
        <f>IF(OR(E21="",F21=""),"",(F21-E21)*24)</f>
        <v/>
      </c>
      <c r="H21" s="182" t="n">
        <v>4248</v>
      </c>
      <c r="I21" s="182" t="n">
        <v>4248</v>
      </c>
      <c r="J21" s="182" t="n">
        <v>3880</v>
      </c>
      <c r="K21" s="182" t="n">
        <v>0</v>
      </c>
      <c r="L21" s="182" t="n">
        <v>308</v>
      </c>
      <c r="M21" s="182" t="n">
        <v>36</v>
      </c>
      <c r="N21" s="182" t="n">
        <v>24</v>
      </c>
      <c r="O21" s="182" t="n">
        <v>35309</v>
      </c>
      <c r="P21" s="182" t="n">
        <v>12</v>
      </c>
      <c r="Q21" s="86" t="inlineStr">
        <is>
          <t>Scheduled run 31 đã đạt terminal state; save_artifacts=false; scraper_version=2.3.0</t>
        </is>
      </c>
    </row>
    <row r="22" ht="24" customHeight="1" s="80">
      <c r="A22" s="177" t="n">
        <v>46270</v>
      </c>
      <c r="B22" t="inlineStr">
        <is>
          <t>00:30</t>
        </is>
      </c>
      <c r="C22" t="inlineStr">
        <is>
          <t>Hoàn thành có lỗi</t>
        </is>
      </c>
      <c r="D22" t="inlineStr">
        <is>
          <t>32</t>
        </is>
      </c>
      <c r="E22" s="180" t="n">
        <v>46270.02194637732</v>
      </c>
      <c r="F22" s="180" t="n">
        <v>46270.84142836805</v>
      </c>
      <c r="G22" s="181">
        <f>IF(OR(E22="",F22=""),"",(F22-E22)*24)</f>
        <v/>
      </c>
      <c r="H22" s="182" t="n">
        <v>4248</v>
      </c>
      <c r="I22" s="182" t="n">
        <v>4248</v>
      </c>
      <c r="J22" s="182" t="n">
        <v>3874</v>
      </c>
      <c r="K22" s="182" t="n">
        <v>0</v>
      </c>
      <c r="L22" s="182" t="n">
        <v>314</v>
      </c>
      <c r="M22" s="182" t="n">
        <v>36</v>
      </c>
      <c r="N22" s="182" t="n">
        <v>24</v>
      </c>
      <c r="O22" s="182" t="n">
        <v>34759</v>
      </c>
      <c r="P22" s="182" t="n">
        <v>12</v>
      </c>
      <c r="Q22" s="86" t="inlineStr">
        <is>
          <t>Scheduled run 32 đã đạt terminal state</t>
        </is>
      </c>
    </row>
    <row r="23" ht="24" customHeight="1" s="80">
      <c r="A23" s="177" t="n">
        <v>46271</v>
      </c>
      <c r="B23" t="inlineStr">
        <is>
          <t>00:30</t>
        </is>
      </c>
      <c r="C23" t="inlineStr">
        <is>
          <t>Hoàn thành có lỗi</t>
        </is>
      </c>
      <c r="D23" t="inlineStr">
        <is>
          <t>33</t>
        </is>
      </c>
      <c r="E23" s="180" t="n">
        <v>46271.02241783565</v>
      </c>
      <c r="F23" s="180" t="n">
        <v>46271.83497188657</v>
      </c>
      <c r="G23" s="181">
        <f>IF(OR(E23="",F23=""),"",(F23-E23)*24)</f>
        <v/>
      </c>
      <c r="H23" s="182" t="n">
        <v>4248</v>
      </c>
      <c r="I23" s="182" t="n">
        <v>4248</v>
      </c>
      <c r="J23" s="182" t="n">
        <v>3851</v>
      </c>
      <c r="K23" s="182" t="n">
        <v>0</v>
      </c>
      <c r="L23" s="182" t="n">
        <v>337</v>
      </c>
      <c r="M23" s="182" t="n">
        <v>36</v>
      </c>
      <c r="N23" s="182" t="n">
        <v>24</v>
      </c>
      <c r="O23" s="182" t="n">
        <v>34793</v>
      </c>
      <c r="P23" s="182" t="n">
        <v>12</v>
      </c>
      <c r="Q23" s="86" t="inlineStr">
        <is>
          <t>Scheduled run 33 đã đạt terminal state</t>
        </is>
      </c>
    </row>
    <row r="24" ht="24" customHeight="1" s="80">
      <c r="A24" s="177" t="n">
        <v>46272</v>
      </c>
      <c r="B24" t="inlineStr">
        <is>
          <t>00:30</t>
        </is>
      </c>
      <c r="C24" t="inlineStr">
        <is>
          <t>Hoàn thành có lỗi</t>
        </is>
      </c>
      <c r="D24" t="inlineStr">
        <is>
          <t>34</t>
        </is>
      </c>
      <c r="E24" s="180" t="n">
        <v>46272.02219991898</v>
      </c>
      <c r="F24" s="180" t="n">
        <v>46272.83890385416</v>
      </c>
      <c r="G24" s="181">
        <f>IF(OR(E24="",F24=""),"",(F24-E24)*24)</f>
        <v/>
      </c>
      <c r="H24" s="182" t="n">
        <v>4248</v>
      </c>
      <c r="I24" s="182" t="n">
        <v>4248</v>
      </c>
      <c r="J24" s="182" t="n">
        <v>3853</v>
      </c>
      <c r="K24" s="182" t="n">
        <v>0</v>
      </c>
      <c r="L24" s="182" t="n">
        <v>335</v>
      </c>
      <c r="M24" s="182" t="n">
        <v>36</v>
      </c>
      <c r="N24" s="182" t="n">
        <v>24</v>
      </c>
      <c r="O24" s="182" t="n">
        <v>35350</v>
      </c>
      <c r="P24" s="182" t="n">
        <v>12</v>
      </c>
      <c r="Q24" s="86" t="inlineStr">
        <is>
          <t>Scheduled run 34 đã đạt terminal state</t>
        </is>
      </c>
    </row>
    <row r="25" ht="24" customHeight="1" s="80">
      <c r="A25" s="177" t="n">
        <v>46273</v>
      </c>
      <c r="B25" t="inlineStr">
        <is>
          <t>00:30</t>
        </is>
      </c>
      <c r="C25" t="inlineStr">
        <is>
          <t>Hoàn thành có lỗi</t>
        </is>
      </c>
      <c r="D25" t="inlineStr">
        <is>
          <t>35</t>
        </is>
      </c>
      <c r="E25" s="180" t="n">
        <v>46273.02228375</v>
      </c>
      <c r="F25" s="180" t="n">
        <v>46273.84941857639</v>
      </c>
      <c r="G25" s="181">
        <f>IF(OR(E25="",F25=""),"",(F25-E25)*24)</f>
        <v/>
      </c>
      <c r="H25" s="182" t="n">
        <v>4248</v>
      </c>
      <c r="I25" s="182" t="n">
        <v>4248</v>
      </c>
      <c r="J25" s="182" t="n">
        <v>3842</v>
      </c>
      <c r="K25" s="182" t="n">
        <v>0</v>
      </c>
      <c r="L25" s="182" t="n">
        <v>334</v>
      </c>
      <c r="M25" s="182" t="n">
        <v>48</v>
      </c>
      <c r="N25" s="182" t="n">
        <v>24</v>
      </c>
      <c r="O25" s="182" t="n">
        <v>34326</v>
      </c>
      <c r="P25" s="182" t="n">
        <v>12</v>
      </c>
      <c r="Q25" s="86" t="inlineStr">
        <is>
          <t>Scheduled run 35 đã đạt terminal state</t>
        </is>
      </c>
    </row>
    <row r="26" ht="24" customHeight="1" s="80">
      <c r="A26" s="177" t="n">
        <v>46274</v>
      </c>
      <c r="B26" t="inlineStr">
        <is>
          <t>00:30</t>
        </is>
      </c>
      <c r="C26" t="inlineStr">
        <is>
          <t>Hoàn thành có lỗi</t>
        </is>
      </c>
      <c r="D26" t="n">
        <v>36</v>
      </c>
      <c r="E26" s="180" t="n">
        <v>46274.02168981481</v>
      </c>
      <c r="F26" s="180" t="n">
        <v>46275.16547453704</v>
      </c>
      <c r="G26" s="181">
        <f>IF(OR(E26="",F26=""),"",(F26-E26)*24)</f>
        <v/>
      </c>
      <c r="H26" s="182" t="n">
        <v>4248</v>
      </c>
      <c r="I26" s="182" t="n">
        <v>4248</v>
      </c>
      <c r="J26" s="182" t="n">
        <v>3713</v>
      </c>
      <c r="K26" s="182" t="n">
        <v>0</v>
      </c>
      <c r="L26" s="182" t="n">
        <v>382</v>
      </c>
      <c r="M26" s="182" t="n">
        <v>60</v>
      </c>
      <c r="N26" s="182" t="n">
        <v>93</v>
      </c>
      <c r="O26" s="182" t="n">
        <v>33440</v>
      </c>
      <c r="P26" s="182" t="n">
        <v>12</v>
      </c>
      <c r="Q26" s="86" t="inlineStr">
        <is>
          <t>Scheduled run 36 đã đạt terminal state; save_artifacts=false; scraper_version=2.3.0</t>
        </is>
      </c>
    </row>
    <row r="27" ht="24" customHeight="1" s="80">
      <c r="A27" s="177" t="n">
        <v>46275</v>
      </c>
      <c r="B27" t="inlineStr">
        <is>
          <t>00:30</t>
        </is>
      </c>
      <c r="C27" t="inlineStr">
        <is>
          <t>Hoàn thành có lỗi</t>
        </is>
      </c>
      <c r="D27" t="inlineStr">
        <is>
          <t>37</t>
        </is>
      </c>
      <c r="E27" s="180" t="n">
        <v>46275.16613425926</v>
      </c>
      <c r="F27" s="180" t="n">
        <v>46275.98001157407</v>
      </c>
      <c r="G27" s="181">
        <f>IF(OR(E27="",F27=""),"",(F27-E27)*24)</f>
        <v/>
      </c>
      <c r="H27" s="182" t="n">
        <v>4248</v>
      </c>
      <c r="I27" s="182" t="n">
        <v>4248</v>
      </c>
      <c r="J27" s="182" t="n">
        <v>3814</v>
      </c>
      <c r="K27" s="182" t="n">
        <v>0</v>
      </c>
      <c r="L27" s="182" t="n">
        <v>361</v>
      </c>
      <c r="M27" s="182" t="n">
        <v>48</v>
      </c>
      <c r="N27" s="182" t="n">
        <v>25</v>
      </c>
      <c r="O27" s="182" t="n">
        <v>34396</v>
      </c>
      <c r="P27" s="182" t="n">
        <v>12</v>
      </c>
      <c r="Q27" s="86" t="inlineStr">
        <is>
          <t>Scheduled run 37 đã đạt terminal state; save_artifacts=false; scraper_version=2.3.0</t>
        </is>
      </c>
    </row>
    <row r="28" ht="24" customHeight="1" s="80">
      <c r="A28" s="177" t="n">
        <v>46276</v>
      </c>
      <c r="B28" t="inlineStr">
        <is>
          <t>00:30</t>
        </is>
      </c>
      <c r="C28" t="inlineStr">
        <is>
          <t>Hoàn thành có lỗi</t>
        </is>
      </c>
      <c r="D28" t="inlineStr">
        <is>
          <t>38</t>
        </is>
      </c>
      <c r="E28" s="180" t="n">
        <v>46276.0233637037</v>
      </c>
      <c r="F28" s="180" t="n">
        <v>46276.85465077547</v>
      </c>
      <c r="G28" s="181">
        <f>IF(OR(E28="",F28=""),"",(F28-E28)*24)</f>
        <v/>
      </c>
      <c r="H28" s="182" t="n">
        <v>4248</v>
      </c>
      <c r="I28" s="182" t="n">
        <v>4248</v>
      </c>
      <c r="J28" s="182" t="n">
        <v>3822</v>
      </c>
      <c r="K28" s="182" t="n">
        <v>0</v>
      </c>
      <c r="L28" s="182" t="n">
        <v>366</v>
      </c>
      <c r="M28" s="182" t="n">
        <v>36</v>
      </c>
      <c r="N28" s="182" t="n">
        <v>24</v>
      </c>
      <c r="O28" s="182" t="n">
        <v>34224</v>
      </c>
      <c r="P28" s="182" t="n">
        <v>12</v>
      </c>
      <c r="Q28" s="86" t="inlineStr">
        <is>
          <t>Scheduled run 38 đã đạt terminal state</t>
        </is>
      </c>
    </row>
    <row r="29" ht="24" customHeight="1" s="80">
      <c r="A29" s="177" t="n">
        <v>46277</v>
      </c>
      <c r="B29" t="inlineStr">
        <is>
          <t>00:30</t>
        </is>
      </c>
      <c r="C29" t="inlineStr">
        <is>
          <t>Hoàn thành có lỗi</t>
        </is>
      </c>
      <c r="D29" t="inlineStr">
        <is>
          <t>39</t>
        </is>
      </c>
      <c r="E29" s="180" t="n">
        <v>46277.0223231713</v>
      </c>
      <c r="F29" s="180" t="n">
        <v>46277.68001267361</v>
      </c>
      <c r="G29" s="181">
        <f>IF(OR(E29="",F29=""),"",(F29-E29)*24)</f>
        <v/>
      </c>
      <c r="H29" s="182" t="n">
        <v>4248</v>
      </c>
      <c r="I29" s="182" t="n">
        <v>4248</v>
      </c>
      <c r="J29" s="182" t="n">
        <v>3810</v>
      </c>
      <c r="K29" s="182" t="n">
        <v>0</v>
      </c>
      <c r="L29" s="182" t="n">
        <v>378</v>
      </c>
      <c r="M29" s="182" t="n">
        <v>36</v>
      </c>
      <c r="N29" s="182" t="n">
        <v>24</v>
      </c>
      <c r="O29" s="182" t="n">
        <v>34269</v>
      </c>
      <c r="P29" s="182" t="n">
        <v>12</v>
      </c>
      <c r="Q29" s="86" t="inlineStr">
        <is>
          <t>Scheduled run 39 đã đạt terminal state</t>
        </is>
      </c>
    </row>
    <row r="30" ht="24" customHeight="1" s="80">
      <c r="A30" s="177" t="n">
        <v>46278</v>
      </c>
      <c r="B30" t="inlineStr">
        <is>
          <t>00:30</t>
        </is>
      </c>
      <c r="C30" t="inlineStr">
        <is>
          <t>Hoàn thành có lỗi</t>
        </is>
      </c>
      <c r="D30" t="inlineStr">
        <is>
          <t>40</t>
        </is>
      </c>
      <c r="E30" s="180" t="n">
        <v>46278.02896990741</v>
      </c>
      <c r="F30" s="180" t="n">
        <v>46278.68112268519</v>
      </c>
      <c r="G30" s="181">
        <f>IF(OR(E30="",F30=""),"",(F30-E30)*24)</f>
        <v/>
      </c>
      <c r="H30" s="182" t="n">
        <v>4248</v>
      </c>
      <c r="I30" s="182" t="n">
        <v>4248</v>
      </c>
      <c r="J30" s="182" t="n">
        <v>3844</v>
      </c>
      <c r="K30" s="182" t="n">
        <v>0</v>
      </c>
      <c r="L30" s="182" t="n">
        <v>344</v>
      </c>
      <c r="M30" s="182" t="n">
        <v>36</v>
      </c>
      <c r="N30" s="182" t="n">
        <v>24</v>
      </c>
      <c r="O30" s="182" t="n">
        <v>34617</v>
      </c>
      <c r="P30" s="182" t="n">
        <v>12</v>
      </c>
      <c r="Q30" s="86" t="inlineStr">
        <is>
          <t>Scheduled run 40 đã đạt terminal state; save_artifacts=false; scraper_version=2.3.0</t>
        </is>
      </c>
    </row>
    <row r="31" ht="24" customHeight="1" s="80">
      <c r="A31" s="177" t="n">
        <v>46279</v>
      </c>
      <c r="B31" t="inlineStr">
        <is>
          <t>00:30</t>
        </is>
      </c>
      <c r="C31" t="inlineStr">
        <is>
          <t>Hoàn thành có lỗi</t>
        </is>
      </c>
      <c r="D31" t="inlineStr">
        <is>
          <t>41</t>
        </is>
      </c>
      <c r="E31" s="180" t="n">
        <v>46279.01871327547</v>
      </c>
      <c r="F31" s="180" t="n">
        <v>46279.67221261574</v>
      </c>
      <c r="G31" s="181">
        <f>IF(OR(E31="",F31=""),"",(F31-E31)*24)</f>
        <v/>
      </c>
      <c r="H31" s="182" t="n">
        <v>4248</v>
      </c>
      <c r="I31" s="182" t="n">
        <v>4248</v>
      </c>
      <c r="J31" s="182" t="n">
        <v>3834</v>
      </c>
      <c r="K31" s="182" t="n">
        <v>0</v>
      </c>
      <c r="L31" s="182" t="n">
        <v>354</v>
      </c>
      <c r="M31" s="182" t="n">
        <v>36</v>
      </c>
      <c r="N31" s="182" t="n">
        <v>24</v>
      </c>
      <c r="O31" s="182" t="n">
        <v>33868</v>
      </c>
      <c r="P31" s="182" t="n">
        <v>12</v>
      </c>
      <c r="Q31" s="86" t="inlineStr">
        <is>
          <t>Scheduled run 41 đã đạt terminal state</t>
        </is>
      </c>
    </row>
    <row r="32" ht="24" customHeight="1" s="80">
      <c r="A32" s="177" t="n">
        <v>46280</v>
      </c>
      <c r="B32" t="inlineStr">
        <is>
          <t>00:30</t>
        </is>
      </c>
      <c r="C32" t="inlineStr">
        <is>
          <t>Hoàn thành có lỗi</t>
        </is>
      </c>
      <c r="D32" t="inlineStr">
        <is>
          <t>42</t>
        </is>
      </c>
      <c r="E32" s="180" t="n">
        <v>46280.02255042824</v>
      </c>
      <c r="F32" s="180" t="n">
        <v>46280.67743945602</v>
      </c>
      <c r="G32" s="181">
        <f>IF(OR(E32="",F32=""),"",(F32-E32)*24)</f>
        <v/>
      </c>
      <c r="H32" s="182" t="n">
        <v>4248</v>
      </c>
      <c r="I32" s="182" t="n">
        <v>4248</v>
      </c>
      <c r="J32" s="182" t="n">
        <v>3819</v>
      </c>
      <c r="K32" s="182" t="n">
        <v>0</v>
      </c>
      <c r="L32" s="182" t="n">
        <v>357</v>
      </c>
      <c r="M32" s="182" t="n">
        <v>48</v>
      </c>
      <c r="N32" s="182" t="n">
        <v>24</v>
      </c>
      <c r="O32" s="182" t="n">
        <v>34515</v>
      </c>
      <c r="P32" s="182" t="n">
        <v>12</v>
      </c>
      <c r="Q32" s="86" t="inlineStr">
        <is>
          <t>Scheduled run 42 đã đạt terminal state</t>
        </is>
      </c>
    </row>
    <row r="33" ht="24" customHeight="1" s="80">
      <c r="A33" s="177" t="n">
        <v>46281</v>
      </c>
      <c r="B33" t="inlineStr">
        <is>
          <t>00:30</t>
        </is>
      </c>
      <c r="C33" t="inlineStr">
        <is>
          <t>Hoàn thành có lỗi</t>
        </is>
      </c>
      <c r="D33" t="inlineStr">
        <is>
          <t>43</t>
        </is>
      </c>
      <c r="E33" s="180" t="n">
        <v>46281.02375913195</v>
      </c>
      <c r="F33" s="180" t="n">
        <v>46281.68837626158</v>
      </c>
      <c r="G33" s="181">
        <f>IF(OR(E33="",F33=""),"",(F33-E33)*24)</f>
        <v/>
      </c>
      <c r="H33" s="182" t="n">
        <v>4248</v>
      </c>
      <c r="I33" s="182" t="n">
        <v>4248</v>
      </c>
      <c r="J33" s="182" t="n">
        <v>3834</v>
      </c>
      <c r="K33" s="182" t="n">
        <v>0</v>
      </c>
      <c r="L33" s="182" t="n">
        <v>354</v>
      </c>
      <c r="M33" s="182" t="n">
        <v>36</v>
      </c>
      <c r="N33" s="182" t="n">
        <v>24</v>
      </c>
      <c r="O33" s="182" t="n">
        <v>34954</v>
      </c>
      <c r="P33" s="182" t="n">
        <v>12</v>
      </c>
      <c r="Q33" s="86" t="inlineStr">
        <is>
          <t>Scheduled run 43 đã đạt terminal state</t>
        </is>
      </c>
    </row>
    <row r="34" ht="24" customHeight="1" s="80">
      <c r="A34" s="177" t="n">
        <v>46282</v>
      </c>
      <c r="B34" t="inlineStr">
        <is>
          <t>00:30</t>
        </is>
      </c>
      <c r="C34" t="inlineStr">
        <is>
          <t>Hoàn thành có lỗi</t>
        </is>
      </c>
      <c r="D34" t="inlineStr">
        <is>
          <t>44</t>
        </is>
      </c>
      <c r="E34" s="180" t="n">
        <v>46282.02366894676</v>
      </c>
      <c r="F34" s="180" t="n">
        <v>46282.65633473379</v>
      </c>
      <c r="G34" s="181">
        <f>IF(OR(E34="",F34=""),"",(F34-E34)*24)</f>
        <v/>
      </c>
      <c r="H34" s="182" t="n">
        <v>4248</v>
      </c>
      <c r="I34" s="182" t="n">
        <v>4248</v>
      </c>
      <c r="J34" s="182" t="n">
        <v>3755</v>
      </c>
      <c r="K34" s="182" t="n">
        <v>0</v>
      </c>
      <c r="L34" s="182" t="n">
        <v>361</v>
      </c>
      <c r="M34" s="182" t="n">
        <v>108</v>
      </c>
      <c r="N34" s="182" t="n">
        <v>24</v>
      </c>
      <c r="O34" s="182" t="n">
        <v>32953</v>
      </c>
      <c r="P34" s="182" t="n">
        <v>12</v>
      </c>
      <c r="Q34" s="86" t="inlineStr">
        <is>
          <t>Scheduled run 44 đã đạt terminal state</t>
        </is>
      </c>
    </row>
    <row r="35" ht="24" customHeight="1" s="80">
      <c r="A35" s="177" t="n">
        <v>46283</v>
      </c>
      <c r="B35" t="inlineStr">
        <is>
          <t>00:30</t>
        </is>
      </c>
      <c r="C35" t="inlineStr">
        <is>
          <t>Hoàn thành có lỗi</t>
        </is>
      </c>
      <c r="D35" t="inlineStr">
        <is>
          <t>45</t>
        </is>
      </c>
      <c r="E35" s="180" t="n">
        <v>46283.02431011574</v>
      </c>
      <c r="F35" s="180" t="n">
        <v>46283.66392142361</v>
      </c>
      <c r="G35" s="181">
        <f>IF(OR(E35="",F35=""),"",(F35-E35)*24)</f>
        <v/>
      </c>
      <c r="H35" s="182" t="n">
        <v>4248</v>
      </c>
      <c r="I35" s="182" t="n">
        <v>4248</v>
      </c>
      <c r="J35" s="182" t="n">
        <v>3764</v>
      </c>
      <c r="K35" s="182" t="n">
        <v>0</v>
      </c>
      <c r="L35" s="182" t="n">
        <v>364</v>
      </c>
      <c r="M35" s="182" t="n">
        <v>96</v>
      </c>
      <c r="N35" s="182" t="n">
        <v>24</v>
      </c>
      <c r="O35" s="182" t="n">
        <v>34805</v>
      </c>
      <c r="P35" s="182" t="n">
        <v>12</v>
      </c>
      <c r="Q35" s="86" t="inlineStr">
        <is>
          <t>Scheduled run 45 đã đạt terminal state</t>
        </is>
      </c>
    </row>
    <row r="36" ht="24" customHeight="1" s="80">
      <c r="A36" s="177" t="n">
        <v>46284</v>
      </c>
      <c r="B36" t="inlineStr">
        <is>
          <t>00:30</t>
        </is>
      </c>
      <c r="C36" t="inlineStr">
        <is>
          <t>Hoàn thành có lỗi</t>
        </is>
      </c>
      <c r="D36" t="inlineStr">
        <is>
          <t>46</t>
        </is>
      </c>
      <c r="E36" s="180" t="n">
        <v>46284.02278900463</v>
      </c>
      <c r="F36" s="180" t="n">
        <v>46284.66309460648</v>
      </c>
      <c r="G36" s="181">
        <f>IF(OR(E36="",F36=""),"",(F36-E36)*24)</f>
        <v/>
      </c>
      <c r="H36" s="182" t="n">
        <v>4248</v>
      </c>
      <c r="I36" s="182" t="n">
        <v>4248</v>
      </c>
      <c r="J36" s="182" t="n">
        <v>3767</v>
      </c>
      <c r="K36" s="182" t="n">
        <v>0</v>
      </c>
      <c r="L36" s="182" t="n">
        <v>397</v>
      </c>
      <c r="M36" s="182" t="n">
        <v>60</v>
      </c>
      <c r="N36" s="182" t="n">
        <v>24</v>
      </c>
      <c r="O36" s="182" t="n">
        <v>34329</v>
      </c>
      <c r="P36" s="182" t="n">
        <v>12</v>
      </c>
      <c r="Q36" s="86" t="inlineStr">
        <is>
          <t>Scheduled run 46 đã đạt terminal state</t>
        </is>
      </c>
    </row>
    <row r="37" ht="24" customHeight="1" s="80">
      <c r="A37" s="177" t="n">
        <v>46285</v>
      </c>
      <c r="B37" t="inlineStr">
        <is>
          <t>00:30</t>
        </is>
      </c>
      <c r="C37" t="inlineStr">
        <is>
          <t>Hoàn thành có lỗi</t>
        </is>
      </c>
      <c r="D37" t="inlineStr">
        <is>
          <t>47</t>
        </is>
      </c>
      <c r="E37" s="180" t="n">
        <v>46285.09141877315</v>
      </c>
      <c r="F37" s="180" t="n">
        <v>46285.74353163195</v>
      </c>
      <c r="G37" s="181">
        <f>IF(OR(E37="",F37=""),"",(F37-E37)*24)</f>
        <v/>
      </c>
      <c r="H37" s="182" t="n">
        <v>4248</v>
      </c>
      <c r="I37" s="182" t="n">
        <v>4248</v>
      </c>
      <c r="J37" s="182" t="n">
        <v>3817</v>
      </c>
      <c r="K37" s="182" t="n">
        <v>0</v>
      </c>
      <c r="L37" s="182" t="n">
        <v>359</v>
      </c>
      <c r="M37" s="182" t="n">
        <v>48</v>
      </c>
      <c r="N37" s="182" t="n">
        <v>24</v>
      </c>
      <c r="O37" s="182" t="n">
        <v>34172</v>
      </c>
      <c r="P37" s="182" t="n">
        <v>12</v>
      </c>
      <c r="Q37" s="86" t="inlineStr">
        <is>
          <t>Scheduled run 47 đã đạt terminal state</t>
        </is>
      </c>
    </row>
    <row r="38" ht="24" customHeight="1" s="80">
      <c r="A38" s="177" t="n">
        <v>46286</v>
      </c>
      <c r="B38" t="inlineStr">
        <is>
          <t>00:30</t>
        </is>
      </c>
      <c r="C38" t="inlineStr">
        <is>
          <t>Hoàn thành có lỗi</t>
        </is>
      </c>
      <c r="D38" t="inlineStr">
        <is>
          <t>48</t>
        </is>
      </c>
      <c r="E38" s="180" t="n">
        <v>46286.02317181713</v>
      </c>
      <c r="F38" s="180" t="n">
        <v>46286.6641716088</v>
      </c>
      <c r="G38" s="181">
        <f>IF(OR(E38="",F38=""),"",(F38-E38)*24)</f>
        <v/>
      </c>
      <c r="H38" s="182" t="n">
        <v>4248</v>
      </c>
      <c r="I38" s="182" t="n">
        <v>4248</v>
      </c>
      <c r="J38" s="182" t="n">
        <v>3813</v>
      </c>
      <c r="K38" s="182" t="n">
        <v>0</v>
      </c>
      <c r="L38" s="182" t="n">
        <v>363</v>
      </c>
      <c r="M38" s="182" t="n">
        <v>48</v>
      </c>
      <c r="N38" s="182" t="n">
        <v>24</v>
      </c>
      <c r="O38" s="182" t="n">
        <v>33015</v>
      </c>
      <c r="P38" s="182" t="n">
        <v>12</v>
      </c>
      <c r="Q38" s="86" t="inlineStr">
        <is>
          <t>Scheduled run 48 đã đạt terminal state</t>
        </is>
      </c>
    </row>
    <row r="39" ht="24" customHeight="1" s="80">
      <c r="A39" s="177" t="n">
        <v>46287</v>
      </c>
      <c r="B39" t="inlineStr">
        <is>
          <t>00:30</t>
        </is>
      </c>
      <c r="C39" t="inlineStr">
        <is>
          <t>Hoàn thành có lỗi</t>
        </is>
      </c>
      <c r="D39" t="inlineStr">
        <is>
          <t>49</t>
        </is>
      </c>
      <c r="E39" s="180" t="n">
        <v>46287.02362409722</v>
      </c>
      <c r="F39" s="180" t="n">
        <v>46287.80768478009</v>
      </c>
      <c r="G39" s="181">
        <f>IF(OR(E39="",F39=""),"",(F39-E39)*24)</f>
        <v/>
      </c>
      <c r="H39" s="182" t="n">
        <v>4248</v>
      </c>
      <c r="I39" s="182" t="n">
        <v>4248</v>
      </c>
      <c r="J39" s="182" t="n">
        <v>3776</v>
      </c>
      <c r="K39" s="182" t="n">
        <v>0</v>
      </c>
      <c r="L39" s="182" t="n">
        <v>400</v>
      </c>
      <c r="M39" s="182" t="n">
        <v>48</v>
      </c>
      <c r="N39" s="182" t="n">
        <v>24</v>
      </c>
      <c r="O39" s="182" t="n">
        <v>34932</v>
      </c>
      <c r="P39" s="182" t="n">
        <v>12</v>
      </c>
      <c r="Q39" s="86" t="inlineStr">
        <is>
          <t>Scheduled run 49 đã đạt terminal state</t>
        </is>
      </c>
    </row>
    <row r="40" ht="24" customHeight="1" s="80">
      <c r="A40" s="177" t="n">
        <v>46288</v>
      </c>
      <c r="B40" t="inlineStr">
        <is>
          <t>00:30</t>
        </is>
      </c>
      <c r="C40" t="inlineStr">
        <is>
          <t>Hoàn thành có lỗi</t>
        </is>
      </c>
      <c r="D40" t="inlineStr">
        <is>
          <t>50</t>
        </is>
      </c>
      <c r="E40" s="180" t="n">
        <v>46288.02296778935</v>
      </c>
      <c r="F40" s="180" t="n">
        <v>46288.66952380787</v>
      </c>
      <c r="G40" s="181">
        <f>IF(OR(E40="",F40=""),"",(F40-E40)*24)</f>
        <v/>
      </c>
      <c r="H40" s="182" t="n">
        <v>4248</v>
      </c>
      <c r="I40" s="182" t="n">
        <v>4248</v>
      </c>
      <c r="J40" s="182" t="n">
        <v>3802</v>
      </c>
      <c r="K40" s="182" t="n">
        <v>0</v>
      </c>
      <c r="L40" s="182" t="n">
        <v>386</v>
      </c>
      <c r="M40" s="182" t="n">
        <v>36</v>
      </c>
      <c r="N40" s="182" t="n">
        <v>24</v>
      </c>
      <c r="O40" s="182" t="n">
        <v>34399</v>
      </c>
      <c r="P40" s="182" t="n">
        <v>12</v>
      </c>
      <c r="Q40" s="86" t="inlineStr">
        <is>
          <t>Scheduled run 50 đã đạt terminal state</t>
        </is>
      </c>
    </row>
    <row r="41" ht="24" customHeight="1" s="80">
      <c r="A41" s="177" t="n">
        <v>46289</v>
      </c>
      <c r="B41" t="inlineStr">
        <is>
          <t>00:30</t>
        </is>
      </c>
      <c r="C41" t="inlineStr">
        <is>
          <t>Hoàn thành có lỗi</t>
        </is>
      </c>
      <c r="D41" t="inlineStr">
        <is>
          <t>51</t>
        </is>
      </c>
      <c r="E41" s="180" t="n">
        <v>46289.02326108796</v>
      </c>
      <c r="F41" s="180" t="n">
        <v>46289.65940128472</v>
      </c>
      <c r="G41" s="181">
        <f>IF(OR(E41="",F41=""),"",(F41-E41)*24)</f>
        <v/>
      </c>
      <c r="H41" s="182" t="n">
        <v>4248</v>
      </c>
      <c r="I41" s="182" t="n">
        <v>4248</v>
      </c>
      <c r="J41" s="182" t="n">
        <v>3705</v>
      </c>
      <c r="K41" s="182" t="n">
        <v>0</v>
      </c>
      <c r="L41" s="182" t="n">
        <v>471</v>
      </c>
      <c r="M41" s="182" t="n">
        <v>48</v>
      </c>
      <c r="N41" s="182" t="n">
        <v>24</v>
      </c>
      <c r="O41" s="182" t="n">
        <v>33753</v>
      </c>
      <c r="P41" s="182" t="n">
        <v>12</v>
      </c>
      <c r="Q41" s="86" t="inlineStr">
        <is>
          <t>Scheduled run 51 đã đạt terminal state</t>
        </is>
      </c>
    </row>
    <row r="42" ht="24" customHeight="1" s="80">
      <c r="A42" s="177" t="n">
        <v>46290</v>
      </c>
      <c r="B42" t="inlineStr">
        <is>
          <t>00:30</t>
        </is>
      </c>
      <c r="C42" t="inlineStr">
        <is>
          <t>Hoàn thành có lỗi</t>
        </is>
      </c>
      <c r="D42" t="inlineStr">
        <is>
          <t>52</t>
        </is>
      </c>
      <c r="E42" s="180" t="n">
        <v>46290.02230041667</v>
      </c>
      <c r="F42" s="180" t="n">
        <v>46290.6639969213</v>
      </c>
      <c r="G42" s="181">
        <f>IF(OR(E42="",F42=""),"",(F42-E42)*24)</f>
        <v/>
      </c>
      <c r="H42" s="182" t="n">
        <v>4248</v>
      </c>
      <c r="I42" s="182" t="n">
        <v>4248</v>
      </c>
      <c r="J42" s="182" t="n">
        <v>3725</v>
      </c>
      <c r="K42" s="182" t="n">
        <v>0</v>
      </c>
      <c r="L42" s="182" t="n">
        <v>451</v>
      </c>
      <c r="M42" s="182" t="n">
        <v>48</v>
      </c>
      <c r="N42" s="182" t="n">
        <v>24</v>
      </c>
      <c r="O42" s="182" t="n">
        <v>32898</v>
      </c>
      <c r="P42" s="182" t="n">
        <v>12</v>
      </c>
      <c r="Q42" s="86" t="inlineStr">
        <is>
          <t>Scheduled run 52 đã đạt terminal state</t>
        </is>
      </c>
    </row>
    <row r="43" ht="24" customHeight="1" s="80">
      <c r="A43" s="177" t="n">
        <v>46291</v>
      </c>
      <c r="B43" t="inlineStr">
        <is>
          <t>00:30</t>
        </is>
      </c>
      <c r="C43" t="inlineStr">
        <is>
          <t>Hoàn thành có lỗi</t>
        </is>
      </c>
      <c r="D43" t="inlineStr">
        <is>
          <t>53</t>
        </is>
      </c>
      <c r="E43" s="180" t="n">
        <v>46291.02400542824</v>
      </c>
      <c r="F43" s="180" t="n">
        <v>46291.64486559028</v>
      </c>
      <c r="G43" s="181">
        <f>IF(OR(E43="",F43=""),"",(F43-E43)*24)</f>
        <v/>
      </c>
      <c r="H43" s="182" t="n">
        <v>4248</v>
      </c>
      <c r="I43" s="182" t="n">
        <v>4248</v>
      </c>
      <c r="J43" s="182" t="n">
        <v>3699</v>
      </c>
      <c r="K43" s="182" t="n">
        <v>0</v>
      </c>
      <c r="L43" s="182" t="n">
        <v>417</v>
      </c>
      <c r="M43" s="182" t="n">
        <v>108</v>
      </c>
      <c r="N43" s="182" t="n">
        <v>24</v>
      </c>
      <c r="O43" s="182" t="n">
        <v>32094</v>
      </c>
      <c r="P43" s="182" t="n">
        <v>12</v>
      </c>
      <c r="Q43" s="86" t="inlineStr">
        <is>
          <t>Scheduled run 53 đã đạt terminal state</t>
        </is>
      </c>
    </row>
    <row r="44" ht="24" customHeight="1" s="80">
      <c r="A44" s="177" t="n">
        <v>46292</v>
      </c>
      <c r="B44" t="inlineStr">
        <is>
          <t>00:30</t>
        </is>
      </c>
      <c r="C44" t="inlineStr">
        <is>
          <t>Hoàn thành có lỗi</t>
        </is>
      </c>
      <c r="D44" t="inlineStr">
        <is>
          <t>54</t>
        </is>
      </c>
      <c r="E44" s="180" t="n">
        <v>46292.02281592593</v>
      </c>
      <c r="F44" s="180" t="n">
        <v>46292.64819444445</v>
      </c>
      <c r="G44" s="181">
        <f>IF(OR(E44="",F44=""),"",(F44-E44)*24)</f>
        <v/>
      </c>
      <c r="H44" s="182" t="n">
        <v>4248</v>
      </c>
      <c r="I44" s="182" t="n">
        <v>4248</v>
      </c>
      <c r="J44" s="182" t="n">
        <v>3717</v>
      </c>
      <c r="K44" s="182" t="n">
        <v>0</v>
      </c>
      <c r="L44" s="182" t="n">
        <v>387</v>
      </c>
      <c r="M44" s="182" t="n">
        <v>120</v>
      </c>
      <c r="N44" s="182" t="n">
        <v>24</v>
      </c>
      <c r="O44" s="182" t="n">
        <v>34507</v>
      </c>
      <c r="P44" s="182" t="n">
        <v>12</v>
      </c>
      <c r="Q44" s="86" t="inlineStr">
        <is>
          <t>Scheduled run 54 đã đạt terminal state</t>
        </is>
      </c>
    </row>
    <row r="45" ht="24" customHeight="1" s="80">
      <c r="A45" s="177" t="n">
        <v>46293</v>
      </c>
      <c r="B45" t="inlineStr">
        <is>
          <t>00:30</t>
        </is>
      </c>
      <c r="C45" t="inlineStr">
        <is>
          <t>Hoàn thành có lỗi</t>
        </is>
      </c>
      <c r="D45" t="inlineStr">
        <is>
          <t>55</t>
        </is>
      </c>
      <c r="E45" s="180" t="n">
        <v>46293.02343596065</v>
      </c>
      <c r="F45" s="180" t="n">
        <v>46293.66651982639</v>
      </c>
      <c r="G45" s="181">
        <f>IF(OR(E45="",F45=""),"",(F45-E45)*24)</f>
        <v/>
      </c>
      <c r="H45" s="182" t="n">
        <v>4248</v>
      </c>
      <c r="I45" s="182" t="n">
        <v>4248</v>
      </c>
      <c r="J45" s="182" t="n">
        <v>3730</v>
      </c>
      <c r="K45" s="182" t="n">
        <v>0</v>
      </c>
      <c r="L45" s="182" t="n">
        <v>374</v>
      </c>
      <c r="M45" s="182" t="n">
        <v>120</v>
      </c>
      <c r="N45" s="182" t="n">
        <v>24</v>
      </c>
      <c r="O45" s="182" t="n">
        <v>34142</v>
      </c>
      <c r="P45" s="182" t="n">
        <v>12</v>
      </c>
      <c r="Q45" s="86" t="inlineStr">
        <is>
          <t>Scheduled run 55 đã đạt terminal state</t>
        </is>
      </c>
    </row>
    <row r="46" ht="24" customHeight="1" s="80">
      <c r="A46" s="177" t="n">
        <v>46294</v>
      </c>
      <c r="B46" t="inlineStr">
        <is>
          <t>00:30</t>
        </is>
      </c>
      <c r="C46" t="inlineStr">
        <is>
          <t>Hoàn thành có lỗi</t>
        </is>
      </c>
      <c r="D46" t="inlineStr">
        <is>
          <t>56</t>
        </is>
      </c>
      <c r="E46" s="180" t="n">
        <v>46294.02265880787</v>
      </c>
      <c r="F46" s="180" t="n">
        <v>46294.6546443287</v>
      </c>
      <c r="G46" s="181">
        <f>IF(OR(E46="",F46=""),"",(F46-E46)*24)</f>
        <v/>
      </c>
      <c r="H46" s="182" t="n">
        <v>4248</v>
      </c>
      <c r="I46" s="182" t="n">
        <v>4248</v>
      </c>
      <c r="J46" s="182" t="n">
        <v>3733</v>
      </c>
      <c r="K46" s="182" t="n">
        <v>0</v>
      </c>
      <c r="L46" s="182" t="n">
        <v>383</v>
      </c>
      <c r="M46" s="182" t="n">
        <v>96</v>
      </c>
      <c r="N46" s="182" t="n">
        <v>36</v>
      </c>
      <c r="O46" s="182" t="n">
        <v>35263</v>
      </c>
      <c r="P46" s="182" t="n">
        <v>12</v>
      </c>
      <c r="Q46" s="86" t="inlineStr">
        <is>
          <t>Scheduled run 56 đã đạt terminal state</t>
        </is>
      </c>
    </row>
    <row r="47" ht="24" customHeight="1" s="80">
      <c r="A47" s="177" t="n">
        <v>46295</v>
      </c>
      <c r="B47" t="inlineStr">
        <is>
          <t>00:30</t>
        </is>
      </c>
      <c r="C47" t="inlineStr">
        <is>
          <t>Hoàn thành có lỗi</t>
        </is>
      </c>
      <c r="D47" t="inlineStr">
        <is>
          <t>57</t>
        </is>
      </c>
      <c r="E47" s="180" t="n">
        <v>46295.02316377315</v>
      </c>
      <c r="F47" s="180" t="n">
        <v>46295.67805679398</v>
      </c>
      <c r="G47" s="181">
        <f>IF(OR(E47="",F47=""),"",(F47-E47)*24)</f>
        <v/>
      </c>
      <c r="H47" s="182" t="n">
        <v>4248</v>
      </c>
      <c r="I47" s="182" t="n">
        <v>4248</v>
      </c>
      <c r="J47" s="182" t="n">
        <v>3732</v>
      </c>
      <c r="K47" s="182" t="n">
        <v>0</v>
      </c>
      <c r="L47" s="182" t="n">
        <v>384</v>
      </c>
      <c r="M47" s="182" t="n">
        <v>96</v>
      </c>
      <c r="N47" s="182" t="n">
        <v>36</v>
      </c>
      <c r="O47" s="182" t="n">
        <v>34518</v>
      </c>
      <c r="P47" s="182" t="n">
        <v>12</v>
      </c>
      <c r="Q47" s="86" t="inlineStr">
        <is>
          <t>Scheduled run 57 đã đạt terminal state</t>
        </is>
      </c>
    </row>
    <row r="48" ht="24" customHeight="1" s="80">
      <c r="A48" s="177" t="n">
        <v>46296</v>
      </c>
      <c r="B48" t="inlineStr">
        <is>
          <t>00:30</t>
        </is>
      </c>
      <c r="C48" t="inlineStr">
        <is>
          <t>Hoàn thành có lỗi</t>
        </is>
      </c>
      <c r="D48" t="inlineStr">
        <is>
          <t>58</t>
        </is>
      </c>
      <c r="E48" s="180" t="n">
        <v>46296.0235147338</v>
      </c>
      <c r="F48" s="180" t="n">
        <v>46296.65618111111</v>
      </c>
      <c r="G48" s="181">
        <f>IF(OR(E48="",F48=""),"",(F48-E48)*24)</f>
        <v/>
      </c>
      <c r="H48" s="182" t="n">
        <v>4248</v>
      </c>
      <c r="I48" s="182" t="n">
        <v>4248</v>
      </c>
      <c r="J48" s="182" t="n">
        <v>3723</v>
      </c>
      <c r="K48" s="182" t="n">
        <v>0</v>
      </c>
      <c r="L48" s="182" t="n">
        <v>369</v>
      </c>
      <c r="M48" s="182" t="n">
        <v>108</v>
      </c>
      <c r="N48" s="182" t="n">
        <v>48</v>
      </c>
      <c r="O48" s="182" t="n">
        <v>35071</v>
      </c>
      <c r="P48" s="182" t="n">
        <v>12</v>
      </c>
      <c r="Q48" s="86" t="inlineStr">
        <is>
          <t>Scheduled run 58 đã đạt terminal state</t>
        </is>
      </c>
    </row>
    <row r="49" ht="24" customHeight="1" s="80">
      <c r="A49" s="177" t="n">
        <v>46297</v>
      </c>
      <c r="B49" t="inlineStr">
        <is>
          <t>00:30</t>
        </is>
      </c>
      <c r="C49" t="inlineStr">
        <is>
          <t>Hoàn thành có lỗi</t>
        </is>
      </c>
      <c r="D49" t="inlineStr">
        <is>
          <t>59</t>
        </is>
      </c>
      <c r="E49" s="180" t="n">
        <v>46297.03225480324</v>
      </c>
      <c r="F49" s="180" t="n">
        <v>46297.67325483797</v>
      </c>
      <c r="G49" s="181">
        <f>IF(OR(E49="",F49=""),"",(F49-E49)*24)</f>
        <v/>
      </c>
      <c r="H49" s="182" t="n">
        <v>4248</v>
      </c>
      <c r="I49" s="182" t="n">
        <v>4248</v>
      </c>
      <c r="J49" s="182" t="n">
        <v>3710</v>
      </c>
      <c r="K49" s="182" t="n">
        <v>0</v>
      </c>
      <c r="L49" s="182" t="n">
        <v>382</v>
      </c>
      <c r="M49" s="182" t="n">
        <v>108</v>
      </c>
      <c r="N49" s="182" t="n">
        <v>48</v>
      </c>
      <c r="O49" s="182" t="n">
        <v>34758</v>
      </c>
      <c r="P49" s="182" t="n">
        <v>12</v>
      </c>
      <c r="Q49" s="86" t="inlineStr">
        <is>
          <t>Scheduled run 59 đã đạt terminal state</t>
        </is>
      </c>
    </row>
    <row r="50" ht="24" customHeight="1" s="80">
      <c r="A50" s="177" t="n">
        <v>46298</v>
      </c>
      <c r="B50" t="inlineStr">
        <is>
          <t>00:30</t>
        </is>
      </c>
      <c r="C50" t="inlineStr">
        <is>
          <t>Hoàn thành có lỗi</t>
        </is>
      </c>
      <c r="D50" t="inlineStr">
        <is>
          <t>60</t>
        </is>
      </c>
      <c r="E50" s="180" t="n">
        <v>46298.02228471065</v>
      </c>
      <c r="F50" s="180" t="n">
        <v>46298.71745289352</v>
      </c>
      <c r="G50" s="181">
        <f>IF(OR(E50="",F50=""),"",(F50-E50)*24)</f>
        <v/>
      </c>
      <c r="H50" s="182" t="n">
        <v>4248</v>
      </c>
      <c r="I50" s="182" t="n">
        <v>4248</v>
      </c>
      <c r="J50" s="182" t="n">
        <v>3702</v>
      </c>
      <c r="K50" s="182" t="n">
        <v>0</v>
      </c>
      <c r="L50" s="182" t="n">
        <v>378</v>
      </c>
      <c r="M50" s="182" t="n">
        <v>120</v>
      </c>
      <c r="N50" s="182" t="n">
        <v>48</v>
      </c>
      <c r="O50" s="182" t="n">
        <v>33979</v>
      </c>
      <c r="P50" s="182" t="n">
        <v>12</v>
      </c>
      <c r="Q50" s="86" t="inlineStr">
        <is>
          <t>Scheduled run 60 đã đạt terminal state</t>
        </is>
      </c>
    </row>
    <row r="51" ht="24" customHeight="1" s="80">
      <c r="A51" s="177" t="n">
        <v>46299</v>
      </c>
      <c r="B51" t="inlineStr">
        <is>
          <t>00:30</t>
        </is>
      </c>
      <c r="C51" t="inlineStr">
        <is>
          <t>Hoàn thành có lỗi</t>
        </is>
      </c>
      <c r="D51" t="inlineStr">
        <is>
          <t>61</t>
        </is>
      </c>
      <c r="E51" s="180" t="n">
        <v>46299.02255300926</v>
      </c>
      <c r="F51" s="180" t="n">
        <v>46299.73926950232</v>
      </c>
      <c r="G51" s="181">
        <f>IF(OR(E51="",F51=""),"",(F51-E51)*24)</f>
        <v/>
      </c>
      <c r="H51" s="182" t="n">
        <v>4248</v>
      </c>
      <c r="I51" s="182" t="n">
        <v>4248</v>
      </c>
      <c r="J51" s="182" t="n">
        <v>3682</v>
      </c>
      <c r="K51" s="182" t="n">
        <v>0</v>
      </c>
      <c r="L51" s="182" t="n">
        <v>398</v>
      </c>
      <c r="M51" s="182" t="n">
        <v>120</v>
      </c>
      <c r="N51" s="182" t="n">
        <v>48</v>
      </c>
      <c r="O51" s="182" t="n">
        <v>33656</v>
      </c>
      <c r="P51" s="182" t="n">
        <v>12</v>
      </c>
      <c r="Q51" s="86" t="inlineStr">
        <is>
          <t>Scheduled run 61 đã đạt terminal state</t>
        </is>
      </c>
    </row>
    <row r="52" ht="24" customHeight="1" s="80">
      <c r="A52" s="177" t="n">
        <v>46300</v>
      </c>
      <c r="B52" t="inlineStr">
        <is>
          <t>00:30</t>
        </is>
      </c>
      <c r="C52" t="inlineStr">
        <is>
          <t>Hoàn thành có lỗi</t>
        </is>
      </c>
      <c r="D52" t="inlineStr">
        <is>
          <t>62</t>
        </is>
      </c>
      <c r="E52" s="180" t="n">
        <v>46300.02355754629</v>
      </c>
      <c r="F52" s="180" t="n">
        <v>46300.64516793982</v>
      </c>
      <c r="G52" s="181">
        <f>IF(OR(E52="",F52=""),"",(F52-E52)*24)</f>
        <v/>
      </c>
      <c r="H52" s="182" t="n">
        <v>4248</v>
      </c>
      <c r="I52" s="182" t="n">
        <v>4248</v>
      </c>
      <c r="J52" s="182" t="n">
        <v>3696</v>
      </c>
      <c r="K52" s="182" t="n">
        <v>0</v>
      </c>
      <c r="L52" s="182" t="n">
        <v>372</v>
      </c>
      <c r="M52" s="182" t="n">
        <v>132</v>
      </c>
      <c r="N52" s="182" t="n">
        <v>48</v>
      </c>
      <c r="O52" s="182" t="n">
        <v>33856</v>
      </c>
      <c r="P52" s="182" t="n">
        <v>12</v>
      </c>
      <c r="Q52" s="86" t="inlineStr">
        <is>
          <t>Scheduled run 62 đã đạt terminal state</t>
        </is>
      </c>
    </row>
    <row r="53" ht="24" customHeight="1" s="80">
      <c r="A53" s="177" t="n">
        <v>46301</v>
      </c>
      <c r="B53" t="inlineStr">
        <is>
          <t>00:30</t>
        </is>
      </c>
      <c r="C53" t="inlineStr">
        <is>
          <t>Hoàn thành có lỗi</t>
        </is>
      </c>
      <c r="D53" t="inlineStr">
        <is>
          <t>63</t>
        </is>
      </c>
      <c r="E53" s="180" t="n">
        <v>46301.02321953703</v>
      </c>
      <c r="F53" s="180" t="n">
        <v>46301.65734304398</v>
      </c>
      <c r="G53" s="181">
        <f>IF(OR(E53="",F53=""),"",(F53-E53)*24)</f>
        <v/>
      </c>
      <c r="H53" s="182" t="n">
        <v>4248</v>
      </c>
      <c r="I53" s="182" t="n">
        <v>4248</v>
      </c>
      <c r="J53" s="182" t="n">
        <v>3671</v>
      </c>
      <c r="K53" s="182" t="n">
        <v>0</v>
      </c>
      <c r="L53" s="182" t="n">
        <v>397</v>
      </c>
      <c r="M53" s="182" t="n">
        <v>120</v>
      </c>
      <c r="N53" s="182" t="n">
        <v>60</v>
      </c>
      <c r="O53" s="182" t="n">
        <v>33067</v>
      </c>
      <c r="P53" s="182" t="n">
        <v>12</v>
      </c>
      <c r="Q53" s="86" t="inlineStr">
        <is>
          <t>Scheduled run 63 đã đạt terminal state</t>
        </is>
      </c>
    </row>
    <row r="54" ht="24" customHeight="1" s="80">
      <c r="A54" s="177" t="n">
        <v>46302</v>
      </c>
      <c r="B54" t="inlineStr">
        <is>
          <t>00:30</t>
        </is>
      </c>
      <c r="C54" t="inlineStr">
        <is>
          <t>Hoàn thành có lỗi</t>
        </is>
      </c>
      <c r="D54" t="inlineStr">
        <is>
          <t>64</t>
        </is>
      </c>
      <c r="E54" s="180" t="n">
        <v>46302.02248005787</v>
      </c>
      <c r="F54" s="180" t="n">
        <v>46302.64480953704</v>
      </c>
      <c r="G54" s="181">
        <f>IF(OR(E54="",F54=""),"",(F54-E54)*24)</f>
        <v/>
      </c>
      <c r="H54" s="182" t="n">
        <v>4248</v>
      </c>
      <c r="I54" s="182" t="n">
        <v>4248</v>
      </c>
      <c r="J54" s="182" t="n">
        <v>3640</v>
      </c>
      <c r="K54" s="182" t="n">
        <v>0</v>
      </c>
      <c r="L54" s="182" t="n">
        <v>428</v>
      </c>
      <c r="M54" s="182" t="n">
        <v>120</v>
      </c>
      <c r="N54" s="182" t="n">
        <v>60</v>
      </c>
      <c r="O54" s="182" t="n">
        <v>33108</v>
      </c>
      <c r="P54" s="182" t="n">
        <v>12</v>
      </c>
      <c r="Q54" s="86" t="inlineStr">
        <is>
          <t>Scheduled run 64 đã đạt terminal state</t>
        </is>
      </c>
    </row>
    <row r="55" ht="24" customHeight="1" s="80">
      <c r="A55" s="177" t="n">
        <v>46303</v>
      </c>
      <c r="B55" t="inlineStr">
        <is>
          <t>00:30</t>
        </is>
      </c>
      <c r="C55" t="inlineStr">
        <is>
          <t>Hoàn thành có lỗi</t>
        </is>
      </c>
      <c r="D55" t="inlineStr">
        <is>
          <t>65</t>
        </is>
      </c>
      <c r="E55" s="180" t="n">
        <v>46303.02042174769</v>
      </c>
      <c r="F55" s="180" t="n">
        <v>46303.64737268518</v>
      </c>
      <c r="G55" s="181">
        <f>IF(OR(E55="",F55=""),"",(F55-E55)*24)</f>
        <v/>
      </c>
      <c r="H55" s="182" t="n">
        <v>4248</v>
      </c>
      <c r="I55" s="182" t="n">
        <v>4248</v>
      </c>
      <c r="J55" s="182" t="n">
        <v>3607</v>
      </c>
      <c r="K55" s="182" t="n">
        <v>0</v>
      </c>
      <c r="L55" s="182" t="n">
        <v>437</v>
      </c>
      <c r="M55" s="182" t="n">
        <v>144</v>
      </c>
      <c r="N55" s="182" t="n">
        <v>60</v>
      </c>
      <c r="O55" s="182" t="n">
        <v>33143</v>
      </c>
      <c r="P55" s="182" t="n">
        <v>12</v>
      </c>
      <c r="Q55" s="86" t="inlineStr">
        <is>
          <t>Scheduled run 65 đã đạt terminal state</t>
        </is>
      </c>
    </row>
    <row r="56" ht="24" customHeight="1" s="80">
      <c r="A56" s="177" t="n">
        <v>46304</v>
      </c>
      <c r="B56" t="inlineStr">
        <is>
          <t>00:30</t>
        </is>
      </c>
      <c r="C56" t="inlineStr">
        <is>
          <t>Hoàn thành có lỗi</t>
        </is>
      </c>
      <c r="D56" t="inlineStr">
        <is>
          <t>66</t>
        </is>
      </c>
      <c r="E56" s="180" t="n">
        <v>46304.020854375</v>
      </c>
      <c r="F56" s="180" t="n">
        <v>46304.63065833334</v>
      </c>
      <c r="G56" s="181">
        <f>IF(OR(E56="",F56=""),"",(F56-E56)*24)</f>
        <v/>
      </c>
      <c r="H56" s="182" t="n">
        <v>4248</v>
      </c>
      <c r="I56" s="182" t="n">
        <v>4248</v>
      </c>
      <c r="J56" s="182" t="n">
        <v>3547</v>
      </c>
      <c r="K56" s="182" t="n">
        <v>0</v>
      </c>
      <c r="L56" s="182" t="n">
        <v>461</v>
      </c>
      <c r="M56" s="182" t="n">
        <v>108</v>
      </c>
      <c r="N56" s="182" t="n">
        <v>132</v>
      </c>
      <c r="O56" s="182" t="n">
        <v>31957</v>
      </c>
      <c r="P56" s="182" t="n">
        <v>12</v>
      </c>
      <c r="Q56" s="86" t="inlineStr">
        <is>
          <t>Scheduled run 66 đã đạt terminal state</t>
        </is>
      </c>
    </row>
    <row r="57" ht="24" customHeight="1" s="80">
      <c r="A57" s="177" t="n">
        <v>46305</v>
      </c>
      <c r="B57" t="inlineStr">
        <is>
          <t>00:30</t>
        </is>
      </c>
      <c r="C57" t="inlineStr">
        <is>
          <t>Hoàn thành có lỗi</t>
        </is>
      </c>
      <c r="D57" t="inlineStr">
        <is>
          <t>67</t>
        </is>
      </c>
      <c r="E57" s="180" t="n">
        <v>46305.01982349537</v>
      </c>
      <c r="F57" s="180" t="n">
        <v>46305.62060153935</v>
      </c>
      <c r="G57" s="181">
        <f>IF(OR(E57="",F57=""),"",(F57-E57)*24)</f>
        <v/>
      </c>
      <c r="H57" s="182" t="n">
        <v>4248</v>
      </c>
      <c r="I57" s="182" t="n">
        <v>4248</v>
      </c>
      <c r="J57" s="182" t="n">
        <v>3515</v>
      </c>
      <c r="K57" s="182" t="n">
        <v>0</v>
      </c>
      <c r="L57" s="182" t="n">
        <v>505</v>
      </c>
      <c r="M57" s="182" t="n">
        <v>96</v>
      </c>
      <c r="N57" s="182" t="n">
        <v>132</v>
      </c>
      <c r="O57" s="182" t="n">
        <v>31172</v>
      </c>
      <c r="P57" s="182" t="n">
        <v>12</v>
      </c>
      <c r="Q57" s="86" t="inlineStr">
        <is>
          <t>Scheduled run 67 đã đạt terminal state</t>
        </is>
      </c>
    </row>
    <row r="58" ht="24" customHeight="1" s="80">
      <c r="A58" s="177" t="n">
        <v>46306</v>
      </c>
      <c r="B58" t="inlineStr">
        <is>
          <t>00:30</t>
        </is>
      </c>
      <c r="C58" t="inlineStr">
        <is>
          <t>Hoàn thành có lỗi</t>
        </is>
      </c>
      <c r="D58" t="inlineStr">
        <is>
          <t>68</t>
        </is>
      </c>
      <c r="E58" s="180" t="n">
        <v>46306.02451019676</v>
      </c>
      <c r="F58" s="180" t="n">
        <v>46306.63431952546</v>
      </c>
      <c r="G58" s="181">
        <f>IF(OR(E58="",F58=""),"",(F58-E58)*24)</f>
        <v/>
      </c>
      <c r="H58" s="182" t="n">
        <v>4248</v>
      </c>
      <c r="I58" s="182" t="n">
        <v>4248</v>
      </c>
      <c r="J58" s="182" t="n">
        <v>3558</v>
      </c>
      <c r="K58" s="182" t="n">
        <v>0</v>
      </c>
      <c r="L58" s="182" t="n">
        <v>475</v>
      </c>
      <c r="M58" s="182" t="n">
        <v>83</v>
      </c>
      <c r="N58" s="182" t="n">
        <v>132</v>
      </c>
      <c r="O58" s="182" t="n">
        <v>31405</v>
      </c>
      <c r="P58" s="182" t="n">
        <v>12</v>
      </c>
      <c r="Q58" s="86" t="inlineStr">
        <is>
          <t>Scheduled run 68 đã đạt terminal state</t>
        </is>
      </c>
    </row>
    <row r="59" ht="24" customHeight="1" s="80">
      <c r="A59" s="177" t="n">
        <v>46307</v>
      </c>
      <c r="B59" t="inlineStr">
        <is>
          <t>00:30</t>
        </is>
      </c>
      <c r="C59" t="inlineStr">
        <is>
          <t>Hoàn thành có lỗi</t>
        </is>
      </c>
      <c r="D59" t="inlineStr">
        <is>
          <t>69</t>
        </is>
      </c>
      <c r="E59" s="180" t="n">
        <v>46307.02383261574</v>
      </c>
      <c r="F59" s="180" t="n">
        <v>46307.64267200232</v>
      </c>
      <c r="G59" s="181">
        <f>IF(OR(E59="",F59=""),"",(F59-E59)*24)</f>
        <v/>
      </c>
      <c r="H59" s="182" t="n">
        <v>4248</v>
      </c>
      <c r="I59" s="182" t="n">
        <v>4248</v>
      </c>
      <c r="J59" s="182" t="n">
        <v>3546</v>
      </c>
      <c r="K59" s="182" t="n">
        <v>0</v>
      </c>
      <c r="L59" s="182" t="n">
        <v>486</v>
      </c>
      <c r="M59" s="182" t="n">
        <v>84</v>
      </c>
      <c r="N59" s="182" t="n">
        <v>132</v>
      </c>
      <c r="O59" s="182" t="n">
        <v>32980</v>
      </c>
      <c r="P59" s="182" t="n">
        <v>12</v>
      </c>
      <c r="Q59" s="86" t="inlineStr">
        <is>
          <t>Scheduled run 69 đã đạt terminal state</t>
        </is>
      </c>
    </row>
    <row r="60" ht="24" customHeight="1" s="80">
      <c r="A60" s="177" t="n">
        <v>46308</v>
      </c>
      <c r="B60" t="inlineStr">
        <is>
          <t>00:30</t>
        </is>
      </c>
      <c r="C60" t="inlineStr">
        <is>
          <t>Đang chạy</t>
        </is>
      </c>
      <c r="D60" t="inlineStr">
        <is>
          <t>70</t>
        </is>
      </c>
      <c r="E60" s="180" t="n">
        <v>46308.01947654462</v>
      </c>
      <c r="F60" s="180" t="n"/>
      <c r="G60" s="181">
        <f>IF(OR(E60="",F60=""),"",(F60-E60)*24)</f>
        <v/>
      </c>
      <c r="H60" s="182" t="n"/>
      <c r="I60" s="182" t="n"/>
      <c r="J60" s="182" t="n"/>
      <c r="K60" s="182" t="n"/>
      <c r="L60" s="182" t="n"/>
      <c r="M60" s="182" t="n"/>
      <c r="N60" s="182" t="n"/>
      <c r="O60" s="182" t="n"/>
      <c r="P60" s="182" t="n">
        <v>12</v>
      </c>
      <c r="Q60" s="86" t="inlineStr">
        <is>
          <t>Scheduled crawl đã tạo durable run; save_artifacts=false</t>
        </is>
      </c>
    </row>
    <row r="61" ht="24" customHeight="1" s="80">
      <c r="A61" s="177" t="n">
        <v>46309</v>
      </c>
      <c r="B61" t="inlineStr">
        <is>
          <t>00:30</t>
        </is>
      </c>
      <c r="C61" t="inlineStr">
        <is>
          <t>Chưa chạy</t>
        </is>
      </c>
      <c r="E61" s="180" t="n"/>
      <c r="F61" s="180" t="n"/>
      <c r="G61" s="181">
        <f>IF(OR(E61="",F61=""),"",(F61-E61)*24)</f>
        <v/>
      </c>
      <c r="H61" s="182" t="n"/>
      <c r="I61" s="182" t="n"/>
      <c r="J61" s="182" t="n"/>
      <c r="K61" s="182" t="n"/>
      <c r="L61" s="182" t="n"/>
      <c r="M61" s="182" t="n"/>
      <c r="N61" s="182" t="n"/>
      <c r="O61" s="182" t="n"/>
      <c r="P61" s="182" t="n">
        <v>12</v>
      </c>
      <c r="Q61" s="86" t="n"/>
    </row>
    <row r="62" ht="24" customHeight="1" s="80">
      <c r="A62" s="177" t="n">
        <v>46310</v>
      </c>
      <c r="B62" t="inlineStr">
        <is>
          <t>00:30</t>
        </is>
      </c>
      <c r="C62" t="inlineStr">
        <is>
          <t>Chưa chạy</t>
        </is>
      </c>
      <c r="E62" s="180" t="n"/>
      <c r="F62" s="180" t="n"/>
      <c r="G62" s="181">
        <f>IF(OR(E62="",F62=""),"",(F62-E62)*24)</f>
        <v/>
      </c>
      <c r="H62" s="182" t="n"/>
      <c r="I62" s="182" t="n"/>
      <c r="J62" s="182" t="n"/>
      <c r="K62" s="182" t="n"/>
      <c r="L62" s="182" t="n"/>
      <c r="M62" s="182" t="n"/>
      <c r="N62" s="182" t="n"/>
      <c r="O62" s="182" t="n"/>
      <c r="P62" s="182" t="n">
        <v>12</v>
      </c>
      <c r="Q62" s="86" t="n"/>
    </row>
    <row r="63" ht="24" customHeight="1" s="80">
      <c r="A63" s="177" t="n">
        <v>46311</v>
      </c>
      <c r="B63" t="inlineStr">
        <is>
          <t>00:30</t>
        </is>
      </c>
      <c r="C63" t="inlineStr">
        <is>
          <t>Chưa chạy</t>
        </is>
      </c>
      <c r="E63" s="180" t="n"/>
      <c r="F63" s="180" t="n"/>
      <c r="G63" s="181">
        <f>IF(OR(E63="",F63=""),"",(F63-E63)*24)</f>
        <v/>
      </c>
      <c r="H63" s="182" t="n"/>
      <c r="I63" s="182" t="n"/>
      <c r="J63" s="182" t="n"/>
      <c r="K63" s="182" t="n"/>
      <c r="L63" s="182" t="n"/>
      <c r="M63" s="182" t="n"/>
      <c r="N63" s="182" t="n"/>
      <c r="O63" s="182" t="n"/>
      <c r="P63" s="182" t="n">
        <v>12</v>
      </c>
      <c r="Q63" s="86" t="n"/>
    </row>
    <row r="64" ht="24" customHeight="1" s="80">
      <c r="A64" s="177" t="n">
        <v>46312</v>
      </c>
      <c r="B64" t="inlineStr">
        <is>
          <t>00:30</t>
        </is>
      </c>
      <c r="C64" t="inlineStr">
        <is>
          <t>Chưa chạy</t>
        </is>
      </c>
      <c r="E64" s="180" t="n"/>
      <c r="F64" s="180" t="n"/>
      <c r="G64" s="181">
        <f>IF(OR(E64="",F64=""),"",(F64-E64)*24)</f>
        <v/>
      </c>
      <c r="H64" s="182" t="n"/>
      <c r="I64" s="182" t="n"/>
      <c r="J64" s="182" t="n"/>
      <c r="K64" s="182" t="n"/>
      <c r="L64" s="182" t="n"/>
      <c r="M64" s="182" t="n"/>
      <c r="N64" s="182" t="n"/>
      <c r="O64" s="182" t="n"/>
      <c r="P64" s="182" t="n">
        <v>12</v>
      </c>
      <c r="Q64" s="86" t="n"/>
    </row>
    <row r="65" ht="24" customHeight="1" s="80">
      <c r="A65" s="177" t="n">
        <v>46313</v>
      </c>
      <c r="B65" t="inlineStr">
        <is>
          <t>00:30</t>
        </is>
      </c>
      <c r="C65" t="inlineStr">
        <is>
          <t>Chưa chạy</t>
        </is>
      </c>
      <c r="E65" s="180" t="n"/>
      <c r="F65" s="180" t="n"/>
      <c r="G65" s="181">
        <f>IF(OR(E65="",F65=""),"",(F65-E65)*24)</f>
        <v/>
      </c>
      <c r="H65" s="182" t="n"/>
      <c r="I65" s="182" t="n"/>
      <c r="J65" s="182" t="n"/>
      <c r="K65" s="182" t="n"/>
      <c r="L65" s="182" t="n"/>
      <c r="M65" s="182" t="n"/>
      <c r="N65" s="182" t="n"/>
      <c r="O65" s="182" t="n"/>
      <c r="P65" s="182" t="n">
        <v>12</v>
      </c>
      <c r="Q65" s="86" t="n"/>
    </row>
    <row r="66" ht="24" customHeight="1" s="80">
      <c r="A66" s="177" t="n">
        <v>46314</v>
      </c>
      <c r="B66" t="inlineStr">
        <is>
          <t>00:30</t>
        </is>
      </c>
      <c r="C66" t="inlineStr">
        <is>
          <t>Chưa chạy</t>
        </is>
      </c>
      <c r="E66" s="180" t="n"/>
      <c r="F66" s="180" t="n"/>
      <c r="G66" s="181">
        <f>IF(OR(E66="",F66=""),"",(F66-E66)*24)</f>
        <v/>
      </c>
      <c r="H66" s="182" t="n"/>
      <c r="I66" s="182" t="n"/>
      <c r="J66" s="182" t="n"/>
      <c r="K66" s="182" t="n"/>
      <c r="L66" s="182" t="n"/>
      <c r="M66" s="182" t="n"/>
      <c r="N66" s="182" t="n"/>
      <c r="O66" s="182" t="n"/>
      <c r="P66" s="182" t="n">
        <v>12</v>
      </c>
      <c r="Q66" s="86" t="n"/>
    </row>
    <row r="67" ht="24" customHeight="1" s="80">
      <c r="A67" s="177" t="n">
        <v>46315</v>
      </c>
      <c r="B67" t="inlineStr">
        <is>
          <t>00:30</t>
        </is>
      </c>
      <c r="C67" t="inlineStr">
        <is>
          <t>Chưa chạy</t>
        </is>
      </c>
      <c r="E67" s="180" t="n"/>
      <c r="F67" s="180" t="n"/>
      <c r="G67" s="181">
        <f>IF(OR(E67="",F67=""),"",(F67-E67)*24)</f>
        <v/>
      </c>
      <c r="H67" s="182" t="n"/>
      <c r="I67" s="182" t="n"/>
      <c r="J67" s="182" t="n"/>
      <c r="K67" s="182" t="n"/>
      <c r="L67" s="182" t="n"/>
      <c r="M67" s="182" t="n"/>
      <c r="N67" s="182" t="n"/>
      <c r="O67" s="182" t="n"/>
      <c r="P67" s="182" t="n">
        <v>12</v>
      </c>
      <c r="Q67" s="86" t="n"/>
    </row>
    <row r="68" ht="24" customHeight="1" s="80">
      <c r="A68" s="177" t="n">
        <v>46316</v>
      </c>
      <c r="B68" t="inlineStr">
        <is>
          <t>00:30</t>
        </is>
      </c>
      <c r="C68" t="inlineStr">
        <is>
          <t>Chưa chạy</t>
        </is>
      </c>
      <c r="E68" s="180" t="n"/>
      <c r="F68" s="180" t="n"/>
      <c r="G68" s="181">
        <f>IF(OR(E68="",F68=""),"",(F68-E68)*24)</f>
        <v/>
      </c>
      <c r="H68" s="182" t="n"/>
      <c r="I68" s="182" t="n"/>
      <c r="J68" s="182" t="n"/>
      <c r="K68" s="182" t="n"/>
      <c r="L68" s="182" t="n"/>
      <c r="M68" s="182" t="n"/>
      <c r="N68" s="182" t="n"/>
      <c r="O68" s="182" t="n"/>
      <c r="P68" s="182" t="n">
        <v>12</v>
      </c>
      <c r="Q68" s="86" t="n"/>
    </row>
    <row r="69" ht="24" customHeight="1" s="80">
      <c r="A69" s="177" t="n">
        <v>46317</v>
      </c>
      <c r="B69" t="inlineStr">
        <is>
          <t>00:30</t>
        </is>
      </c>
      <c r="C69" t="inlineStr">
        <is>
          <t>Chưa chạy</t>
        </is>
      </c>
      <c r="E69" s="180" t="n"/>
      <c r="F69" s="180" t="n"/>
      <c r="G69" s="181">
        <f>IF(OR(E69="",F69=""),"",(F69-E69)*24)</f>
        <v/>
      </c>
      <c r="H69" s="182" t="n"/>
      <c r="I69" s="182" t="n"/>
      <c r="J69" s="182" t="n"/>
      <c r="K69" s="182" t="n"/>
      <c r="L69" s="182" t="n"/>
      <c r="M69" s="182" t="n"/>
      <c r="N69" s="182" t="n"/>
      <c r="O69" s="182" t="n"/>
      <c r="P69" s="182" t="n">
        <v>12</v>
      </c>
      <c r="Q69" s="86" t="n"/>
    </row>
    <row r="70" ht="24" customHeight="1" s="80">
      <c r="A70" s="177" t="n">
        <v>46318</v>
      </c>
      <c r="B70" t="inlineStr">
        <is>
          <t>00:30</t>
        </is>
      </c>
      <c r="C70" t="inlineStr">
        <is>
          <t>Chưa chạy</t>
        </is>
      </c>
      <c r="E70" s="180" t="n"/>
      <c r="F70" s="180" t="n"/>
      <c r="G70" s="181">
        <f>IF(OR(E70="",F70=""),"",(F70-E70)*24)</f>
        <v/>
      </c>
      <c r="H70" s="182" t="n"/>
      <c r="I70" s="182" t="n"/>
      <c r="J70" s="182" t="n"/>
      <c r="K70" s="182" t="n"/>
      <c r="L70" s="182" t="n"/>
      <c r="M70" s="182" t="n"/>
      <c r="N70" s="182" t="n"/>
      <c r="O70" s="182" t="n"/>
      <c r="P70" s="182" t="n">
        <v>12</v>
      </c>
      <c r="Q70" s="86" t="n"/>
    </row>
    <row r="71" ht="24" customHeight="1" s="80">
      <c r="A71" s="177" t="n">
        <v>46319</v>
      </c>
      <c r="B71" t="inlineStr">
        <is>
          <t>00:30</t>
        </is>
      </c>
      <c r="C71" t="inlineStr">
        <is>
          <t>Chưa chạy</t>
        </is>
      </c>
      <c r="E71" s="180" t="n"/>
      <c r="F71" s="180" t="n"/>
      <c r="G71" s="181">
        <f>IF(OR(E71="",F71=""),"",(F71-E71)*24)</f>
        <v/>
      </c>
      <c r="H71" s="182" t="n"/>
      <c r="I71" s="182" t="n"/>
      <c r="J71" s="182" t="n"/>
      <c r="K71" s="182" t="n"/>
      <c r="L71" s="182" t="n"/>
      <c r="M71" s="182" t="n"/>
      <c r="N71" s="182" t="n"/>
      <c r="O71" s="182" t="n"/>
      <c r="P71" s="182" t="n">
        <v>12</v>
      </c>
      <c r="Q71" s="86" t="n"/>
    </row>
    <row r="72" ht="24" customHeight="1" s="80">
      <c r="A72" s="177" t="n">
        <v>46320</v>
      </c>
      <c r="B72" t="inlineStr">
        <is>
          <t>00:30</t>
        </is>
      </c>
      <c r="C72" t="inlineStr">
        <is>
          <t>Chưa chạy</t>
        </is>
      </c>
      <c r="E72" s="180" t="n"/>
      <c r="F72" s="180" t="n"/>
      <c r="G72" s="181">
        <f>IF(OR(E72="",F72=""),"",(F72-E72)*24)</f>
        <v/>
      </c>
      <c r="H72" s="182" t="n"/>
      <c r="I72" s="182" t="n"/>
      <c r="J72" s="182" t="n"/>
      <c r="K72" s="182" t="n"/>
      <c r="L72" s="182" t="n"/>
      <c r="M72" s="182" t="n"/>
      <c r="N72" s="182" t="n"/>
      <c r="O72" s="182" t="n"/>
      <c r="P72" s="182" t="n">
        <v>12</v>
      </c>
      <c r="Q72" s="86" t="n"/>
    </row>
    <row r="73" ht="24" customHeight="1" s="80">
      <c r="A73" s="177" t="n">
        <v>46321</v>
      </c>
      <c r="B73" t="inlineStr">
        <is>
          <t>00:30</t>
        </is>
      </c>
      <c r="C73" t="inlineStr">
        <is>
          <t>Chưa chạy</t>
        </is>
      </c>
      <c r="E73" s="180" t="n"/>
      <c r="F73" s="180" t="n"/>
      <c r="G73" s="181">
        <f>IF(OR(E73="",F73=""),"",(F73-E73)*24)</f>
        <v/>
      </c>
      <c r="H73" s="182" t="n"/>
      <c r="I73" s="182" t="n"/>
      <c r="J73" s="182" t="n"/>
      <c r="K73" s="182" t="n"/>
      <c r="L73" s="182" t="n"/>
      <c r="M73" s="182" t="n"/>
      <c r="N73" s="182" t="n"/>
      <c r="O73" s="182" t="n"/>
      <c r="P73" s="182" t="n">
        <v>12</v>
      </c>
      <c r="Q73" s="86" t="n"/>
    </row>
    <row r="74" ht="24" customHeight="1" s="80">
      <c r="A74" s="177" t="n">
        <v>46322</v>
      </c>
      <c r="B74" t="inlineStr">
        <is>
          <t>00:30</t>
        </is>
      </c>
      <c r="C74" t="inlineStr">
        <is>
          <t>Chưa chạy</t>
        </is>
      </c>
      <c r="E74" s="180" t="n"/>
      <c r="F74" s="180" t="n"/>
      <c r="G74" s="181">
        <f>IF(OR(E74="",F74=""),"",(F74-E74)*24)</f>
        <v/>
      </c>
      <c r="H74" s="182" t="n"/>
      <c r="I74" s="182" t="n"/>
      <c r="J74" s="182" t="n"/>
      <c r="K74" s="182" t="n"/>
      <c r="L74" s="182" t="n"/>
      <c r="M74" s="182" t="n"/>
      <c r="N74" s="182" t="n"/>
      <c r="O74" s="182" t="n"/>
      <c r="P74" s="182" t="n">
        <v>12</v>
      </c>
      <c r="Q74" s="86" t="n"/>
    </row>
    <row r="75" ht="24" customHeight="1" s="80">
      <c r="A75" s="177" t="n">
        <v>46323</v>
      </c>
      <c r="B75" t="inlineStr">
        <is>
          <t>00:30</t>
        </is>
      </c>
      <c r="C75" t="inlineStr">
        <is>
          <t>Chưa chạy</t>
        </is>
      </c>
      <c r="E75" s="180" t="n"/>
      <c r="F75" s="180" t="n"/>
      <c r="G75" s="181">
        <f>IF(OR(E75="",F75=""),"",(F75-E75)*24)</f>
        <v/>
      </c>
      <c r="H75" s="182" t="n"/>
      <c r="I75" s="182" t="n"/>
      <c r="J75" s="182" t="n"/>
      <c r="K75" s="182" t="n"/>
      <c r="L75" s="182" t="n"/>
      <c r="M75" s="182" t="n"/>
      <c r="N75" s="182" t="n"/>
      <c r="O75" s="182" t="n"/>
      <c r="P75" s="182" t="n">
        <v>12</v>
      </c>
      <c r="Q75" s="86" t="n"/>
    </row>
    <row r="76" ht="24" customHeight="1" s="80">
      <c r="A76" s="177" t="n">
        <v>46324</v>
      </c>
      <c r="B76" t="inlineStr">
        <is>
          <t>00:30</t>
        </is>
      </c>
      <c r="C76" t="inlineStr">
        <is>
          <t>Chưa chạy</t>
        </is>
      </c>
      <c r="E76" s="180" t="n"/>
      <c r="F76" s="180" t="n"/>
      <c r="G76" s="181">
        <f>IF(OR(E76="",F76=""),"",(F76-E76)*24)</f>
        <v/>
      </c>
      <c r="H76" s="182" t="n"/>
      <c r="I76" s="182" t="n"/>
      <c r="J76" s="182" t="n"/>
      <c r="K76" s="182" t="n"/>
      <c r="L76" s="182" t="n"/>
      <c r="M76" s="182" t="n"/>
      <c r="N76" s="182" t="n"/>
      <c r="O76" s="182" t="n"/>
      <c r="P76" s="182" t="n">
        <v>12</v>
      </c>
      <c r="Q76" s="86" t="n"/>
    </row>
    <row r="77" ht="24" customHeight="1" s="80">
      <c r="A77" s="177" t="n">
        <v>46325</v>
      </c>
      <c r="B77" t="inlineStr">
        <is>
          <t>00:30</t>
        </is>
      </c>
      <c r="C77" t="inlineStr">
        <is>
          <t>Chưa chạy</t>
        </is>
      </c>
      <c r="E77" s="180" t="n"/>
      <c r="F77" s="180" t="n"/>
      <c r="G77" s="181">
        <f>IF(OR(E77="",F77=""),"",(F77-E77)*24)</f>
        <v/>
      </c>
      <c r="H77" s="182" t="n"/>
      <c r="I77" s="182" t="n"/>
      <c r="J77" s="182" t="n"/>
      <c r="K77" s="182" t="n"/>
      <c r="L77" s="182" t="n"/>
      <c r="M77" s="182" t="n"/>
      <c r="N77" s="182" t="n"/>
      <c r="O77" s="182" t="n"/>
      <c r="P77" s="182" t="n">
        <v>12</v>
      </c>
      <c r="Q77" s="86" t="n"/>
    </row>
    <row r="78" ht="24" customHeight="1" s="80">
      <c r="A78" s="177" t="n">
        <v>46326</v>
      </c>
      <c r="B78" t="inlineStr">
        <is>
          <t>00:30</t>
        </is>
      </c>
      <c r="C78" t="inlineStr">
        <is>
          <t>Chưa chạy</t>
        </is>
      </c>
      <c r="E78" s="180" t="n"/>
      <c r="F78" s="180" t="n"/>
      <c r="G78" s="181">
        <f>IF(OR(E78="",F78=""),"",(F78-E78)*24)</f>
        <v/>
      </c>
      <c r="H78" s="182" t="n"/>
      <c r="I78" s="182" t="n"/>
      <c r="J78" s="182" t="n"/>
      <c r="K78" s="182" t="n"/>
      <c r="L78" s="182" t="n"/>
      <c r="M78" s="182" t="n"/>
      <c r="N78" s="182" t="n"/>
      <c r="O78" s="182" t="n"/>
      <c r="P78" s="182" t="n">
        <v>12</v>
      </c>
      <c r="Q78" s="86" t="n"/>
    </row>
    <row r="79" ht="24" customHeight="1" s="80">
      <c r="A79" s="177" t="n">
        <v>46327</v>
      </c>
      <c r="B79" t="inlineStr">
        <is>
          <t>00:30</t>
        </is>
      </c>
      <c r="C79" t="inlineStr">
        <is>
          <t>Chưa chạy</t>
        </is>
      </c>
      <c r="E79" s="180" t="n"/>
      <c r="F79" s="180" t="n"/>
      <c r="G79" s="181">
        <f>IF(OR(E79="",F79=""),"",(F79-E79)*24)</f>
        <v/>
      </c>
      <c r="H79" s="182" t="n"/>
      <c r="I79" s="182" t="n"/>
      <c r="J79" s="182" t="n"/>
      <c r="K79" s="182" t="n"/>
      <c r="L79" s="182" t="n"/>
      <c r="M79" s="182" t="n"/>
      <c r="N79" s="182" t="n"/>
      <c r="O79" s="182" t="n"/>
      <c r="P79" s="182" t="n">
        <v>12</v>
      </c>
      <c r="Q79" s="86" t="n"/>
    </row>
    <row r="80" ht="24" customHeight="1" s="80">
      <c r="A80" s="177" t="n">
        <v>46328</v>
      </c>
      <c r="B80" t="inlineStr">
        <is>
          <t>00:30</t>
        </is>
      </c>
      <c r="C80" t="inlineStr">
        <is>
          <t>Chưa chạy</t>
        </is>
      </c>
      <c r="E80" s="180" t="n"/>
      <c r="F80" s="180" t="n"/>
      <c r="G80" s="181">
        <f>IF(OR(E80="",F80=""),"",(F80-E80)*24)</f>
        <v/>
      </c>
      <c r="H80" s="182" t="n"/>
      <c r="I80" s="182" t="n"/>
      <c r="J80" s="182" t="n"/>
      <c r="K80" s="182" t="n"/>
      <c r="L80" s="182" t="n"/>
      <c r="M80" s="182" t="n"/>
      <c r="N80" s="182" t="n"/>
      <c r="O80" s="182" t="n"/>
      <c r="P80" s="182" t="n">
        <v>12</v>
      </c>
      <c r="Q80" s="86" t="n"/>
    </row>
    <row r="81" ht="24" customHeight="1" s="80">
      <c r="A81" s="177" t="n">
        <v>46329</v>
      </c>
      <c r="B81" t="inlineStr">
        <is>
          <t>00:30</t>
        </is>
      </c>
      <c r="C81" t="inlineStr">
        <is>
          <t>Chưa chạy</t>
        </is>
      </c>
      <c r="E81" s="180" t="n"/>
      <c r="F81" s="180" t="n"/>
      <c r="G81" s="181">
        <f>IF(OR(E81="",F81=""),"",(F81-E81)*24)</f>
        <v/>
      </c>
      <c r="H81" s="182" t="n"/>
      <c r="I81" s="182" t="n"/>
      <c r="J81" s="182" t="n"/>
      <c r="K81" s="182" t="n"/>
      <c r="L81" s="182" t="n"/>
      <c r="M81" s="182" t="n"/>
      <c r="N81" s="182" t="n"/>
      <c r="O81" s="182" t="n"/>
      <c r="P81" s="182" t="n">
        <v>12</v>
      </c>
      <c r="Q81" s="86" t="n"/>
    </row>
    <row r="82" ht="24" customHeight="1" s="80">
      <c r="A82" s="177" t="n">
        <v>46330</v>
      </c>
      <c r="B82" t="inlineStr">
        <is>
          <t>00:30</t>
        </is>
      </c>
      <c r="C82" t="inlineStr">
        <is>
          <t>Chưa chạy</t>
        </is>
      </c>
      <c r="E82" s="180" t="n"/>
      <c r="F82" s="180" t="n"/>
      <c r="G82" s="181">
        <f>IF(OR(E82="",F82=""),"",(F82-E82)*24)</f>
        <v/>
      </c>
      <c r="H82" s="182" t="n"/>
      <c r="I82" s="182" t="n"/>
      <c r="J82" s="182" t="n"/>
      <c r="K82" s="182" t="n"/>
      <c r="L82" s="182" t="n"/>
      <c r="M82" s="182" t="n"/>
      <c r="N82" s="182" t="n"/>
      <c r="O82" s="182" t="n"/>
      <c r="P82" s="182" t="n">
        <v>12</v>
      </c>
      <c r="Q82" s="86" t="n"/>
    </row>
    <row r="83" ht="24" customHeight="1" s="80">
      <c r="A83" s="177" t="n">
        <v>46331</v>
      </c>
      <c r="B83" t="inlineStr">
        <is>
          <t>00:30</t>
        </is>
      </c>
      <c r="C83" t="inlineStr">
        <is>
          <t>Chưa chạy</t>
        </is>
      </c>
      <c r="E83" s="180" t="n"/>
      <c r="F83" s="180" t="n"/>
      <c r="G83" s="181">
        <f>IF(OR(E83="",F83=""),"",(F83-E83)*24)</f>
        <v/>
      </c>
      <c r="H83" s="182" t="n"/>
      <c r="I83" s="182" t="n"/>
      <c r="J83" s="182" t="n"/>
      <c r="K83" s="182" t="n"/>
      <c r="L83" s="182" t="n"/>
      <c r="M83" s="182" t="n"/>
      <c r="N83" s="182" t="n"/>
      <c r="O83" s="182" t="n"/>
      <c r="P83" s="182" t="n">
        <v>12</v>
      </c>
      <c r="Q83" s="86" t="n"/>
    </row>
    <row r="84" ht="24" customHeight="1" s="80">
      <c r="A84" s="177" t="n">
        <v>46332</v>
      </c>
      <c r="B84" t="inlineStr">
        <is>
          <t>00:30</t>
        </is>
      </c>
      <c r="C84" t="inlineStr">
        <is>
          <t>Chưa chạy</t>
        </is>
      </c>
      <c r="E84" s="180" t="n"/>
      <c r="F84" s="180" t="n"/>
      <c r="G84" s="181">
        <f>IF(OR(E84="",F84=""),"",(F84-E84)*24)</f>
        <v/>
      </c>
      <c r="H84" s="182" t="n"/>
      <c r="I84" s="182" t="n"/>
      <c r="J84" s="182" t="n"/>
      <c r="K84" s="182" t="n"/>
      <c r="L84" s="182" t="n"/>
      <c r="M84" s="182" t="n"/>
      <c r="N84" s="182" t="n"/>
      <c r="O84" s="182" t="n"/>
      <c r="P84" s="182" t="n">
        <v>12</v>
      </c>
      <c r="Q84" s="86" t="n"/>
    </row>
    <row r="85" ht="24" customHeight="1" s="80">
      <c r="A85" s="177" t="n">
        <v>46333</v>
      </c>
      <c r="B85" t="inlineStr">
        <is>
          <t>00:30</t>
        </is>
      </c>
      <c r="C85" t="inlineStr">
        <is>
          <t>Chưa chạy</t>
        </is>
      </c>
      <c r="E85" s="180" t="n"/>
      <c r="F85" s="180" t="n"/>
      <c r="G85" s="181">
        <f>IF(OR(E85="",F85=""),"",(F85-E85)*24)</f>
        <v/>
      </c>
      <c r="H85" s="182" t="n"/>
      <c r="I85" s="182" t="n"/>
      <c r="J85" s="182" t="n"/>
      <c r="K85" s="182" t="n"/>
      <c r="L85" s="182" t="n"/>
      <c r="M85" s="182" t="n"/>
      <c r="N85" s="182" t="n"/>
      <c r="O85" s="182" t="n"/>
      <c r="P85" s="182" t="n">
        <v>12</v>
      </c>
      <c r="Q85" s="86" t="n"/>
    </row>
    <row r="86" ht="24" customHeight="1" s="80">
      <c r="A86" s="177" t="n">
        <v>46334</v>
      </c>
      <c r="B86" t="inlineStr">
        <is>
          <t>00:30</t>
        </is>
      </c>
      <c r="C86" t="inlineStr">
        <is>
          <t>Chưa chạy</t>
        </is>
      </c>
      <c r="E86" s="180" t="n"/>
      <c r="F86" s="180" t="n"/>
      <c r="G86" s="181">
        <f>IF(OR(E86="",F86=""),"",(F86-E86)*24)</f>
        <v/>
      </c>
      <c r="H86" s="182" t="n"/>
      <c r="I86" s="182" t="n"/>
      <c r="J86" s="182" t="n"/>
      <c r="K86" s="182" t="n"/>
      <c r="L86" s="182" t="n"/>
      <c r="M86" s="182" t="n"/>
      <c r="N86" s="182" t="n"/>
      <c r="O86" s="182" t="n"/>
      <c r="P86" s="182" t="n">
        <v>12</v>
      </c>
      <c r="Q86" s="86" t="n"/>
    </row>
    <row r="87" ht="24" customHeight="1" s="80">
      <c r="A87" s="177" t="n">
        <v>46335</v>
      </c>
      <c r="B87" t="inlineStr">
        <is>
          <t>00:30</t>
        </is>
      </c>
      <c r="C87" t="inlineStr">
        <is>
          <t>Chưa chạy</t>
        </is>
      </c>
      <c r="E87" s="180" t="n"/>
      <c r="F87" s="180" t="n"/>
      <c r="G87" s="181">
        <f>IF(OR(E87="",F87=""),"",(F87-E87)*24)</f>
        <v/>
      </c>
      <c r="H87" s="182" t="n"/>
      <c r="I87" s="182" t="n"/>
      <c r="J87" s="182" t="n"/>
      <c r="K87" s="182" t="n"/>
      <c r="L87" s="182" t="n"/>
      <c r="M87" s="182" t="n"/>
      <c r="N87" s="182" t="n"/>
      <c r="O87" s="182" t="n"/>
      <c r="P87" s="182" t="n">
        <v>12</v>
      </c>
      <c r="Q87" s="86" t="n"/>
    </row>
    <row r="88" ht="24" customHeight="1" s="80">
      <c r="A88" s="177" t="n">
        <v>46336</v>
      </c>
      <c r="B88" t="inlineStr">
        <is>
          <t>00:30</t>
        </is>
      </c>
      <c r="C88" t="inlineStr">
        <is>
          <t>Chưa chạy</t>
        </is>
      </c>
      <c r="E88" s="180" t="n"/>
      <c r="F88" s="180" t="n"/>
      <c r="G88" s="181">
        <f>IF(OR(E88="",F88=""),"",(F88-E88)*24)</f>
        <v/>
      </c>
      <c r="H88" s="182" t="n"/>
      <c r="I88" s="182" t="n"/>
      <c r="J88" s="182" t="n"/>
      <c r="K88" s="182" t="n"/>
      <c r="L88" s="182" t="n"/>
      <c r="M88" s="182" t="n"/>
      <c r="N88" s="182" t="n"/>
      <c r="O88" s="182" t="n"/>
      <c r="P88" s="182" t="n">
        <v>12</v>
      </c>
      <c r="Q88" s="86" t="n"/>
    </row>
    <row r="89" ht="24" customHeight="1" s="80">
      <c r="A89" s="177" t="n">
        <v>46337</v>
      </c>
      <c r="B89" t="inlineStr">
        <is>
          <t>00:30</t>
        </is>
      </c>
      <c r="C89" t="inlineStr">
        <is>
          <t>Chưa chạy</t>
        </is>
      </c>
      <c r="E89" s="180" t="n"/>
      <c r="F89" s="180" t="n"/>
      <c r="G89" s="181">
        <f>IF(OR(E89="",F89=""),"",(F89-E89)*24)</f>
        <v/>
      </c>
      <c r="H89" s="182" t="n"/>
      <c r="I89" s="182" t="n"/>
      <c r="J89" s="182" t="n"/>
      <c r="K89" s="182" t="n"/>
      <c r="L89" s="182" t="n"/>
      <c r="M89" s="182" t="n"/>
      <c r="N89" s="182" t="n"/>
      <c r="O89" s="182" t="n"/>
      <c r="P89" s="182" t="n">
        <v>12</v>
      </c>
      <c r="Q89" s="86" t="n"/>
    </row>
    <row r="90" ht="24" customHeight="1" s="80">
      <c r="A90" s="177" t="n">
        <v>46338</v>
      </c>
      <c r="B90" t="inlineStr">
        <is>
          <t>00:30</t>
        </is>
      </c>
      <c r="C90" t="inlineStr">
        <is>
          <t>Chưa chạy</t>
        </is>
      </c>
      <c r="E90" s="180" t="n"/>
      <c r="F90" s="180" t="n"/>
      <c r="G90" s="181">
        <f>IF(OR(E90="",F90=""),"",(F90-E90)*24)</f>
        <v/>
      </c>
      <c r="H90" s="182" t="n"/>
      <c r="I90" s="182" t="n"/>
      <c r="J90" s="182" t="n"/>
      <c r="K90" s="182" t="n"/>
      <c r="L90" s="182" t="n"/>
      <c r="M90" s="182" t="n"/>
      <c r="N90" s="182" t="n"/>
      <c r="O90" s="182" t="n"/>
      <c r="P90" s="182" t="n">
        <v>12</v>
      </c>
      <c r="Q90" s="86" t="n"/>
    </row>
    <row r="91" ht="24" customHeight="1" s="80">
      <c r="A91" s="177" t="n">
        <v>46339</v>
      </c>
      <c r="B91" t="inlineStr">
        <is>
          <t>00:30</t>
        </is>
      </c>
      <c r="C91" t="inlineStr">
        <is>
          <t>Chưa chạy</t>
        </is>
      </c>
      <c r="E91" s="180" t="n"/>
      <c r="F91" s="180" t="n"/>
      <c r="G91" s="181">
        <f>IF(OR(E91="",F91=""),"",(F91-E91)*24)</f>
        <v/>
      </c>
      <c r="H91" s="182" t="n"/>
      <c r="I91" s="182" t="n"/>
      <c r="J91" s="182" t="n"/>
      <c r="K91" s="182" t="n"/>
      <c r="L91" s="182" t="n"/>
      <c r="M91" s="182" t="n"/>
      <c r="N91" s="182" t="n"/>
      <c r="O91" s="182" t="n"/>
      <c r="P91" s="182" t="n">
        <v>12</v>
      </c>
      <c r="Q91" s="86" t="n"/>
    </row>
    <row r="92" ht="24" customHeight="1" s="80">
      <c r="A92" s="177" t="n">
        <v>46340</v>
      </c>
      <c r="B92" t="inlineStr">
        <is>
          <t>00:30</t>
        </is>
      </c>
      <c r="C92" t="inlineStr">
        <is>
          <t>Chưa chạy</t>
        </is>
      </c>
      <c r="E92" s="180" t="n"/>
      <c r="F92" s="180" t="n"/>
      <c r="G92" s="181">
        <f>IF(OR(E92="",F92=""),"",(F92-E92)*24)</f>
        <v/>
      </c>
      <c r="H92" s="182" t="n"/>
      <c r="I92" s="182" t="n"/>
      <c r="J92" s="182" t="n"/>
      <c r="K92" s="182" t="n"/>
      <c r="L92" s="182" t="n"/>
      <c r="M92" s="182" t="n"/>
      <c r="N92" s="182" t="n"/>
      <c r="O92" s="182" t="n"/>
      <c r="P92" s="182" t="n">
        <v>12</v>
      </c>
      <c r="Q92" s="86" t="n"/>
    </row>
    <row r="93" ht="24" customHeight="1" s="80">
      <c r="A93" s="177" t="n">
        <v>46341</v>
      </c>
      <c r="B93" t="inlineStr">
        <is>
          <t>00:30</t>
        </is>
      </c>
      <c r="C93" t="inlineStr">
        <is>
          <t>Chưa chạy</t>
        </is>
      </c>
      <c r="E93" s="180" t="n"/>
      <c r="F93" s="180" t="n"/>
      <c r="G93" s="181">
        <f>IF(OR(E93="",F93=""),"",(F93-E93)*24)</f>
        <v/>
      </c>
      <c r="H93" s="182" t="n"/>
      <c r="I93" s="182" t="n"/>
      <c r="J93" s="182" t="n"/>
      <c r="K93" s="182" t="n"/>
      <c r="L93" s="182" t="n"/>
      <c r="M93" s="182" t="n"/>
      <c r="N93" s="182" t="n"/>
      <c r="O93" s="182" t="n"/>
      <c r="P93" s="182" t="n">
        <v>12</v>
      </c>
      <c r="Q93" s="86" t="n"/>
    </row>
    <row r="94" ht="24" customHeight="1" s="80">
      <c r="A94" s="177" t="n">
        <v>46342</v>
      </c>
      <c r="B94" t="inlineStr">
        <is>
          <t>00:30</t>
        </is>
      </c>
      <c r="C94" t="inlineStr">
        <is>
          <t>Chưa chạy</t>
        </is>
      </c>
      <c r="E94" s="180" t="n"/>
      <c r="F94" s="180" t="n"/>
      <c r="G94" s="181">
        <f>IF(OR(E94="",F94=""),"",(F94-E94)*24)</f>
        <v/>
      </c>
      <c r="H94" s="182" t="n"/>
      <c r="I94" s="182" t="n"/>
      <c r="J94" s="182" t="n"/>
      <c r="K94" s="182" t="n"/>
      <c r="L94" s="182" t="n"/>
      <c r="M94" s="182" t="n"/>
      <c r="N94" s="182" t="n"/>
      <c r="O94" s="182" t="n"/>
      <c r="P94" s="182" t="n">
        <v>12</v>
      </c>
      <c r="Q94" s="86" t="n"/>
    </row>
    <row r="95" ht="24" customHeight="1" s="80">
      <c r="A95" s="177" t="n">
        <v>46343</v>
      </c>
      <c r="B95" t="inlineStr">
        <is>
          <t>00:30</t>
        </is>
      </c>
      <c r="C95" t="inlineStr">
        <is>
          <t>Chưa chạy</t>
        </is>
      </c>
      <c r="E95" s="180" t="n"/>
      <c r="F95" s="180" t="n"/>
      <c r="G95" s="181">
        <f>IF(OR(E95="",F95=""),"",(F95-E95)*24)</f>
        <v/>
      </c>
      <c r="H95" s="182" t="n"/>
      <c r="I95" s="182" t="n"/>
      <c r="J95" s="182" t="n"/>
      <c r="K95" s="182" t="n"/>
      <c r="L95" s="182" t="n"/>
      <c r="M95" s="182" t="n"/>
      <c r="N95" s="182" t="n"/>
      <c r="O95" s="182" t="n"/>
      <c r="P95" s="182" t="n">
        <v>12</v>
      </c>
      <c r="Q95" s="86" t="n"/>
    </row>
    <row r="96" ht="24" customHeight="1" s="80">
      <c r="A96" s="177" t="n">
        <v>46344</v>
      </c>
      <c r="B96" t="inlineStr">
        <is>
          <t>00:30</t>
        </is>
      </c>
      <c r="C96" t="inlineStr">
        <is>
          <t>Chưa chạy</t>
        </is>
      </c>
      <c r="E96" s="180" t="n"/>
      <c r="F96" s="180" t="n"/>
      <c r="G96" s="181">
        <f>IF(OR(E96="",F96=""),"",(F96-E96)*24)</f>
        <v/>
      </c>
      <c r="H96" s="182" t="n"/>
      <c r="I96" s="182" t="n"/>
      <c r="J96" s="182" t="n"/>
      <c r="K96" s="182" t="n"/>
      <c r="L96" s="182" t="n"/>
      <c r="M96" s="182" t="n"/>
      <c r="N96" s="182" t="n"/>
      <c r="O96" s="182" t="n"/>
      <c r="P96" s="182" t="n">
        <v>12</v>
      </c>
      <c r="Q96" s="86" t="n"/>
    </row>
    <row r="97" ht="24" customHeight="1" s="80">
      <c r="A97" s="177" t="n">
        <v>46345</v>
      </c>
      <c r="B97" t="inlineStr">
        <is>
          <t>00:30</t>
        </is>
      </c>
      <c r="C97" t="inlineStr">
        <is>
          <t>Chưa chạy</t>
        </is>
      </c>
      <c r="E97" s="180" t="n"/>
      <c r="F97" s="180" t="n"/>
      <c r="G97" s="181">
        <f>IF(OR(E97="",F97=""),"",(F97-E97)*24)</f>
        <v/>
      </c>
      <c r="H97" s="182" t="n"/>
      <c r="I97" s="182" t="n"/>
      <c r="J97" s="182" t="n"/>
      <c r="K97" s="182" t="n"/>
      <c r="L97" s="182" t="n"/>
      <c r="M97" s="182" t="n"/>
      <c r="N97" s="182" t="n"/>
      <c r="O97" s="182" t="n"/>
      <c r="P97" s="182" t="n">
        <v>12</v>
      </c>
      <c r="Q97" s="86" t="n"/>
    </row>
    <row r="98" ht="24" customHeight="1" s="80">
      <c r="A98" s="177" t="n">
        <v>46346</v>
      </c>
      <c r="B98" t="inlineStr">
        <is>
          <t>00:30</t>
        </is>
      </c>
      <c r="C98" t="inlineStr">
        <is>
          <t>Chưa chạy</t>
        </is>
      </c>
      <c r="E98" s="180" t="n"/>
      <c r="F98" s="180" t="n"/>
      <c r="G98" s="181">
        <f>IF(OR(E98="",F98=""),"",(F98-E98)*24)</f>
        <v/>
      </c>
      <c r="H98" s="182" t="n"/>
      <c r="I98" s="182" t="n"/>
      <c r="J98" s="182" t="n"/>
      <c r="K98" s="182" t="n"/>
      <c r="L98" s="182" t="n"/>
      <c r="M98" s="182" t="n"/>
      <c r="N98" s="182" t="n"/>
      <c r="O98" s="182" t="n"/>
      <c r="P98" s="182" t="n">
        <v>12</v>
      </c>
      <c r="Q98" s="86" t="n"/>
    </row>
    <row r="99" ht="24" customHeight="1" s="80">
      <c r="A99" s="177" t="n">
        <v>46347</v>
      </c>
      <c r="B99" t="inlineStr">
        <is>
          <t>00:30</t>
        </is>
      </c>
      <c r="C99" t="inlineStr">
        <is>
          <t>Chưa chạy</t>
        </is>
      </c>
      <c r="E99" s="180" t="n"/>
      <c r="F99" s="180" t="n"/>
      <c r="G99" s="181">
        <f>IF(OR(E99="",F99=""),"",(F99-E99)*24)</f>
        <v/>
      </c>
      <c r="H99" s="182" t="n"/>
      <c r="I99" s="182" t="n"/>
      <c r="J99" s="182" t="n"/>
      <c r="K99" s="182" t="n"/>
      <c r="L99" s="182" t="n"/>
      <c r="M99" s="182" t="n"/>
      <c r="N99" s="182" t="n"/>
      <c r="O99" s="182" t="n"/>
      <c r="P99" s="182" t="n">
        <v>12</v>
      </c>
      <c r="Q99" s="86" t="n"/>
    </row>
    <row r="100" ht="24" customHeight="1" s="80">
      <c r="A100" s="177" t="n">
        <v>46348</v>
      </c>
      <c r="B100" t="inlineStr">
        <is>
          <t>00:30</t>
        </is>
      </c>
      <c r="C100" t="inlineStr">
        <is>
          <t>Chưa chạy</t>
        </is>
      </c>
      <c r="E100" s="180" t="n"/>
      <c r="F100" s="180" t="n"/>
      <c r="G100" s="181">
        <f>IF(OR(E100="",F100=""),"",(F100-E100)*24)</f>
        <v/>
      </c>
      <c r="H100" s="182" t="n"/>
      <c r="I100" s="182" t="n"/>
      <c r="J100" s="182" t="n"/>
      <c r="K100" s="182" t="n"/>
      <c r="L100" s="182" t="n"/>
      <c r="M100" s="182" t="n"/>
      <c r="N100" s="182" t="n"/>
      <c r="O100" s="182" t="n"/>
      <c r="P100" s="182" t="n">
        <v>12</v>
      </c>
      <c r="Q100" s="86" t="n"/>
    </row>
    <row r="101" ht="24" customHeight="1" s="80">
      <c r="A101" s="177" t="n">
        <v>46349</v>
      </c>
      <c r="B101" t="inlineStr">
        <is>
          <t>00:30</t>
        </is>
      </c>
      <c r="C101" t="inlineStr">
        <is>
          <t>Chưa chạy</t>
        </is>
      </c>
      <c r="E101" s="180" t="n"/>
      <c r="F101" s="180" t="n"/>
      <c r="G101" s="181">
        <f>IF(OR(E101="",F101=""),"",(F101-E101)*24)</f>
        <v/>
      </c>
      <c r="H101" s="182" t="n"/>
      <c r="I101" s="182" t="n"/>
      <c r="J101" s="182" t="n"/>
      <c r="K101" s="182" t="n"/>
      <c r="L101" s="182" t="n"/>
      <c r="M101" s="182" t="n"/>
      <c r="N101" s="182" t="n"/>
      <c r="O101" s="182" t="n"/>
      <c r="P101" s="182" t="n">
        <v>12</v>
      </c>
      <c r="Q101" s="86" t="n"/>
    </row>
    <row r="102" ht="24" customHeight="1" s="80">
      <c r="A102" s="177" t="n">
        <v>46350</v>
      </c>
      <c r="B102" t="inlineStr">
        <is>
          <t>00:30</t>
        </is>
      </c>
      <c r="C102" t="inlineStr">
        <is>
          <t>Chưa chạy</t>
        </is>
      </c>
      <c r="E102" s="180" t="n"/>
      <c r="F102" s="180" t="n"/>
      <c r="G102" s="181">
        <f>IF(OR(E102="",F102=""),"",(F102-E102)*24)</f>
        <v/>
      </c>
      <c r="H102" s="182" t="n"/>
      <c r="I102" s="182" t="n"/>
      <c r="J102" s="182" t="n"/>
      <c r="K102" s="182" t="n"/>
      <c r="L102" s="182" t="n"/>
      <c r="M102" s="182" t="n"/>
      <c r="N102" s="182" t="n"/>
      <c r="O102" s="182" t="n"/>
      <c r="P102" s="182" t="n">
        <v>12</v>
      </c>
      <c r="Q102" s="86" t="n"/>
    </row>
    <row r="103" ht="24" customHeight="1" s="80">
      <c r="A103" s="177" t="n">
        <v>46351</v>
      </c>
      <c r="B103" t="inlineStr">
        <is>
          <t>00:30</t>
        </is>
      </c>
      <c r="C103" t="inlineStr">
        <is>
          <t>Chưa chạy</t>
        </is>
      </c>
      <c r="E103" s="180" t="n"/>
      <c r="F103" s="180" t="n"/>
      <c r="G103" s="181">
        <f>IF(OR(E103="",F103=""),"",(F103-E103)*24)</f>
        <v/>
      </c>
      <c r="H103" s="182" t="n"/>
      <c r="I103" s="182" t="n"/>
      <c r="J103" s="182" t="n"/>
      <c r="K103" s="182" t="n"/>
      <c r="L103" s="182" t="n"/>
      <c r="M103" s="182" t="n"/>
      <c r="N103" s="182" t="n"/>
      <c r="O103" s="182" t="n"/>
      <c r="P103" s="182" t="n">
        <v>12</v>
      </c>
      <c r="Q103" s="86" t="n"/>
    </row>
    <row r="104" ht="24" customHeight="1" s="80">
      <c r="A104" s="177" t="n">
        <v>46352</v>
      </c>
      <c r="B104" t="inlineStr">
        <is>
          <t>00:30</t>
        </is>
      </c>
      <c r="C104" t="inlineStr">
        <is>
          <t>Chưa chạy</t>
        </is>
      </c>
      <c r="E104" s="180" t="n"/>
      <c r="F104" s="180" t="n"/>
      <c r="G104" s="181">
        <f>IF(OR(E104="",F104=""),"",(F104-E104)*24)</f>
        <v/>
      </c>
      <c r="H104" s="182" t="n"/>
      <c r="I104" s="182" t="n"/>
      <c r="J104" s="182" t="n"/>
      <c r="K104" s="182" t="n"/>
      <c r="L104" s="182" t="n"/>
      <c r="M104" s="182" t="n"/>
      <c r="N104" s="182" t="n"/>
      <c r="O104" s="182" t="n"/>
      <c r="P104" s="182" t="n">
        <v>12</v>
      </c>
      <c r="Q104" s="86" t="n"/>
    </row>
    <row r="105" ht="24" customHeight="1" s="80">
      <c r="A105" s="177" t="n">
        <v>46353</v>
      </c>
      <c r="B105" t="inlineStr">
        <is>
          <t>00:30</t>
        </is>
      </c>
      <c r="C105" t="inlineStr">
        <is>
          <t>Chưa chạy</t>
        </is>
      </c>
      <c r="E105" s="180" t="n"/>
      <c r="F105" s="180" t="n"/>
      <c r="G105" s="181">
        <f>IF(OR(E105="",F105=""),"",(F105-E105)*24)</f>
        <v/>
      </c>
      <c r="H105" s="182" t="n"/>
      <c r="I105" s="182" t="n"/>
      <c r="J105" s="182" t="n"/>
      <c r="K105" s="182" t="n"/>
      <c r="L105" s="182" t="n"/>
      <c r="M105" s="182" t="n"/>
      <c r="N105" s="182" t="n"/>
      <c r="O105" s="182" t="n"/>
      <c r="P105" s="182" t="n">
        <v>12</v>
      </c>
      <c r="Q105" s="86" t="n"/>
    </row>
    <row r="106" ht="24" customHeight="1" s="80">
      <c r="A106" s="177" t="n">
        <v>46354</v>
      </c>
      <c r="B106" t="inlineStr">
        <is>
          <t>00:30</t>
        </is>
      </c>
      <c r="C106" t="inlineStr">
        <is>
          <t>Chưa chạy</t>
        </is>
      </c>
      <c r="E106" s="180" t="n"/>
      <c r="F106" s="180" t="n"/>
      <c r="G106" s="181">
        <f>IF(OR(E106="",F106=""),"",(F106-E106)*24)</f>
        <v/>
      </c>
      <c r="H106" s="182" t="n"/>
      <c r="I106" s="182" t="n"/>
      <c r="J106" s="182" t="n"/>
      <c r="K106" s="182" t="n"/>
      <c r="L106" s="182" t="n"/>
      <c r="M106" s="182" t="n"/>
      <c r="N106" s="182" t="n"/>
      <c r="O106" s="182" t="n"/>
      <c r="P106" s="182" t="n">
        <v>12</v>
      </c>
      <c r="Q106" s="86" t="n"/>
    </row>
    <row r="107">
      <c r="A107" s="177" t="n">
        <v>46355</v>
      </c>
      <c r="B107" t="inlineStr">
        <is>
          <t>00:30</t>
        </is>
      </c>
      <c r="C107" t="inlineStr">
        <is>
          <t>Chưa chạy</t>
        </is>
      </c>
      <c r="E107" s="180" t="n"/>
      <c r="F107" s="180" t="n"/>
      <c r="G107" s="181">
        <f>IF(OR(E107="",F107=""),"",(F107-E107)*24)</f>
        <v/>
      </c>
      <c r="H107" s="182" t="n"/>
      <c r="I107" s="182" t="n"/>
      <c r="J107" s="182" t="n"/>
      <c r="K107" s="182" t="n"/>
      <c r="L107" s="182" t="n"/>
      <c r="M107" s="182" t="n"/>
      <c r="N107" s="182" t="n"/>
      <c r="O107" s="182" t="n"/>
      <c r="P107" s="182" t="n">
        <v>12</v>
      </c>
      <c r="Q107" s="86" t="n"/>
    </row>
    <row r="108">
      <c r="A108" s="177" t="n">
        <v>46356</v>
      </c>
      <c r="B108" t="inlineStr">
        <is>
          <t>00:30</t>
        </is>
      </c>
      <c r="C108" t="inlineStr">
        <is>
          <t>Chưa chạy</t>
        </is>
      </c>
      <c r="E108" s="180" t="n"/>
      <c r="F108" s="180" t="n"/>
      <c r="G108" s="181">
        <f>IF(OR(E108="",F108=""),"",(F108-E108)*24)</f>
        <v/>
      </c>
      <c r="H108" s="182" t="n"/>
      <c r="I108" s="182" t="n"/>
      <c r="J108" s="182" t="n"/>
      <c r="K108" s="182" t="n"/>
      <c r="L108" s="182" t="n"/>
      <c r="M108" s="182" t="n"/>
      <c r="N108" s="182" t="n"/>
      <c r="O108" s="182" t="n"/>
      <c r="P108" s="182" t="n">
        <v>12</v>
      </c>
      <c r="Q108" s="86" t="n"/>
    </row>
  </sheetData>
  <mergeCells count="2">
    <mergeCell ref="A2:Q2"/>
    <mergeCell ref="A1:Q1"/>
  </mergeCells>
  <conditionalFormatting sqref="C4:C106">
    <cfRule type="containsText" priority="1" operator="containsText" dxfId="0" text="Hoàn thành"/>
    <cfRule type="containsText" priority="2" operator="containsText" dxfId="1" text="Đang chạy"/>
    <cfRule type="containsText" priority="3" operator="containsText" dxfId="2" text="Thất bại"/>
  </conditionalFormatting>
  <dataValidations count="2">
    <dataValidation sqref="C4:C106" showDropDown="0" showInputMessage="0" showErrorMessage="0" allowBlank="0" type="list">
      <formula1>"Chưa chạy,Đang chạy,Hoàn thành,Hoàn thành có lỗi,Thất bại,Bỏ qua"</formula1>
    </dataValidation>
    <dataValidation sqref="C4:C108" showDropDown="0" showInputMessage="0" showErrorMessage="0" allowBlank="0" type="list">
      <formula1>"Chưa chạy,Đang chạy,Hoàn thành,Hoàn thành có lỗi,Thất bại"</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9" customWidth="1" style="80" min="1" max="1"/>
    <col width="11" customWidth="1" style="80" min="2" max="2"/>
    <col width="16" customWidth="1" style="80" min="3" max="3"/>
    <col width="15" customWidth="1" style="80" min="4" max="4"/>
    <col width="29" customWidth="1" style="80" min="5" max="5"/>
    <col width="30" customWidth="1" style="80" min="6" max="6"/>
    <col width="21" customWidth="1" style="80" min="7" max="7"/>
    <col width="38" customWidth="1" style="80" min="8" max="8"/>
  </cols>
  <sheetData>
    <row r="1" ht="28" customHeight="1" s="80">
      <c r="A1" s="143" t="inlineStr">
        <is>
          <t>QUY TẮC CỐ ĐỊNH CHO 12 SLOT CHECK-IN</t>
        </is>
      </c>
    </row>
    <row r="3" ht="30" customHeight="1" s="80">
      <c r="A3" s="148" t="inlineStr">
        <is>
          <t>Slot</t>
        </is>
      </c>
      <c r="B3" s="148" t="inlineStr">
        <is>
          <t>Nhóm</t>
        </is>
      </c>
      <c r="C3" s="148" t="inlineStr">
        <is>
          <t>Mốc đầu tiên</t>
        </is>
      </c>
      <c r="D3" s="148" t="inlineStr">
        <is>
          <t>Chu kỳ thay</t>
        </is>
      </c>
      <c r="E3" s="148" t="inlineStr">
        <is>
          <t>Vai trò</t>
        </is>
      </c>
      <c r="F3" s="148" t="inlineStr">
        <is>
          <t>Điều kiện đổi</t>
        </is>
      </c>
      <c r="G3" s="148" t="inlineStr">
        <is>
          <t>Checkout</t>
        </is>
      </c>
      <c r="H3" s="148" t="inlineStr">
        <is>
          <t>Ghi chú</t>
        </is>
      </c>
    </row>
    <row r="4" ht="38" customHeight="1" s="80">
      <c r="A4" s="164" t="inlineStr">
        <is>
          <t>N1</t>
        </is>
      </c>
      <c r="B4" s="164" t="inlineStr">
        <is>
          <t>Gần</t>
        </is>
      </c>
      <c r="C4" s="183" t="n">
        <v>46254</v>
      </c>
      <c r="D4" s="164" t="inlineStr">
        <is>
          <t>28 ngày</t>
        </is>
      </c>
      <c r="E4" s="164" t="inlineStr">
        <is>
          <t>Rất gần — ngày thường</t>
        </is>
      </c>
      <c r="F4" s="164" t="inlineStr">
        <is>
          <t>Khi check-in &lt; crawl date</t>
        </is>
      </c>
      <c r="G4" s="164" t="inlineStr">
        <is>
          <t>Check-in + 1 ngày</t>
        </is>
      </c>
      <c r="H4" s="164" t="inlineStr">
        <is>
          <t>Giữ cả ngày nhận phòng (lead time 0), roll từ hôm sau</t>
        </is>
      </c>
    </row>
    <row r="5" ht="38" customHeight="1" s="80">
      <c r="A5" s="164" t="inlineStr">
        <is>
          <t>N2</t>
        </is>
      </c>
      <c r="B5" s="164" t="inlineStr">
        <is>
          <t>Gần</t>
        </is>
      </c>
      <c r="C5" s="183" t="n">
        <v>46256</v>
      </c>
      <c r="D5" s="164" t="inlineStr">
        <is>
          <t>28 ngày</t>
        </is>
      </c>
      <c r="E5" s="164" t="inlineStr">
        <is>
          <t>Rất gần — cuối tuần</t>
        </is>
      </c>
      <c r="F5" s="164" t="inlineStr">
        <is>
          <t>Khi check-in &lt; crawl date</t>
        </is>
      </c>
      <c r="G5" s="164" t="inlineStr">
        <is>
          <t>Check-in + 1 ngày</t>
        </is>
      </c>
      <c r="H5" s="164" t="inlineStr">
        <is>
          <t>Giữ cả ngày nhận phòng (lead time 0), roll từ hôm sau</t>
        </is>
      </c>
    </row>
    <row r="6" ht="38" customHeight="1" s="80">
      <c r="A6" s="164" t="inlineStr">
        <is>
          <t>N3</t>
        </is>
      </c>
      <c r="B6" s="164" t="inlineStr">
        <is>
          <t>Gần</t>
        </is>
      </c>
      <c r="C6" s="183" t="n">
        <v>46259</v>
      </c>
      <c r="D6" s="164" t="inlineStr">
        <is>
          <t>28 ngày</t>
        </is>
      </c>
      <c r="E6" s="164" t="inlineStr">
        <is>
          <t>Gần — ngày thường</t>
        </is>
      </c>
      <c r="F6" s="164" t="inlineStr">
        <is>
          <t>Khi check-in &lt; crawl date</t>
        </is>
      </c>
      <c r="G6" s="164" t="inlineStr">
        <is>
          <t>Check-in + 1 ngày</t>
        </is>
      </c>
      <c r="H6" s="164" t="inlineStr">
        <is>
          <t>Giữ cả ngày nhận phòng (lead time 0), roll từ hôm sau</t>
        </is>
      </c>
    </row>
    <row r="7" ht="38" customHeight="1" s="80">
      <c r="A7" s="164" t="inlineStr">
        <is>
          <t>N4</t>
        </is>
      </c>
      <c r="B7" s="164" t="inlineStr">
        <is>
          <t>Gần</t>
        </is>
      </c>
      <c r="C7" s="183" t="n">
        <v>46263</v>
      </c>
      <c r="D7" s="164" t="inlineStr">
        <is>
          <t>28 ngày</t>
        </is>
      </c>
      <c r="E7" s="164" t="inlineStr">
        <is>
          <t>Gần — cuối tuần</t>
        </is>
      </c>
      <c r="F7" s="164" t="inlineStr">
        <is>
          <t>Khi check-in &lt; crawl date</t>
        </is>
      </c>
      <c r="G7" s="164" t="inlineStr">
        <is>
          <t>Check-in + 1 ngày</t>
        </is>
      </c>
      <c r="H7" s="164" t="inlineStr">
        <is>
          <t>Giữ cả ngày nhận phòng (lead time 0), roll từ hôm sau</t>
        </is>
      </c>
    </row>
    <row r="8" ht="38" customHeight="1" s="80">
      <c r="A8" s="164" t="inlineStr">
        <is>
          <t>N5</t>
        </is>
      </c>
      <c r="B8" s="164" t="inlineStr">
        <is>
          <t>Gần</t>
        </is>
      </c>
      <c r="C8" s="183" t="n">
        <v>46267</v>
      </c>
      <c r="D8" s="164" t="inlineStr">
        <is>
          <t>28 ngày</t>
        </is>
      </c>
      <c r="E8" s="164" t="inlineStr">
        <is>
          <t>Gần — lễ/đối chứng</t>
        </is>
      </c>
      <c r="F8" s="164" t="inlineStr">
        <is>
          <t>Khi check-in &lt; crawl date</t>
        </is>
      </c>
      <c r="G8" s="164" t="inlineStr">
        <is>
          <t>Check-in + 1 ngày</t>
        </is>
      </c>
      <c r="H8" s="164" t="inlineStr">
        <is>
          <t>Giữ cả ngày nhận phòng (lead time 0), roll từ hôm sau</t>
        </is>
      </c>
    </row>
    <row r="9" ht="38" customHeight="1" s="80">
      <c r="A9" s="164" t="inlineStr">
        <is>
          <t>N6</t>
        </is>
      </c>
      <c r="B9" s="164" t="inlineStr">
        <is>
          <t>Gần</t>
        </is>
      </c>
      <c r="C9" s="183" t="n">
        <v>46271</v>
      </c>
      <c r="D9" s="164" t="inlineStr">
        <is>
          <t>28 ngày</t>
        </is>
      </c>
      <c r="E9" s="164" t="inlineStr">
        <is>
          <t>Gần — cuối tuần</t>
        </is>
      </c>
      <c r="F9" s="164" t="inlineStr">
        <is>
          <t>Khi check-in &lt; crawl date</t>
        </is>
      </c>
      <c r="G9" s="164" t="inlineStr">
        <is>
          <t>Check-in + 1 ngày</t>
        </is>
      </c>
      <c r="H9" s="164" t="inlineStr">
        <is>
          <t>Giữ cả ngày nhận phòng (lead time 0), roll từ hôm sau</t>
        </is>
      </c>
    </row>
    <row r="10" ht="38" customHeight="1" s="80">
      <c r="A10" s="164" t="inlineStr">
        <is>
          <t>N7</t>
        </is>
      </c>
      <c r="B10" s="164" t="inlineStr">
        <is>
          <t>Gần</t>
        </is>
      </c>
      <c r="C10" s="183" t="n">
        <v>46274</v>
      </c>
      <c r="D10" s="164" t="inlineStr">
        <is>
          <t>28 ngày</t>
        </is>
      </c>
      <c r="E10" s="164" t="inlineStr">
        <is>
          <t>Gần — ngày thường</t>
        </is>
      </c>
      <c r="F10" s="164" t="inlineStr">
        <is>
          <t>Khi check-in &lt; crawl date</t>
        </is>
      </c>
      <c r="G10" s="164" t="inlineStr">
        <is>
          <t>Check-in + 1 ngày</t>
        </is>
      </c>
      <c r="H10" s="164" t="inlineStr">
        <is>
          <t>Giữ cả ngày nhận phòng (lead time 0), roll từ hôm sau</t>
        </is>
      </c>
    </row>
    <row r="11" ht="38" customHeight="1" s="80">
      <c r="A11" s="164" t="inlineStr">
        <is>
          <t>N8</t>
        </is>
      </c>
      <c r="B11" s="164" t="inlineStr">
        <is>
          <t>Gần</t>
        </is>
      </c>
      <c r="C11" s="183" t="n">
        <v>46277</v>
      </c>
      <c r="D11" s="164" t="inlineStr">
        <is>
          <t>28 ngày</t>
        </is>
      </c>
      <c r="E11" s="164" t="inlineStr">
        <is>
          <t>Gần — cuối tuần</t>
        </is>
      </c>
      <c r="F11" s="164" t="inlineStr">
        <is>
          <t>Khi check-in &lt; crawl date</t>
        </is>
      </c>
      <c r="G11" s="164" t="inlineStr">
        <is>
          <t>Check-in + 1 ngày</t>
        </is>
      </c>
      <c r="H11" s="164" t="inlineStr">
        <is>
          <t>Giữ cả ngày nhận phòng (lead time 0), roll từ hôm sau</t>
        </is>
      </c>
    </row>
    <row r="12" ht="38" customHeight="1" s="80">
      <c r="A12" s="164" t="inlineStr">
        <is>
          <t>N9</t>
        </is>
      </c>
      <c r="B12" s="164" t="inlineStr">
        <is>
          <t>Gần</t>
        </is>
      </c>
      <c r="C12" s="183" t="n">
        <v>46279</v>
      </c>
      <c r="D12" s="164" t="inlineStr">
        <is>
          <t>28 ngày</t>
        </is>
      </c>
      <c r="E12" s="164" t="inlineStr">
        <is>
          <t>Gần — ngày thường</t>
        </is>
      </c>
      <c r="F12" s="164" t="inlineStr">
        <is>
          <t>Khi check-in &lt; crawl date</t>
        </is>
      </c>
      <c r="G12" s="164" t="inlineStr">
        <is>
          <t>Check-in + 1 ngày</t>
        </is>
      </c>
      <c r="H12" s="164" t="inlineStr">
        <is>
          <t>Giữ cả ngày nhận phòng (lead time 0), roll từ hôm sau</t>
        </is>
      </c>
    </row>
    <row r="13">
      <c r="A13" s="166" t="inlineStr">
        <is>
          <t>F1</t>
        </is>
      </c>
      <c r="B13" s="166" t="inlineStr">
        <is>
          <t>Xa</t>
        </is>
      </c>
      <c r="C13" s="184" t="n">
        <v>46306</v>
      </c>
      <c r="D13" s="166" t="inlineStr">
        <is>
          <t>56 ngày</t>
        </is>
      </c>
      <c r="E13" s="166" t="inlineStr">
        <is>
          <t>Xa gần — cuối tuần</t>
        </is>
      </c>
      <c r="F13" s="166" t="inlineStr">
        <is>
          <t>Khi check-in &lt; crawl date</t>
        </is>
      </c>
      <c r="G13" s="166" t="inlineStr">
        <is>
          <t>Check-in + 1 ngày</t>
        </is>
      </c>
      <c r="H13" s="166" t="inlineStr">
        <is>
          <t>Giữ cả ngày nhận phòng; anchor xa tạo chuỗi quan sát dài</t>
        </is>
      </c>
    </row>
    <row r="14">
      <c r="A14" s="166" t="inlineStr">
        <is>
          <t>F2</t>
        </is>
      </c>
      <c r="B14" s="166" t="inlineStr">
        <is>
          <t>Xa</t>
        </is>
      </c>
      <c r="C14" s="184" t="n">
        <v>46344</v>
      </c>
      <c r="D14" s="166" t="inlineStr">
        <is>
          <t>84 ngày</t>
        </is>
      </c>
      <c r="E14" s="166" t="inlineStr">
        <is>
          <t>Xa trung bình — ngày thường</t>
        </is>
      </c>
      <c r="F14" s="166" t="inlineStr">
        <is>
          <t>Khi check-in &lt; crawl date</t>
        </is>
      </c>
      <c r="G14" s="166" t="inlineStr">
        <is>
          <t>Check-in + 1 ngày</t>
        </is>
      </c>
      <c r="H14" s="166" t="inlineStr">
        <is>
          <t>Giữ cả ngày nhận phòng; anchor xa tạo chuỗi quan sát dài</t>
        </is>
      </c>
    </row>
    <row r="15">
      <c r="A15" s="166" t="inlineStr">
        <is>
          <t>F3</t>
        </is>
      </c>
      <c r="B15" s="166" t="inlineStr">
        <is>
          <t>Xa</t>
        </is>
      </c>
      <c r="C15" s="184" t="n">
        <v>46388</v>
      </c>
      <c r="D15" s="166" t="inlineStr">
        <is>
          <t>168 ngày</t>
        </is>
      </c>
      <c r="E15" s="166" t="inlineStr">
        <is>
          <t>Xa dài — ngày lễ</t>
        </is>
      </c>
      <c r="F15" s="166" t="inlineStr">
        <is>
          <t>Khi check-in &lt; crawl date</t>
        </is>
      </c>
      <c r="G15" s="166" t="inlineStr">
        <is>
          <t>Check-in + 1 ngày</t>
        </is>
      </c>
      <c r="H15" s="166" t="inlineStr">
        <is>
          <t>Giữ cả ngày nhận phòng; anchor xa tạo chuỗi quan sát dài</t>
        </is>
      </c>
    </row>
  </sheetData>
  <mergeCells count="1">
    <mergeCell ref="A1:H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31" customWidth="1" style="80" min="1" max="1"/>
    <col width="86" customWidth="1" style="80" min="2" max="2"/>
    <col width="22" customWidth="1" style="80" min="3" max="3"/>
    <col width="22" customWidth="1" style="80" min="4" max="4"/>
    <col width="22" customWidth="1" style="80" min="5" max="5"/>
    <col width="22" customWidth="1" style="80" min="6" max="6"/>
  </cols>
  <sheetData>
    <row r="1" ht="28" customHeight="1" s="80">
      <c r="A1" s="143" t="inlineStr">
        <is>
          <t>CẤU HÌNH AUTOMATION CỐ ĐỊNH</t>
        </is>
      </c>
    </row>
    <row r="3" ht="30" customHeight="1" s="80">
      <c r="A3" s="148" t="inlineStr">
        <is>
          <t>Setting</t>
        </is>
      </c>
      <c r="B3" s="148" t="inlineStr">
        <is>
          <t>Value</t>
        </is>
      </c>
    </row>
    <row r="4">
      <c r="A4" s="150" t="inlineStr">
        <is>
          <t>Schedule</t>
        </is>
      </c>
      <c r="B4" t="inlineStr">
        <is>
          <t>Mỗi ngày lúc 00:30</t>
        </is>
      </c>
    </row>
    <row r="5">
      <c r="A5" s="150" t="inlineStr">
        <is>
          <t>Timezone</t>
        </is>
      </c>
      <c r="B5" t="inlineStr">
        <is>
          <t>Asia/Ho_Chi_Minh</t>
        </is>
      </c>
    </row>
    <row r="6">
      <c r="A6" s="150" t="inlineStr">
        <is>
          <t>Active from</t>
        </is>
      </c>
      <c r="B6" s="177" t="n">
        <v>46252</v>
      </c>
    </row>
    <row r="7">
      <c r="A7" s="150" t="inlineStr">
        <is>
          <t>Active through</t>
        </is>
      </c>
      <c r="B7" s="177" t="n">
        <v>46356</v>
      </c>
    </row>
    <row r="8">
      <c r="A8" s="150" t="inlineStr">
        <is>
          <t>Project root</t>
        </is>
      </c>
      <c r="B8" t="inlineStr">
        <is>
          <t>D:/MSE/CAPSTONE/hotel-price-intelligence</t>
        </is>
      </c>
    </row>
    <row r="9">
      <c r="A9" s="150" t="inlineStr">
        <is>
          <t>Hotel source</t>
        </is>
      </c>
      <c r="B9" t="inlineStr">
        <is>
          <t>D:/MSE/CAPSTONE/link_hotel_data_expanded.xlsx</t>
        </is>
      </c>
    </row>
    <row r="10">
      <c r="A10" s="150" t="inlineStr">
        <is>
          <t>Calendar workbook</t>
        </is>
      </c>
      <c r="B10" t="inlineStr">
        <is>
          <t>D:/MSE/CAPSTONE/outputs/crawl-data-planner-20260816/crawl_sampling_master.xlsx</t>
        </is>
      </c>
    </row>
    <row r="11">
      <c r="A11" s="150" t="inlineStr">
        <is>
          <t>Runner</t>
        </is>
      </c>
      <c r="B11" t="inlineStr">
        <is>
          <t>backend/scripts/run_scheduled_calendar.py</t>
        </is>
      </c>
    </row>
    <row r="12">
      <c r="A12" s="150" t="inlineStr">
        <is>
          <t>Plan sheet</t>
        </is>
      </c>
      <c r="B12" t="inlineStr">
        <is>
          <t>DAILY_CRAWL_PLAN</t>
        </is>
      </c>
    </row>
    <row r="13">
      <c r="A13" s="150" t="inlineStr">
        <is>
          <t>Log sheet</t>
        </is>
      </c>
      <c r="B13" t="inlineStr">
        <is>
          <t>CRAWL_LOG</t>
        </is>
      </c>
    </row>
    <row r="14">
      <c r="A14" s="150" t="inlineStr">
        <is>
          <t>Save screenshots/HTML</t>
        </is>
      </c>
      <c r="B14" t="b">
        <v>0</v>
      </c>
    </row>
    <row r="15">
      <c r="A15" s="145" t="inlineStr">
        <is>
          <t>Runbook của recurring automation</t>
        </is>
      </c>
    </row>
    <row r="16" ht="220" customHeight="1" s="80">
      <c r="A16" s="170" t="inlineStr">
        <is>
          <t>Mỗi ngày lúc 00:30 theo múi giờ Asia/Ho_Chi_Minh, thực hiện đúng một daily crawl cho project CAPSTONE.
1. Lấy ngày hiện tại theo Asia/Ho_Chi_Minh. Nếu ngoài 18/08/2026–30/11/2026 thì không tạo crawl; sau 30/11/2026 dừng automation.
2. Kiểm tra crawl_sampling_master.xlsx và link_hotel_data_expanded.xlsx đều tồn tại; không sao chép danh sách khách sạn vào workbook lịch.
3. Đọc đúng dòng hôm nay trong CRAWL_LOG. Nếu Status là Hoàn thành, Hoàn thành có lỗi hoặc Đang chạy thì thoát để tránh tạo job trùng.
4. Dùng Python backend chạy backend/scripts/run_scheduled_calendar.py với calendar và hotel-file ở trên. Khởi chạy bằng Windows PowerShell Hidden.
5. Runner đọc chính xác N1–N9 và F1–F3, xác minh 12 ngày khác nhau và không ngày nào ở quá khứ; lead time 0 hợp lệ. Không tự chọn hoặc đổi lịch.
6. Runner tự kiểm tra MySQL, khởi động worker nếu thiếu, tạo durable run với trigger_type=scheduled và save_artifacts=false, rồi cập nhật đúng một dòng CRAWL_LOG.
7. Background process theo dõi worker tới terminal state; automation Codex chỉ cần xác nhận process đã khởi động, không giữ turn mở nhiều giờ.
8. Không chụp ảnh, không lưu HTML.gz, không sửa lịch ngày khác và không xóa dữ liệu.</t>
        </is>
      </c>
    </row>
  </sheetData>
  <mergeCells count="3">
    <mergeCell ref="A16:B16"/>
    <mergeCell ref="A1:B1"/>
    <mergeCell ref="A15:B15"/>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9" customWidth="1" style="80" min="1" max="1"/>
    <col width="20" customWidth="1" style="80" min="2" max="2"/>
    <col width="40" customWidth="1" style="80" min="3" max="3"/>
    <col width="30" customWidth="1" style="80" min="4" max="4"/>
    <col width="30" customWidth="1" style="80" min="5" max="5"/>
    <col width="45" customWidth="1" style="80" min="6" max="6"/>
  </cols>
  <sheetData>
    <row r="1" ht="28" customHeight="1" s="80">
      <c r="A1" s="143" t="inlineStr">
        <is>
          <t>CÁCH WORKBOOK VẬN HÀNH</t>
        </is>
      </c>
    </row>
    <row r="3" ht="30" customHeight="1" s="80">
      <c r="A3" s="148" t="inlineStr">
        <is>
          <t>Bước</t>
        </is>
      </c>
      <c r="B3" s="148" t="inlineStr">
        <is>
          <t>Thời điểm</t>
        </is>
      </c>
      <c r="C3" s="148" t="inlineStr">
        <is>
          <t>Automation làm gì</t>
        </is>
      </c>
      <c r="D3" s="148" t="inlineStr">
        <is>
          <t>Đọc từ</t>
        </is>
      </c>
      <c r="E3" s="148" t="inlineStr">
        <is>
          <t>Ghi vào</t>
        </is>
      </c>
      <c r="F3" s="148" t="inlineStr">
        <is>
          <t>Lưu ý</t>
        </is>
      </c>
    </row>
    <row r="4" ht="48" customHeight="1" s="80">
      <c r="A4" s="136" t="n">
        <v>1</v>
      </c>
      <c r="B4" s="86" t="inlineStr">
        <is>
          <t>00:30 mỗi ngày</t>
        </is>
      </c>
      <c r="C4" s="86" t="inlineStr">
        <is>
          <t>Xác định ngày Asia/Ho_Chi_Minh</t>
        </is>
      </c>
      <c r="D4" s="86" t="inlineStr">
        <is>
          <t>Ngày hệ thống</t>
        </is>
      </c>
      <c r="E4" s="86" t="inlineStr">
        <is>
          <t>—</t>
        </is>
      </c>
      <c r="F4" s="86" t="inlineStr">
        <is>
          <t>Chạy từ 18/08 đến hết 30/11/2026</t>
        </is>
      </c>
    </row>
    <row r="5" ht="48" customHeight="1" s="80">
      <c r="A5" s="136" t="n">
        <v>2</v>
      </c>
      <c r="B5" s="86" t="inlineStr">
        <is>
          <t>Ngay sau đó</t>
        </is>
      </c>
      <c r="C5" s="86" t="inlineStr">
        <is>
          <t>Tìm đúng một dòng lịch hôm nay</t>
        </is>
      </c>
      <c r="D5" s="86" t="inlineStr">
        <is>
          <t>DAILY_CRAWL_PLAN</t>
        </is>
      </c>
      <c r="E5" s="86" t="inlineStr">
        <is>
          <t>—</t>
        </is>
      </c>
      <c r="F5" s="86" t="inlineStr">
        <is>
          <t>Đọc 9 ngày gần và 3 ngày xa</t>
        </is>
      </c>
    </row>
    <row r="6" ht="48" customHeight="1" s="80">
      <c r="A6" s="136" t="n">
        <v>3</v>
      </c>
      <c r="B6" s="86" t="inlineStr">
        <is>
          <t>Trước khi tạo job</t>
        </is>
      </c>
      <c r="C6" s="86" t="inlineStr">
        <is>
          <t>Kiểm tra status chống tạo trùng</t>
        </is>
      </c>
      <c r="D6" s="86" t="inlineStr">
        <is>
          <t>CRAWL_LOG</t>
        </is>
      </c>
      <c r="E6" s="86" t="inlineStr">
        <is>
          <t>CRAWL_LOG</t>
        </is>
      </c>
      <c r="F6" s="86" t="inlineStr">
        <is>
          <t>Ngày đã hoàn thành/đang chạy thì thoát</t>
        </is>
      </c>
    </row>
    <row r="7" ht="48" customHeight="1" s="80">
      <c r="A7" s="136" t="n">
        <v>4</v>
      </c>
      <c r="B7" s="86" t="inlineStr">
        <is>
          <t>Khi tạo job</t>
        </is>
      </c>
      <c r="C7" s="86" t="inlineStr">
        <is>
          <t>Khởi chạy background calendar runner</t>
        </is>
      </c>
      <c r="D7" s="86" t="inlineStr">
        <is>
          <t>link_hotel_data_expanded.xlsx</t>
        </is>
      </c>
      <c r="E7" s="86" t="inlineStr">
        <is>
          <t>MySQL + Run IDs</t>
        </is>
      </c>
      <c r="F7" s="86" t="inlineStr">
        <is>
          <t>trigger_type=scheduled; save_artifacts=false</t>
        </is>
      </c>
    </row>
    <row r="8" ht="48" customHeight="1" s="80">
      <c r="A8" s="136" t="n">
        <v>5</v>
      </c>
      <c r="B8" s="86" t="inlineStr">
        <is>
          <t>Trong khi chạy</t>
        </is>
      </c>
      <c r="C8" s="86" t="inlineStr">
        <is>
          <t>Theo dõi toàn bộ daily crawl</t>
        </is>
      </c>
      <c r="D8" s="86" t="inlineStr">
        <is>
          <t>Backend/MySQL</t>
        </is>
      </c>
      <c r="E8" s="86" t="inlineStr">
        <is>
          <t>Cùng một dòng CRAWL_LOG</t>
        </is>
      </c>
      <c r="F8" s="86" t="inlineStr">
        <is>
          <t>Không thêm dòng theo run</t>
        </is>
      </c>
    </row>
    <row r="9" ht="48" customHeight="1" s="80">
      <c r="A9" s="136" t="n">
        <v>6</v>
      </c>
      <c r="B9" s="86" t="inlineStr">
        <is>
          <t>Khi kết thúc</t>
        </is>
      </c>
      <c r="C9" s="86" t="inlineStr">
        <is>
          <t>Ghi tổng kết và đánh dấu hoàn thành</t>
        </is>
      </c>
      <c r="D9" s="86" t="inlineStr">
        <is>
          <t>Run terminal counts</t>
        </is>
      </c>
      <c r="E9" s="86" t="inlineStr">
        <is>
          <t>Cùng dòng ngày crawl</t>
        </is>
      </c>
      <c r="F9" s="86" t="inlineStr">
        <is>
          <t>Có lỗi thì Hoàn thành có lỗi</t>
        </is>
      </c>
    </row>
    <row r="11" ht="30" customHeight="1" s="80">
      <c r="A11" s="173" t="inlineStr">
        <is>
          <t>Quan trọng: nên đóng workbook Excel trước 00:30 để automation có thể ghi trạng thái sau khi crawl.</t>
        </is>
      </c>
    </row>
  </sheetData>
  <mergeCells count="2">
    <mergeCell ref="A11:F11"/>
    <mergeCell ref="A1:F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2026-10-08T17:30:00Z</dcterms:created>
  <dcterms:modified xmlns:dcterms="http://purl.org/dc/terms/" xmlns:xsi="http://www.w3.org/2001/XMLSchema-instance" xsi:type="dcterms:W3CDTF">2026-10-12T17:28:02Z</dcterms:modified>
</cp:coreProperties>
</file>