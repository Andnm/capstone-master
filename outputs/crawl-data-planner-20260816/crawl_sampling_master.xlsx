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7b2cee3fd44247" /></Relationships>
</file>

<file path=xl/workbook.xml><?xml version="1.0" encoding="utf-8"?>
<x:workbook xmlns:x="http://schemas.openxmlformats.org/spreadsheetml/2006/main">
  <x:sheets>
    <x:sheet xmlns:r="http://schemas.openxmlformats.org/officeDocument/2006/relationships" name="SUMMARY" sheetId="1" r:id="R2a20f4ef355a43b7"/>
    <x:sheet xmlns:r="http://schemas.openxmlformats.org/officeDocument/2006/relationships" name="DAILY_CRAWL_PLAN" sheetId="2" r:id="Rf0b48a9e35534913"/>
    <x:sheet xmlns:r="http://schemas.openxmlformats.org/officeDocument/2006/relationships" name="CRAWL_LOG" sheetId="3" r:id="Ra9b9b7cfb6304fb5"/>
    <x:sheet xmlns:r="http://schemas.openxmlformats.org/officeDocument/2006/relationships" name="SLOT_RULES" sheetId="4" r:id="Rab3157a0d04f4958"/>
    <x:sheet xmlns:r="http://schemas.openxmlformats.org/officeDocument/2006/relationships" name="AUTOMATION_CONFIG" sheetId="5" r:id="R05fc95c1a7974965"/>
    <x:sheet xmlns:r="http://schemas.openxmlformats.org/officeDocument/2006/relationships" name="README" sheetId="6" r:id="Rb080be75b84642e2"/>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dd/mm/yyyy"/>
    <x:numFmt numFmtId="201" formatCode="dd/mm/yyyy hh:mm"/>
    <x:numFmt numFmtId="202" formatCode="0.00"/>
    <x:numFmt numFmtId="203" formatCode="#,##0"/>
    <x:numFmt numFmtId="204" formatCode="0"/>
  </x:numFmts>
  <x:fonts count="11">
    <x:font>
      <x:sz val="11"/>
      <x:name val="Carlito"/>
    </x:font>
    <x:font>
      <x:b/>
      <x:sz val="11"/>
      <x:color rgb="FFFFFFFF"/>
      <x:name val="Carlito"/>
    </x:font>
    <x:font>
      <x:b/>
      <x:sz val="11"/>
      <x:color rgb="FF203040"/>
      <x:name val="Carlito"/>
    </x:font>
    <x:font>
      <x:b/>
      <x:sz val="11"/>
      <x:color rgb="FF1E7A78"/>
      <x:name val="Carlito"/>
    </x:font>
    <x:font>
      <x:sz val="11"/>
      <x:color rgb="FF203040"/>
      <x:name val="Carlito"/>
    </x:font>
    <x:font>
      <x:b/>
      <x:sz val="11"/>
      <x:color rgb="FFA61B1B"/>
      <x:name val="Carlito"/>
    </x:font>
    <x:font>
      <x:b/>
      <x:sz val="14"/>
      <x:color rgb="FFFFFFFF"/>
      <x:name val="Carlito"/>
    </x:font>
    <x:font>
      <x:b/>
      <x:sz val="11"/>
      <x:name val="Carlito"/>
    </x:font>
    <x:font>
      <x:b/>
      <x:sz val="11"/>
      <x:color rgb="FF16736F"/>
      <x:name val="Carlito"/>
    </x:font>
    <x:font>
      <x:sz val="11"/>
      <x:color rgb="FF27575A"/>
      <x:name val="Carlito"/>
    </x:font>
    <x:font>
      <x:b/>
      <x:sz val="11"/>
      <x:color rgb="FFC21F1F"/>
      <x:name val="Carlito"/>
    </x:font>
  </x:fonts>
  <x:fills count="26">
    <x:fill>
      <x:patternFill patternType="none"/>
    </x:fill>
    <x:fill>
      <x:patternFill patternType="gray125"/>
    </x:fill>
    <x:fill>
      <x:patternFill patternType="solid">
        <x:fgColor rgb="FF17324D"/>
      </x:patternFill>
    </x:fill>
    <x:fill>
      <x:patternFill patternType="solid">
        <x:fgColor rgb="FF1E7A78"/>
      </x:patternFill>
    </x:fill>
    <x:fill>
      <x:patternFill patternType="solid">
        <x:fgColor rgb="FFEEF2F5"/>
      </x:patternFill>
    </x:fill>
    <x:fill>
      <x:patternFill patternType="solid">
        <x:fgColor rgb="FFDDF1EF"/>
      </x:patternFill>
    </x:fill>
    <x:fill>
      <x:patternFill patternType="solid">
        <x:fgColor rgb="FFE8F1FB"/>
      </x:patternFill>
    </x:fill>
    <x:fill>
      <x:patternFill patternType="solid">
        <x:fgColor rgb="FFFFF0D9"/>
      </x:patternFill>
    </x:fill>
    <x:fill>
      <x:patternFill patternType="solid">
        <x:fgColor rgb="FFFFF8D9"/>
      </x:patternFill>
    </x:fill>
    <x:fill>
      <x:patternFill patternType="solid">
        <x:fgColor rgb="FFFD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s>
  <x:borders count="15">
    <x:border/>
    <x:border>
      <x:left style="thin">
        <x:color rgb="FFCBD5DF"/>
      </x:left>
      <x:top style="thin">
        <x:color rgb="FFCBD5DF"/>
      </x:top>
      <x:bottom style="thin">
        <x:color rgb="FFCBD5DF"/>
      </x:bottom>
    </x:border>
    <x:border>
      <x:right style="thin">
        <x:color rgb="FFCBD5DF"/>
      </x:right>
      <x:top style="thin">
        <x:color rgb="FFCBD5DF"/>
      </x:top>
      <x:bottom style="thin">
        <x:color rgb="FFCBD5DF"/>
      </x:bottom>
    </x:border>
    <x:border>
      <x:left style="thin">
        <x:color rgb="FFCBD5DF"/>
      </x:left>
    </x:border>
    <x:border>
      <x:right style="thin">
        <x:color rgb="FFCBD5DF"/>
      </x:right>
    </x:border>
    <x:border>
      <x:left style="thin">
        <x:color rgb="FFCBD5DF"/>
      </x:left>
      <x:bottom style="thin">
        <x:color rgb="FFCBD5DF"/>
      </x:bottom>
    </x:border>
    <x:border>
      <x:right style="thin">
        <x:color rgb="FFCBD5DF"/>
      </x:right>
      <x:bottom style="thin">
        <x:color rgb="FFCBD5DF"/>
      </x:bottom>
    </x:border>
    <x:border>
      <x:top style="thin">
        <x:color rgb="FFCBD5DF"/>
      </x:top>
      <x:bottom style="thin">
        <x:color rgb="FFCBD5DF"/>
      </x:bottom>
    </x:border>
    <x:border>
      <x:bottom style="thin">
        <x:color rgb="FFCBD5DF"/>
      </x:bottom>
    </x:border>
    <x:border>
      <x:left style="thin">
        <x:color rgb="FFC7D4DF"/>
      </x:left>
      <x:top style="thin">
        <x:color rgb="FFC7D4DF"/>
      </x:top>
    </x:border>
    <x:border>
      <x:right style="thin">
        <x:color rgb="FFC7D4DF"/>
      </x:right>
      <x:top style="thin">
        <x:color rgb="FFC7D4DF"/>
      </x:top>
    </x:border>
    <x:border>
      <x:left style="thin">
        <x:color rgb="FFC7D4DF"/>
      </x:left>
    </x:border>
    <x:border>
      <x:right style="thin">
        <x:color rgb="FFC7D4DF"/>
      </x:right>
    </x:border>
    <x:border>
      <x:left style="thin">
        <x:color rgb="FFC7D4DF"/>
      </x:left>
      <x:bottom style="thin">
        <x:color rgb="FFC7D4DF"/>
      </x:bottom>
    </x:border>
    <x:border>
      <x:right style="thin">
        <x:color rgb="FFC7D4DF"/>
      </x:right>
      <x:bottom style="thin">
        <x:color rgb="FFC7D4DF"/>
      </x:bottom>
    </x:border>
  </x:borders>
  <x:cellStyleXfs count="1">
    <x:xf numFmtId="0" fontId="0" fillId="0" borderId="0"/>
  </x:cellStyleXfs>
  <x:cellXfs count="17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1" fillId="3" borderId="0" xfId="0" applyNumberFormat="1" applyFont="1" applyFill="1" applyBorder="1"/>
    <x:xf numFmtId="0" fontId="1" fillId="3" borderId="1" xfId="0" applyNumberFormat="1" applyFont="1" applyFill="1" applyBorder="1"/>
    <x:xf numFmtId="0" fontId="1" fillId="3" borderId="2" xfId="0" applyNumberFormat="1" applyFont="1" applyFill="1" applyBorder="1"/>
    <x:xf numFmtId="0" fontId="1" fillId="3" borderId="1" xfId="0" applyNumberFormat="1" applyFont="1" applyFill="1" applyBorder="1" applyAlignment="1">
      <x:alignment wrapText="1"/>
    </x:xf>
    <x:xf numFmtId="0" fontId="1" fillId="3" borderId="2" xfId="0" applyNumberFormat="1" applyFont="1" applyFill="1" applyBorder="1" applyAlignment="1">
      <x:alignment wrapText="1"/>
    </x:xf>
    <x:xf numFmtId="0" fontId="1" fillId="3" borderId="1" xfId="0" applyNumberFormat="1" applyFont="1" applyFill="1" applyBorder="1" applyAlignment="1">
      <x:alignment horizontal="center" wrapText="1"/>
    </x:xf>
    <x:xf numFmtId="0" fontId="1" fillId="3" borderId="2" xfId="0" applyNumberFormat="1" applyFont="1" applyFill="1" applyBorder="1" applyAlignment="1">
      <x:alignment horizontal="center" wrapText="1"/>
    </x:xf>
    <x:xf numFmtId="0" fontId="1" fillId="3" borderId="1" xfId="0" applyNumberFormat="1" applyFont="1" applyFill="1" applyBorder="1" applyAlignment="1">
      <x:alignment horizontal="center" vertical="center" wrapText="1"/>
    </x:xf>
    <x:xf numFmtId="0" fontId="1" fillId="3" borderId="2" xfId="0" applyNumberFormat="1" applyFont="1" applyFill="1" applyBorder="1" applyAlignment="1">
      <x:alignment horizontal="center" vertical="center" wrapText="1"/>
    </x:xf>
    <x:xf numFmtId="200" fontId="0" fillId="0" borderId="0"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2" fillId="4" borderId="3" xfId="0" applyNumberFormat="1" applyFont="1" applyFill="1" applyBorder="1"/>
    <x:xf numFmtId="200" fontId="0" fillId="0" borderId="4" xfId="0" applyNumberFormat="1" applyFont="1" applyFill="1" applyBorder="1"/>
    <x:xf numFmtId="0" fontId="0" fillId="0" borderId="4" xfId="0" applyNumberFormat="1" applyFont="1" applyFill="1" applyBorder="1"/>
    <x:xf numFmtId="0" fontId="2" fillId="4" borderId="5" xfId="0" applyNumberFormat="1" applyFont="1" applyFill="1" applyBorder="1"/>
    <x:xf numFmtId="0" fontId="0" fillId="0" borderId="6" xfId="0" applyNumberFormat="1" applyFont="1" applyFill="1" applyBorder="1"/>
    <x:xf numFmtId="0" fontId="0" fillId="0" borderId="3" xfId="0" applyNumberFormat="1" applyFont="1" applyFill="1" applyBorder="1"/>
    <x:xf numFmtId="0" fontId="0" fillId="0" borderId="5"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wrapText="1"/>
    </x:xf>
    <x:xf numFmtId="0" fontId="4" fillId="5" borderId="0" xfId="0" applyNumberFormat="1" applyFont="1" applyFill="1" applyBorder="1"/>
    <x:xf numFmtId="0" fontId="4" fillId="5" borderId="0" xfId="0" applyNumberFormat="1" applyFont="1" applyFill="1" applyBorder="1" applyAlignment="1">
      <x:alignment wrapText="1"/>
    </x:xf>
    <x:xf numFmtId="0" fontId="1" fillId="3" borderId="7" xfId="0" applyNumberFormat="1" applyFont="1" applyFill="1" applyBorder="1"/>
    <x:xf numFmtId="0" fontId="1" fillId="3" borderId="7" xfId="0" applyNumberFormat="1" applyFont="1" applyFill="1" applyBorder="1" applyAlignment="1">
      <x:alignment wrapText="1"/>
    </x:xf>
    <x:xf numFmtId="0" fontId="1" fillId="3" borderId="7" xfId="0" applyNumberFormat="1" applyFont="1" applyFill="1" applyBorder="1" applyAlignment="1">
      <x:alignment horizontal="center" wrapText="1"/>
    </x:xf>
    <x:xf numFmtId="0" fontId="1" fillId="3" borderId="7" xfId="0" applyNumberFormat="1" applyFont="1" applyFill="1" applyBorder="1" applyAlignment="1">
      <x:alignment horizontal="center" vertical="center" wrapText="1"/>
    </x:xf>
    <x:xf numFmtId="200" fontId="0" fillId="6" borderId="0" xfId="0" applyNumberFormat="1" applyFont="1" applyFill="1" applyBorder="1"/>
    <x:xf numFmtId="200" fontId="0" fillId="7" borderId="0" xfId="0" applyNumberFormat="1" applyFont="1" applyFill="1" applyBorder="1"/>
    <x:xf numFmtId="200" fontId="0" fillId="0" borderId="0" xfId="0" applyNumberFormat="1" applyFont="1" applyFill="1" applyBorder="1" applyAlignment="1">
      <x:alignment vertical="center"/>
    </x:xf>
    <x:xf numFmtId="0" fontId="0" fillId="0" borderId="0" xfId="0" applyNumberFormat="1" applyFont="1" applyFill="1" applyBorder="1" applyAlignment="1">
      <x:alignment vertical="center"/>
    </x:xf>
    <x:xf numFmtId="200" fontId="0" fillId="6" borderId="0" xfId="0" applyNumberFormat="1" applyFont="1" applyFill="1" applyBorder="1" applyAlignment="1">
      <x:alignment vertical="center"/>
    </x:xf>
    <x:xf numFmtId="200" fontId="0" fillId="7" borderId="0" xfId="0" applyNumberFormat="1" applyFont="1" applyFill="1" applyBorder="1" applyAlignment="1">
      <x:alignment vertical="center"/>
    </x:xf>
    <x:xf numFmtId="200" fontId="0" fillId="0" borderId="0" xfId="0" applyNumberFormat="1" applyFont="1" applyFill="1" applyBorder="1" applyAlignment="1">
      <x:alignment horizontal="center" vertical="center"/>
    </x:xf>
    <x:xf numFmtId="0" fontId="0" fillId="0" borderId="0" xfId="0" applyNumberFormat="1" applyFont="1" applyFill="1" applyBorder="1" applyAlignment="1">
      <x:alignment horizontal="center" vertical="center"/>
    </x:xf>
    <x:xf numFmtId="200" fontId="0" fillId="6" borderId="0" xfId="0" applyNumberFormat="1" applyFont="1" applyFill="1" applyBorder="1" applyAlignment="1">
      <x:alignment horizontal="center" vertical="center"/>
    </x:xf>
    <x:xf numFmtId="200" fontId="0" fillId="7" borderId="0" xfId="0" applyNumberFormat="1" applyFont="1" applyFill="1" applyBorder="1" applyAlignment="1">
      <x:alignment horizontal="center" vertical="center"/>
    </x:xf>
    <x:xf numFmtId="0" fontId="0" fillId="0" borderId="0" xfId="0" applyNumberFormat="1" applyFont="1" applyFill="1" applyBorder="1" applyAlignment="1">
      <x:alignment vertical="center" wrapText="1"/>
    </x:xf>
    <x:xf numFmtId="200" fontId="0" fillId="0" borderId="3" xfId="0" applyNumberFormat="1" applyFont="1" applyFill="1" applyBorder="1" applyAlignment="1">
      <x:alignment horizontal="center" vertical="center"/>
    </x:xf>
    <x:xf numFmtId="0" fontId="0" fillId="0" borderId="4" xfId="0" applyNumberFormat="1" applyFont="1" applyFill="1" applyBorder="1" applyAlignment="1">
      <x:alignment vertical="center" wrapText="1"/>
    </x:xf>
    <x:xf numFmtId="200" fontId="0" fillId="0" borderId="5" xfId="0" applyNumberFormat="1" applyFont="1" applyFill="1" applyBorder="1" applyAlignment="1">
      <x:alignment horizontal="center" vertical="center"/>
    </x:xf>
    <x:xf numFmtId="0" fontId="0" fillId="0" borderId="8" xfId="0" applyNumberFormat="1" applyFont="1" applyFill="1" applyBorder="1" applyAlignment="1">
      <x:alignment horizontal="center" vertical="center"/>
    </x:xf>
    <x:xf numFmtId="200" fontId="0" fillId="6" borderId="8" xfId="0" applyNumberFormat="1" applyFont="1" applyFill="1" applyBorder="1" applyAlignment="1">
      <x:alignment horizontal="center" vertical="center"/>
    </x:xf>
    <x:xf numFmtId="200" fontId="0" fillId="7" borderId="8" xfId="0" applyNumberFormat="1" applyFont="1" applyFill="1" applyBorder="1" applyAlignment="1">
      <x:alignment horizontal="center" vertical="center"/>
    </x:xf>
    <x:xf numFmtId="0" fontId="0" fillId="0" borderId="8"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201"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00" fontId="0" fillId="0" borderId="3" xfId="0" applyNumberFormat="1" applyFont="1" applyFill="1" applyBorder="1"/>
    <x:xf numFmtId="0" fontId="0" fillId="0" borderId="0" xfId="0" applyNumberFormat="1" applyFont="1" applyFill="1" applyBorder="1"/>
    <x:xf numFmtId="200" fontId="0" fillId="0" borderId="5" xfId="0" applyNumberFormat="1" applyFont="1" applyFill="1" applyBorder="1"/>
    <x:xf numFmtId="0" fontId="0" fillId="0" borderId="8" xfId="0" applyNumberFormat="1" applyFont="1" applyFill="1" applyBorder="1"/>
    <x:xf numFmtId="201" fontId="0" fillId="0" borderId="8" xfId="0" applyNumberFormat="1" applyFont="1" applyFill="1" applyBorder="1"/>
    <x:xf numFmtId="202" fontId="0" fillId="0" borderId="8" xfId="0" applyNumberFormat="1" applyFont="1" applyFill="1" applyBorder="1"/>
    <x:xf numFmtId="203" fontId="0" fillId="0" borderId="8" xfId="0" applyNumberFormat="1" applyFont="1" applyFill="1" applyBorder="1"/>
    <x:xf numFmtId="0" fontId="0" fillId="6" borderId="0" xfId="0" applyNumberFormat="1" applyFont="1" applyFill="1" applyBorder="1"/>
    <x:xf numFmtId="0" fontId="0" fillId="7" borderId="0" xfId="0" applyNumberFormat="1" applyFont="1" applyFill="1" applyBorder="1"/>
    <x:xf numFmtId="0" fontId="0" fillId="6" borderId="0" xfId="0" applyNumberFormat="1" applyFont="1" applyFill="1" applyBorder="1" applyAlignment="1">
      <x:alignment wrapText="1"/>
    </x:xf>
    <x:xf numFmtId="200" fontId="0" fillId="6"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0" fillId="6" borderId="0" xfId="0" applyNumberFormat="1" applyFont="1" applyFill="1" applyBorder="1" applyAlignment="1">
      <x:alignment vertical="center" wrapText="1"/>
    </x:xf>
    <x:xf numFmtId="200" fontId="0" fillId="6" borderId="0"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200" fontId="0" fillId="7" borderId="0" xfId="0" applyNumberFormat="1" applyFont="1" applyFill="1" applyBorder="1" applyAlignment="1">
      <x:alignment vertical="center" wrapText="1"/>
    </x:xf>
    <x:xf numFmtId="0" fontId="0" fillId="6" borderId="3" xfId="0" applyNumberFormat="1" applyFont="1" applyFill="1" applyBorder="1" applyAlignment="1">
      <x:alignment vertical="center" wrapText="1"/>
    </x:xf>
    <x:xf numFmtId="0" fontId="0" fillId="6" borderId="4" xfId="0" applyNumberFormat="1" applyFont="1" applyFill="1" applyBorder="1" applyAlignment="1">
      <x:alignment vertical="center" wrapText="1"/>
    </x:xf>
    <x:xf numFmtId="0" fontId="0" fillId="7" borderId="3" xfId="0" applyNumberFormat="1" applyFont="1" applyFill="1" applyBorder="1" applyAlignment="1">
      <x:alignment vertical="center" wrapText="1"/>
    </x:xf>
    <x:xf numFmtId="0" fontId="0" fillId="7" borderId="4" xfId="0" applyNumberFormat="1" applyFont="1" applyFill="1" applyBorder="1" applyAlignment="1">
      <x:alignment vertical="center" wrapText="1"/>
    </x:xf>
    <x:xf numFmtId="0" fontId="0" fillId="7" borderId="5" xfId="0" applyNumberFormat="1" applyFont="1" applyFill="1" applyBorder="1" applyAlignment="1">
      <x:alignment vertical="center" wrapText="1"/>
    </x:xf>
    <x:xf numFmtId="0" fontId="0" fillId="7" borderId="8" xfId="0" applyNumberFormat="1" applyFont="1" applyFill="1" applyBorder="1" applyAlignment="1">
      <x:alignment vertical="center" wrapText="1"/>
    </x:xf>
    <x:xf numFmtId="200" fontId="0" fillId="7" borderId="8" xfId="0" applyNumberFormat="1" applyFont="1" applyFill="1" applyBorder="1" applyAlignment="1">
      <x:alignment vertical="center" wrapText="1"/>
    </x:xf>
    <x:xf numFmtId="0" fontId="0" fillId="7" borderId="6"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0" fillId="0" borderId="6" xfId="0" applyNumberFormat="1" applyFont="1" applyFill="1" applyBorder="1">
      <x:extLst>
        <x:ext uri="{C7286773-470A-42A8-94C5-96B5CB345126}">
          <xfpb:xfComplement xmlns:xfpb="http://schemas.microsoft.com/office/spreadsheetml/2022/featurepropertybag" i="0"/>
        </x:ext>
      </x:extLst>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wrapText="1"/>
    </x:xf>
    <x:xf numFmtId="0" fontId="4" fillId="8"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9" borderId="0" xfId="0" applyNumberFormat="1" applyFont="1" applyFill="1" applyBorder="1"/>
    <x:xf numFmtId="0" fontId="5" fillId="9" borderId="0" xfId="0" applyNumberFormat="1" applyFont="1" applyFill="1" applyBorder="1"/>
    <x:xf numFmtId="0" fontId="5" fillId="9" borderId="0" xfId="0" applyNumberFormat="1" applyFont="1" applyFill="1" applyBorder="1" applyAlignment="1">
      <x:alignment wrapText="1"/>
    </x:xf>
    <x:xf numFmtId="0" fontId="0" fillId="10" borderId="0" xfId="0" applyNumberFormat="1" applyFont="1" applyFill="1" applyBorder="1"/>
    <x:xf numFmtId="0" fontId="6" fillId="10" borderId="0" xfId="0" applyNumberFormat="1" applyFont="1" applyFill="1" applyBorder="1"/>
    <x:xf numFmtId="0" fontId="6" fillId="10" borderId="0" xfId="0" applyNumberFormat="1" applyFont="1" applyFill="1" applyBorder="1" applyAlignment="1">
      <x:alignment horizontal="left"/>
    </x:xf>
    <x:xf numFmtId="0" fontId="6" fillId="10" borderId="0" xfId="0" applyNumberFormat="1" applyFont="1" applyFill="1" applyBorder="1" applyAlignment="1">
      <x:alignment horizontal="left" vertical="center"/>
    </x:xf>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wrapText="1"/>
    </x:xf>
    <x:xf numFmtId="0" fontId="1" fillId="11" borderId="0" xfId="0" applyNumberFormat="1" applyFont="1" applyFill="1" applyBorder="1" applyAlignment="1">
      <x:alignment horizontal="center" wrapText="1"/>
    </x:xf>
    <x:xf numFmtId="0" fontId="1" fillId="11" borderId="0" xfId="0" applyNumberFormat="1" applyFont="1" applyFill="1" applyBorder="1" applyAlignment="1">
      <x:alignment horizontal="center" vertical="center" wrapText="1"/>
    </x:xf>
    <x:xf numFmtId="0" fontId="0" fillId="12" borderId="0" xfId="0" applyNumberFormat="1" applyFont="1" applyFill="1" applyBorder="1"/>
    <x:xf numFmtId="0" fontId="7" fillId="12" borderId="0" xfId="0" applyNumberFormat="1" applyFont="1" applyFill="1" applyBorder="1"/>
    <x:xf numFmtId="0" fontId="1" fillId="11" borderId="9" xfId="0" applyNumberFormat="1" applyFont="1" applyFill="1" applyBorder="1" applyAlignment="1">
      <x:alignment horizontal="center" vertical="center" wrapText="1"/>
    </x:xf>
    <x:xf numFmtId="0" fontId="1" fillId="11" borderId="10" xfId="0" applyNumberFormat="1" applyFont="1" applyFill="1" applyBorder="1" applyAlignment="1">
      <x:alignment horizontal="center" vertical="center" wrapText="1"/>
    </x:xf>
    <x:xf numFmtId="0" fontId="7" fillId="12" borderId="11" xfId="0" applyNumberFormat="1" applyFont="1" applyFill="1" applyBorder="1"/>
    <x:xf numFmtId="0" fontId="0" fillId="0" borderId="12" xfId="0" applyNumberFormat="1" applyFont="1" applyFill="1" applyBorder="1"/>
    <x:xf numFmtId="0" fontId="7" fillId="12" borderId="13" xfId="0" applyNumberFormat="1" applyFont="1" applyFill="1" applyBorder="1"/>
    <x:xf numFmtId="0" fontId="0" fillId="0" borderId="14" xfId="0" applyNumberFormat="1" applyFont="1" applyFill="1" applyBorder="1"/>
    <x:xf numFmtId="0" fontId="0" fillId="0" borderId="11" xfId="0" applyNumberFormat="1" applyFont="1" applyFill="1" applyBorder="1"/>
    <x:xf numFmtId="0" fontId="0" fillId="0" borderId="13" xfId="0" applyNumberFormat="1" applyFont="1" applyFill="1" applyBorder="1"/>
    <x:xf numFmtId="200" fontId="0" fillId="0" borderId="12" xfId="0" applyNumberFormat="1" applyFont="1" applyFill="1" applyBorder="1"/>
    <x:xf numFmtId="204" fontId="0" fillId="0" borderId="12" xfId="0" applyNumberFormat="1" applyFont="1" applyFill="1" applyBorder="1"/>
    <x:xf numFmtId="204" fontId="0" fillId="0" borderId="14" xfId="0" applyNumberFormat="1" applyFont="1" applyFill="1" applyBorder="1"/>
    <x:xf numFmtId="0" fontId="0" fillId="13" borderId="0" xfId="0" applyNumberFormat="1" applyFont="1" applyFill="1" applyBorder="1"/>
    <x:xf numFmtId="0" fontId="8" fillId="13" borderId="0" xfId="0" applyNumberFormat="1" applyFont="1" applyFill="1" applyBorder="1"/>
    <x:xf numFmtId="0" fontId="8" fillId="13" borderId="0" xfId="0" applyNumberFormat="1" applyFont="1" applyFill="1" applyBorder="1" applyAlignment="1">
      <x:alignment wrapText="1"/>
    </x:xf>
    <x:xf numFmtId="0" fontId="9" fillId="13" borderId="0" xfId="0" applyNumberFormat="1" applyFont="1" applyFill="1" applyBorder="1"/>
    <x:xf numFmtId="0" fontId="9" fillId="13" borderId="0" xfId="0" applyNumberFormat="1" applyFont="1" applyFill="1" applyBorder="1" applyAlignment="1">
      <x:alignment wrapText="1"/>
    </x:xf>
    <x:xf numFmtId="200" fontId="0" fillId="14" borderId="0" xfId="0" applyNumberFormat="1" applyFont="1" applyFill="1" applyBorder="1"/>
    <x:xf numFmtId="200" fontId="0" fillId="15" borderId="0" xfId="0" applyNumberFormat="1" applyFont="1" applyFill="1" applyBorder="1"/>
    <x:xf numFmtId="0" fontId="0" fillId="0" borderId="0" xfId="0" applyNumberFormat="1" applyFont="1" applyFill="1" applyBorder="1" applyAlignment="1">
      <x:alignment horizontal="center"/>
    </x:xf>
    <x:xf numFmtId="204" fontId="0" fillId="0" borderId="0" xfId="0" applyNumberFormat="1" applyFont="1" applyFill="1" applyBorder="1"/>
    <x:xf numFmtId="0" fontId="0" fillId="14" borderId="0" xfId="0" applyNumberFormat="1" applyFont="1" applyFill="1" applyBorder="1"/>
    <x:xf numFmtId="0" fontId="0" fillId="15" borderId="0" xfId="0" applyNumberFormat="1" applyFont="1" applyFill="1" applyBorder="1"/>
    <x:xf numFmtId="0" fontId="0" fillId="14" borderId="0" xfId="0" applyNumberFormat="1" applyFont="1" applyFill="1" applyBorder="1" applyAlignment="1">
      <x:alignment wrapText="1"/>
    </x:xf>
    <x:xf numFmtId="200" fontId="0" fillId="14" borderId="0" xfId="0" applyNumberFormat="1" applyFont="1" applyFill="1" applyBorder="1" applyAlignment="1">
      <x:alignment wrapText="1"/>
    </x:xf>
    <x:xf numFmtId="0" fontId="0" fillId="15" borderId="0" xfId="0" applyNumberFormat="1" applyFont="1" applyFill="1" applyBorder="1" applyAlignment="1">
      <x:alignment wrapText="1"/>
    </x:xf>
    <x:xf numFmtId="200" fontId="0" fillId="15" borderId="0" xfId="0" applyNumberFormat="1" applyFont="1" applyFill="1" applyBorder="1" applyAlignment="1">
      <x:alignment wrapText="1"/>
    </x:xf>
    <x:xf numFmtId="0" fontId="0" fillId="16" borderId="0" xfId="0" applyNumberFormat="1" applyFont="1" applyFill="1" applyBorder="1"/>
    <x:xf numFmtId="0" fontId="0" fillId="16" borderId="0" xfId="0" applyNumberFormat="1" applyFont="1" applyFill="1" applyBorder="1" applyAlignment="1">
      <x:alignment wrapText="1"/>
    </x:xf>
    <x:xf numFmtId="0" fontId="0" fillId="16" borderId="0" xfId="0" applyNumberFormat="1" applyFont="1" applyFill="1" applyBorder="1" applyAlignment="1">
      <x:alignment vertical="top" wrapText="1"/>
    </x:xf>
    <x:xf numFmtId="0" fontId="0" fillId="0" borderId="0" xfId="0" applyNumberFormat="1" applyFont="1" applyFill="1" applyBorder="1" applyAlignment="1">
      <x:alignment horizontal="center" wrapText="1"/>
    </x:xf>
    <x:xf numFmtId="0" fontId="0" fillId="17" borderId="0" xfId="0" applyNumberFormat="1" applyFont="1" applyFill="1" applyBorder="1"/>
    <x:xf numFmtId="0" fontId="10" fillId="17" borderId="0" xfId="0" applyNumberFormat="1" applyFont="1" applyFill="1" applyBorder="1"/>
    <x:xf numFmtId="0" fontId="10" fillId="17" borderId="0" xfId="0" applyNumberFormat="1" applyFont="1" applyFill="1" applyBorder="1" applyAlignment="1">
      <x:alignment wrapText="1"/>
    </x:xf>
    <x:xf numFmtId="0" fontId="0" fillId="18" borderId="0" xfId="0" applyNumberFormat="1" applyFont="1" applyFill="1" applyBorder="1"/>
    <x:xf numFmtId="0" fontId="6" fillId="18" borderId="0" xfId="0" applyNumberFormat="1" applyFont="1" applyFill="1" applyBorder="1"/>
    <x:xf numFmtId="0" fontId="6" fillId="18" borderId="0" xfId="0" applyNumberFormat="1" applyFont="1" applyFill="1" applyBorder="1" applyAlignment="1">
      <x:alignment horizontal="left"/>
    </x:xf>
    <x:xf numFmtId="0" fontId="6" fillId="18" borderId="0" xfId="0" applyNumberFormat="1" applyFont="1" applyFill="1" applyBorder="1" applyAlignment="1">
      <x:alignment horizontal="left" vertical="center"/>
    </x:xf>
    <x:xf numFmtId="0" fontId="0" fillId="19" borderId="0" xfId="0" applyNumberFormat="1" applyFont="1" applyFill="1" applyBorder="1"/>
    <x:xf numFmtId="0" fontId="1" fillId="19" borderId="0" xfId="0" applyNumberFormat="1" applyFont="1" applyFill="1" applyBorder="1"/>
    <x:xf numFmtId="0" fontId="1" fillId="19" borderId="0" xfId="0" applyNumberFormat="1" applyFont="1" applyFill="1" applyBorder="1" applyAlignment="1">
      <x:alignment wrapText="1"/>
    </x:xf>
    <x:xf numFmtId="0" fontId="1" fillId="19" borderId="0" xfId="0" applyNumberFormat="1" applyFont="1" applyFill="1" applyBorder="1" applyAlignment="1">
      <x:alignment horizontal="center" wrapText="1"/>
    </x:xf>
    <x:xf numFmtId="0" fontId="1" fillId="19" borderId="0" xfId="0" applyNumberFormat="1" applyFont="1" applyFill="1" applyBorder="1" applyAlignment="1">
      <x:alignment horizontal="center" vertical="center" wrapText="1"/>
    </x:xf>
    <x:xf numFmtId="0" fontId="0" fillId="20" borderId="0" xfId="0" applyNumberFormat="1" applyFont="1" applyFill="1" applyBorder="1"/>
    <x:xf numFmtId="0" fontId="7" fillId="20" borderId="0" xfId="0" applyNumberFormat="1" applyFont="1" applyFill="1" applyBorder="1"/>
    <x:xf numFmtId="0" fontId="1" fillId="19" borderId="9" xfId="0" applyNumberFormat="1" applyFont="1" applyFill="1" applyBorder="1" applyAlignment="1">
      <x:alignment horizontal="center" vertical="center" wrapText="1"/>
    </x:xf>
    <x:xf numFmtId="0" fontId="1" fillId="19" borderId="10" xfId="0" applyNumberFormat="1" applyFont="1" applyFill="1" applyBorder="1" applyAlignment="1">
      <x:alignment horizontal="center" vertical="center" wrapText="1"/>
    </x:xf>
    <x:xf numFmtId="0" fontId="7" fillId="20" borderId="11" xfId="0" applyNumberFormat="1" applyFont="1" applyFill="1" applyBorder="1"/>
    <x:xf numFmtId="0" fontId="7" fillId="20" borderId="13" xfId="0" applyNumberFormat="1" applyFont="1" applyFill="1" applyBorder="1"/>
    <x:xf numFmtId="0" fontId="0" fillId="21" borderId="0" xfId="0" applyNumberFormat="1" applyFont="1" applyFill="1" applyBorder="1"/>
    <x:xf numFmtId="0" fontId="8" fillId="21" borderId="0" xfId="0" applyNumberFormat="1" applyFont="1" applyFill="1" applyBorder="1"/>
    <x:xf numFmtId="0" fontId="8" fillId="21" borderId="0" xfId="0" applyNumberFormat="1" applyFont="1" applyFill="1" applyBorder="1" applyAlignment="1">
      <x:alignment wrapText="1"/>
    </x:xf>
    <x:xf numFmtId="0" fontId="9" fillId="21" borderId="0" xfId="0" applyNumberFormat="1" applyFont="1" applyFill="1" applyBorder="1"/>
    <x:xf numFmtId="0" fontId="9" fillId="21" borderId="0" xfId="0" applyNumberFormat="1" applyFont="1" applyFill="1" applyBorder="1" applyAlignment="1">
      <x:alignment wrapText="1"/>
    </x:xf>
    <x:xf numFmtId="200" fontId="0" fillId="22" borderId="0" xfId="0" applyNumberFormat="1" applyFont="1" applyFill="1" applyBorder="1"/>
    <x:xf numFmtId="200" fontId="0" fillId="23" borderId="0" xfId="0" applyNumberFormat="1" applyFont="1" applyFill="1" applyBorder="1"/>
    <x:xf numFmtId="0" fontId="0" fillId="22" borderId="0" xfId="0" applyNumberFormat="1" applyFont="1" applyFill="1" applyBorder="1"/>
    <x:xf numFmtId="0" fontId="0" fillId="23" borderId="0" xfId="0" applyNumberFormat="1" applyFont="1" applyFill="1" applyBorder="1"/>
    <x:xf numFmtId="0" fontId="0" fillId="22" borderId="0" xfId="0" applyNumberFormat="1" applyFont="1" applyFill="1" applyBorder="1" applyAlignment="1">
      <x:alignment wrapText="1"/>
    </x:xf>
    <x:xf numFmtId="200" fontId="0" fillId="22" borderId="0" xfId="0" applyNumberFormat="1" applyFont="1" applyFill="1" applyBorder="1" applyAlignment="1">
      <x:alignment wrapText="1"/>
    </x:xf>
    <x:xf numFmtId="0" fontId="0" fillId="23" borderId="0" xfId="0" applyNumberFormat="1" applyFont="1" applyFill="1" applyBorder="1" applyAlignment="1">
      <x:alignment wrapText="1"/>
    </x:xf>
    <x:xf numFmtId="200" fontId="0" fillId="23" borderId="0" xfId="0" applyNumberFormat="1" applyFont="1" applyFill="1" applyBorder="1" applyAlignment="1">
      <x:alignment wrapText="1"/>
    </x:xf>
    <x:xf numFmtId="0" fontId="0" fillId="24" borderId="0" xfId="0" applyNumberFormat="1" applyFont="1" applyFill="1" applyBorder="1"/>
    <x:xf numFmtId="0" fontId="0" fillId="24" borderId="0" xfId="0" applyNumberFormat="1" applyFont="1" applyFill="1" applyBorder="1" applyAlignment="1">
      <x:alignment wrapText="1"/>
    </x:xf>
    <x:xf numFmtId="0" fontId="0" fillId="24" borderId="0" xfId="0" applyNumberFormat="1" applyFont="1" applyFill="1" applyBorder="1" applyAlignment="1">
      <x:alignment vertical="top" wrapText="1"/>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cellXfs>
  <x:cellStyles count="1">
    <x:cellStyle name="Normal" xfId="0"/>
  </x:cellStyles>
  <x:dxfs count="6">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8e1a3e2c67c4016" /><Relationship Type="http://schemas.openxmlformats.org/officeDocument/2006/relationships/theme" Target="/xl/theme/theme1.xml" Id="Rf12963c173114ae4" /><Relationship Type="http://schemas.microsoft.com/office/2022/11/relationships/FeaturePropertyBag" Target="/xl/featurePropertyBag/featurePropertyBag.xml" Id="R64ccb2be49544ed9" /><Relationship Type="http://schemas.openxmlformats.org/officeDocument/2006/relationships/sharedStrings" Target="/xl/sharedStrings.xml" Id="R248ab0902b6d4d69" /><Relationship Type="http://schemas.openxmlformats.org/officeDocument/2006/relationships/worksheet" Target="/xl/worksheets/sheet1.xml" Id="R2a20f4ef355a43b7" /><Relationship Type="http://schemas.openxmlformats.org/officeDocument/2006/relationships/worksheet" Target="/xl/worksheets/sheet2.xml" Id="Rf0b48a9e35534913" /><Relationship Type="http://schemas.openxmlformats.org/officeDocument/2006/relationships/worksheet" Target="/xl/worksheets/sheet3.xml" Id="Ra9b9b7cfb6304fb5" /><Relationship Type="http://schemas.openxmlformats.org/officeDocument/2006/relationships/worksheet" Target="/xl/worksheets/sheet4.xml" Id="Rab3157a0d04f4958" /><Relationship Type="http://schemas.openxmlformats.org/officeDocument/2006/relationships/worksheet" Target="/xl/worksheets/sheet5.xml" Id="R05fc95c1a7974965" /><Relationship Type="http://schemas.openxmlformats.org/officeDocument/2006/relationships/worksheet" Target="/xl/worksheets/sheet6.xml" Id="Rb080be75b84642e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ilyCrawlPlanTable" displayName="DailyCrawlPlanTable" ref="A3:V108" headerRowCount="1" totalsRowCount="0" totalsRowShown="0">
  <x:tableColumns count="22">
    <x:tableColumn id="1" name="Crawl date"/>
    <x:tableColumn id="2" name="Thứ"/>
    <x:tableColumn id="3" name="Phase"/>
    <x:tableColumn id="4" name="Start time (ICT)"/>
    <x:tableColumn id="5" name="N1 gần"/>
    <x:tableColumn id="6" name="N2 gần"/>
    <x:tableColumn id="7" name="N3 gần"/>
    <x:tableColumn id="8" name="N4 gần"/>
    <x:tableColumn id="9" name="N5 gần"/>
    <x:tableColumn id="10" name="N6 gần"/>
    <x:tableColumn id="11" name="N7 gần"/>
    <x:tableColumn id="12" name="N8 gần"/>
    <x:tableColumn id="13" name="N9 gần"/>
    <x:tableColumn id="14" name="F1 xa"/>
    <x:tableColumn id="15" name="F2 xa"/>
    <x:tableColumn id="16" name="F3 xa"/>
    <x:tableColumn id="17" name="Min lead"/>
    <x:tableColumn id="18" name="Max lead"/>
    <x:tableColumn id="19" name="12 ngày hợp lệ"/>
    <x:tableColumn id="20" name="Crawl status"/>
    <x:tableColumn id="21" name="Event flags"/>
    <x:tableColumn id="22" name="Automation note"/>
  </x:tableColumns>
  <x:tableStyleInfo name="TableStyleMedium2" showFirstColumn="0" showLastColumn="0" showRowStripes="1" showColumnStripes="0"/>
</x:table>
</file>

<file path=xl/tables/table2.xml><?xml version="1.0" encoding="utf-8"?>
<x:table xmlns:x="http://schemas.openxmlformats.org/spreadsheetml/2006/main" id="2" name="DailyCrawlLogTable" displayName="DailyCrawlLogTable" ref="A3:Q108" headerRowCount="1" totalsRowCount="0" totalsRowShown="0">
  <x:tableColumns count="17">
    <x:tableColumn id="1" name="Crawl date"/>
    <x:tableColumn id="2" name="Start time (ICT)"/>
    <x:tableColumn id="3" name="Status"/>
    <x:tableColumn id="4" name="Run IDs"/>
    <x:tableColumn id="5" name="Started at"/>
    <x:tableColumn id="6" name="Finished at"/>
    <x:tableColumn id="7" name="Duration (hours)"/>
    <x:tableColumn id="8" name="Total items"/>
    <x:tableColumn id="9" name="Processed"/>
    <x:tableColumn id="10" name="Success"/>
    <x:tableColumn id="11" name="Partial"/>
    <x:tableColumn id="12" name="Sold out"/>
    <x:tableColumn id="13" name="Not bookable"/>
    <x:tableColumn id="14" name="Error"/>
    <x:tableColumn id="15" name="Valid records"/>
    <x:tableColumn id="16" name="Check-in coun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fa7cfd29f784297" /></Relationships>
</file>

<file path=xl/worksheets/_rels/sheet3.xml.rels>&#65279;<?xml version="1.0" encoding="utf-8"?><Relationships xmlns="http://schemas.openxmlformats.org/package/2006/relationships"><Relationship Type="http://schemas.openxmlformats.org/officeDocument/2006/relationships/table" Target="/xl/tables/table2.xml" Id="Rc3dde79f604c46c4" /></Relationships>
</file>

<file path=xl/worksheets/sheet1.xml><?xml version="1.0" encoding="utf-8"?>
<x:worksheet xmlns:x="http://schemas.openxmlformats.org/spreadsheetml/2006/main">
  <x:sheetViews>
    <x:sheetView showGridLines="0" workbookViewId="0"/>
  </x:sheetViews>
  <x:sheetFormatPr defaultRowHeight="15"/>
  <x:cols>
    <x:col min="1" max="1" width="31" hidden="0" customWidth="1"/>
    <x:col min="2" max="2" width="23" hidden="0" customWidth="1"/>
    <x:col min="3" max="3" width="5" hidden="0" customWidth="1"/>
    <x:col min="4" max="4" width="31" hidden="0" customWidth="1"/>
    <x:col min="5" max="5" width="19" hidden="0" customWidth="1"/>
    <x:col min="6" max="6" width="10" hidden="0" customWidth="1"/>
  </x:cols>
  <x:sheetData>
    <x:row r="1" ht="28" customHeight="1">
      <x:c r="A1" s="143" t="str">
        <x:v>LỊCH CRAWL HẰNG NGÀY — 18/08/2026 ĐẾN 30/11/2026</x:v>
      </x:c>
      <x:c r="B1" s="143"/>
      <x:c r="C1" s="143"/>
      <x:c r="D1" s="143"/>
      <x:c r="E1" s="143"/>
    </x:row>
    <x:row r="3" ht="30" customHeight="1">
      <x:c r="A3" s="151" t="str">
        <x:v>Thông số</x:v>
      </x:c>
      <x:c r="B3" s="152" t="str">
        <x:v>Giá trị</x:v>
      </x:c>
      <x:c r="D3" s="151" t="str">
        <x:v>Kiểm tra</x:v>
      </x:c>
      <x:c r="E3" s="152" t="str">
        <x:v>Kết quả</x:v>
      </x:c>
    </x:row>
    <x:row r="4">
      <x:c r="A4" s="153" t="str">
        <x:v>Ngày bắt đầu</x:v>
      </x:c>
      <x:c r="B4" s="115" t="n">
        <x:v>46252</x:v>
      </x:c>
      <x:c r="D4" s="113" t="str">
        <x:v>Số ngày mong đợi</x:v>
      </x:c>
      <x:c r="E4" s="110" t="n">
        <x:v>105</x:v>
      </x:c>
    </x:row>
    <x:row r="5">
      <x:c r="A5" s="153" t="str">
        <x:v>Ngày kết thúc</x:v>
      </x:c>
      <x:c r="B5" s="115" t="n">
        <x:v>46356</x:v>
      </x:c>
      <x:c r="D5" s="113" t="str">
        <x:v>Số dòng lịch thực tế</x:v>
      </x:c>
      <x:c r="E5" s="110" t="n">
        <x:f>B8</x:f>
        <x:v>105</x:v>
      </x:c>
    </x:row>
    <x:row r="6">
      <x:c r="A6" s="153" t="str">
        <x:v>Giờ bắt đầu mỗi ngày</x:v>
      </x:c>
      <x:c r="B6" s="110" t="str">
        <x:v>00:30</x:v>
      </x:c>
      <x:c r="D6" s="113" t="str">
        <x:v>Mỗi ngày đủ 12 check-in</x:v>
      </x:c>
      <x:c r="E6" s="110" t="str">
        <x:f>IF(COUNTIF('DAILY_CRAWL_PLAN'!$S$4:$S$108,"PASS")=105,"PASS","CHECK")</x:f>
        <x:v>PASS</x:v>
      </x:c>
    </x:row>
    <x:row r="7">
      <x:c r="A7" s="153" t="str">
        <x:v>Múi giờ</x:v>
      </x:c>
      <x:c r="B7" s="110" t="str">
        <x:v>Asia/Ho_Chi_Minh</x:v>
      </x:c>
      <x:c r="D7" s="114" t="str">
        <x:v>Trạng thái workbook</x:v>
      </x:c>
      <x:c r="E7" s="112" t="str">
        <x:f>IF(AND(E4=E5,E6="PASS"),"PASS","CHECK")</x:f>
        <x:v>PASS</x:v>
      </x:c>
    </x:row>
    <x:row r="8">
      <x:c r="A8" s="153" t="str">
        <x:v>Tổng số ngày theo lịch</x:v>
      </x:c>
      <x:c r="B8" s="116" t="n">
        <x:f>COUNTA('DAILY_CRAWL_PLAN'!$A$4:$A$108)</x:f>
        <x:v>105</x:v>
      </x:c>
    </x:row>
    <x:row r="9">
      <x:c r="A9" s="153" t="str">
        <x:v>Đã hoàn thành</x:v>
      </x:c>
      <x:c r="B9" s="116" t="n">
        <x:f>COUNTIF('CRAWL_LOG'!$C$4:$C$108,"Hoàn thành")</x:f>
        <x:v>0</x:v>
      </x:c>
    </x:row>
    <x:row r="10">
      <x:c r="A10" s="153" t="str">
        <x:v>Hoàn thành có lỗi</x:v>
      </x:c>
      <x:c r="B10" s="116" t="n">
        <x:f>COUNTIF('CRAWL_LOG'!$C$4:$C$108,"Hoàn thành có lỗi")</x:f>
        <x:v>0</x:v>
      </x:c>
    </x:row>
    <x:row r="11">
      <x:c r="A11" s="153" t="str">
        <x:v>Đang chạy</x:v>
      </x:c>
      <x:c r="B11" s="116" t="n">
        <x:f>COUNTIF('CRAWL_LOG'!$C$4:$C$108,"Đang chạy")</x:f>
        <x:v>0</x:v>
      </x:c>
    </x:row>
    <x:row r="12">
      <x:c r="A12" s="154" t="str">
        <x:v>Chưa chạy</x:v>
      </x:c>
      <x:c r="B12" s="117" t="n">
        <x:f>COUNTIF('CRAWL_LOG'!$C$4:$C$108,"Chưa chạy")</x:f>
        <x:v>105</x:v>
      </x:c>
    </x:row>
    <x:row r="15" ht="35" customHeight="1">
      <x:c r="A15" s="157" t="str">
        <x:v>Mỗi ngày có 9 check-in gần + 3 check-in xa; lead time 0 (check-in đúng ngày crawl) là hợp lệ và slot chỉ roll từ ngày hôm sau.</x:v>
      </x:c>
      <x:c r="B15" s="157"/>
      <x:c r="C15" s="157"/>
      <x:c r="D15" s="157"/>
      <x:c r="E15" s="157"/>
    </x:row>
  </x:sheetData>
  <x:mergeCells>
    <x:mergeCell ref="A1:E1"/>
    <x:mergeCell ref="A15:E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13" hidden="0" customWidth="1"/>
    <x:col min="3" max="3" width="12" hidden="0" customWidth="1"/>
    <x:col min="4" max="4" width="16"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0" hidden="0" customWidth="1"/>
    <x:col min="18" max="18" width="10" hidden="0" customWidth="1"/>
    <x:col min="19" max="19" width="15" hidden="0" customWidth="1"/>
    <x:col min="20" max="20" width="17" hidden="0" customWidth="1"/>
    <x:col min="21" max="21" width="34" hidden="0" customWidth="1"/>
    <x:col min="22" max="22" width="28" hidden="0" customWidth="1"/>
  </x:cols>
  <x:sheetData>
    <x:row r="1" ht="28" customHeight="1">
      <x:c r="A1" s="143" t="str">
        <x:v>DAILY CRAWL PLAN — 105 NGÀY, 12 CHECK-IN MỖI NGÀY</x:v>
      </x:c>
      <x:c r="B1" s="143"/>
      <x:c r="C1" s="143"/>
      <x:c r="D1" s="143"/>
      <x:c r="E1" s="143"/>
      <x:c r="F1" s="143"/>
      <x:c r="G1" s="143"/>
      <x:c r="H1" s="143"/>
      <x:c r="I1" s="143"/>
      <x:c r="J1" s="143"/>
      <x:c r="K1" s="143"/>
      <x:c r="L1" s="143"/>
      <x:c r="M1" s="143"/>
      <x:c r="N1" s="143"/>
      <x:c r="O1" s="143"/>
      <x:c r="P1" s="143"/>
      <x:c r="Q1" s="143"/>
      <x:c r="R1" s="143"/>
      <x:c r="S1" s="143"/>
      <x:c r="T1" s="143"/>
      <x:c r="U1" s="143"/>
      <x:c r="V1" s="143"/>
    </x:row>
    <x:row r="2" ht="24" customHeight="1">
      <x:c r="A2" s="159" t="str">
        <x:v>N1–N9 là slot gần; F1–F3 là slot xa. Check-in có thể trùng ngày crawl (lead time 0), không được ở quá khứ; checkout = check-in + 1 ngày.</x:v>
      </x:c>
      <x:c r="B2" s="159"/>
      <x:c r="C2" s="159"/>
      <x:c r="D2" s="159"/>
      <x:c r="E2" s="159"/>
      <x:c r="F2" s="159"/>
      <x:c r="G2" s="159"/>
      <x:c r="H2" s="159"/>
      <x:c r="I2" s="159"/>
      <x:c r="J2" s="159"/>
      <x:c r="K2" s="159"/>
      <x:c r="L2" s="159"/>
      <x:c r="M2" s="159"/>
      <x:c r="N2" s="159"/>
      <x:c r="O2" s="159"/>
      <x:c r="P2" s="159"/>
      <x:c r="Q2" s="159"/>
      <x:c r="R2" s="159"/>
      <x:c r="S2" s="159"/>
      <x:c r="T2" s="159"/>
      <x:c r="U2" s="159"/>
      <x:c r="V2" s="159"/>
    </x:row>
    <x:row r="3" ht="30" customHeight="1">
      <x:c r="A3" s="148" t="str">
        <x:v>Crawl date</x:v>
      </x:c>
      <x:c r="B3" s="148" t="str">
        <x:v>Thứ</x:v>
      </x:c>
      <x:c r="C3" s="148" t="str">
        <x:v>Phase</x:v>
      </x:c>
      <x:c r="D3" s="148" t="str">
        <x:v>Start time (ICT)</x:v>
      </x:c>
      <x:c r="E3" s="148" t="str">
        <x:v>N1 gần</x:v>
      </x:c>
      <x:c r="F3" s="148" t="str">
        <x:v>N2 gần</x:v>
      </x:c>
      <x:c r="G3" s="148" t="str">
        <x:v>N3 gần</x:v>
      </x:c>
      <x:c r="H3" s="148" t="str">
        <x:v>N4 gần</x:v>
      </x:c>
      <x:c r="I3" s="148" t="str">
        <x:v>N5 gần</x:v>
      </x:c>
      <x:c r="J3" s="148" t="str">
        <x:v>N6 gần</x:v>
      </x:c>
      <x:c r="K3" s="148" t="str">
        <x:v>N7 gần</x:v>
      </x:c>
      <x:c r="L3" s="148" t="str">
        <x:v>N8 gần</x:v>
      </x:c>
      <x:c r="M3" s="148" t="str">
        <x:v>N9 gần</x:v>
      </x:c>
      <x:c r="N3" s="148" t="str">
        <x:v>F1 xa</x:v>
      </x:c>
      <x:c r="O3" s="148" t="str">
        <x:v>F2 xa</x:v>
      </x:c>
      <x:c r="P3" s="148" t="str">
        <x:v>F3 xa</x:v>
      </x:c>
      <x:c r="Q3" s="148" t="str">
        <x:v>Min lead</x:v>
      </x:c>
      <x:c r="R3" s="148" t="str">
        <x:v>Max lead</x:v>
      </x:c>
      <x:c r="S3" s="148" t="str">
        <x:v>12 ngày hợp lệ</x:v>
      </x:c>
      <x:c r="T3" s="148" t="str">
        <x:v>Crawl status</x:v>
      </x:c>
      <x:c r="U3" s="148" t="str">
        <x:v>Event flags</x:v>
      </x:c>
      <x:c r="V3" s="148" t="str">
        <x:v>Automation note</x:v>
      </x:c>
    </x:row>
    <x:row r="4" ht="24" customHeight="1">
      <x:c r="A4" s="14" t="n">
        <x:v>46252</x:v>
      </x:c>
      <x:c r="B4" t="str">
        <x:v>Thứ Ba</x:v>
      </x:c>
      <x:c r="C4" t="str">
        <x:v>Warm-up</x:v>
      </x:c>
      <x:c r="D4" t="str">
        <x:v>00:30</x:v>
      </x:c>
      <x:c r="E4" s="160" t="n">
        <x:v>46254</x:v>
      </x:c>
      <x:c r="F4" s="160" t="n">
        <x:v>46256</x:v>
      </x:c>
      <x:c r="G4" s="160" t="n">
        <x:v>46259</x:v>
      </x:c>
      <x:c r="H4" s="160" t="n">
        <x:v>46263</x:v>
      </x:c>
      <x:c r="I4" s="160" t="n">
        <x:v>46267</x:v>
      </x:c>
      <x:c r="J4" s="160" t="n">
        <x:v>46271</x:v>
      </x:c>
      <x:c r="K4" s="160" t="n">
        <x:v>46274</x:v>
      </x:c>
      <x:c r="L4" s="160" t="n">
        <x:v>46277</x:v>
      </x:c>
      <x:c r="M4" s="160" t="n">
        <x:v>46279</x:v>
      </x:c>
      <x:c r="N4" s="161" t="n">
        <x:v>46306</x:v>
      </x:c>
      <x:c r="O4" s="161" t="n">
        <x:v>46344</x:v>
      </x:c>
      <x:c r="P4" s="161" t="n">
        <x:v>46388</x:v>
      </x:c>
      <x:c r="Q4" s="125" t="n">
        <x:v>2</x:v>
      </x:c>
      <x:c r="R4" s="125" t="n">
        <x:v>136</x:v>
      </x:c>
      <x:c r="S4" s="125" t="str">
        <x:v>PASS</x:v>
      </x:c>
      <x:c r="T4" s="125" t="str">
        <x:f>'CRAWL_LOG'!C4</x:f>
        <x:v>Chưa chạy</x:v>
      </x:c>
      <x:c r="U4" s="86" t="str">
        <x:v>Có Quốc khánh 02/09; Có Tết Dương lịch 01/01</x:v>
      </x:c>
      <x:c r="V4" s="86"/>
    </x:row>
    <x:row r="5" ht="24" customHeight="1">
      <x:c r="A5" s="14" t="n">
        <x:v>46253</x:v>
      </x:c>
      <x:c r="B5" t="str">
        <x:v>Thứ Tư</x:v>
      </x:c>
      <x:c r="C5" t="str">
        <x:v>Warm-up</x:v>
      </x:c>
      <x:c r="D5" t="str">
        <x:v>00:30</x:v>
      </x:c>
      <x:c r="E5" s="160" t="n">
        <x:v>46254</x:v>
      </x:c>
      <x:c r="F5" s="160" t="n">
        <x:v>46256</x:v>
      </x:c>
      <x:c r="G5" s="160" t="n">
        <x:v>46259</x:v>
      </x:c>
      <x:c r="H5" s="160" t="n">
        <x:v>46263</x:v>
      </x:c>
      <x:c r="I5" s="160" t="n">
        <x:v>46267</x:v>
      </x:c>
      <x:c r="J5" s="160" t="n">
        <x:v>46271</x:v>
      </x:c>
      <x:c r="K5" s="160" t="n">
        <x:v>46274</x:v>
      </x:c>
      <x:c r="L5" s="160" t="n">
        <x:v>46277</x:v>
      </x:c>
      <x:c r="M5" s="160" t="n">
        <x:v>46279</x:v>
      </x:c>
      <x:c r="N5" s="161" t="n">
        <x:v>46306</x:v>
      </x:c>
      <x:c r="O5" s="161" t="n">
        <x:v>46344</x:v>
      </x:c>
      <x:c r="P5" s="161" t="n">
        <x:v>46388</x:v>
      </x:c>
      <x:c r="Q5" s="125" t="n">
        <x:v>1</x:v>
      </x:c>
      <x:c r="R5" s="125" t="n">
        <x:v>135</x:v>
      </x:c>
      <x:c r="S5" s="125" t="str">
        <x:v>PASS</x:v>
      </x:c>
      <x:c r="T5" s="125" t="str">
        <x:f>'CRAWL_LOG'!C5</x:f>
        <x:v>Chưa chạy</x:v>
      </x:c>
      <x:c r="U5" s="86" t="str">
        <x:v>Có Quốc khánh 02/09; Có Tết Dương lịch 01/01</x:v>
      </x:c>
      <x:c r="V5" s="86"/>
    </x:row>
    <x:row r="6" ht="24" customHeight="1">
      <x:c r="A6" s="14" t="n">
        <x:v>46254</x:v>
      </x:c>
      <x:c r="B6" t="str">
        <x:v>Thứ Năm</x:v>
      </x:c>
      <x:c r="C6" t="str">
        <x:v>Warm-up</x:v>
      </x:c>
      <x:c r="D6" t="str">
        <x:v>00:30</x:v>
      </x:c>
      <x:c r="E6" s="160" t="n">
        <x:v>46254</x:v>
      </x:c>
      <x:c r="F6" s="160" t="n">
        <x:v>46256</x:v>
      </x:c>
      <x:c r="G6" s="160" t="n">
        <x:v>46259</x:v>
      </x:c>
      <x:c r="H6" s="160" t="n">
        <x:v>46263</x:v>
      </x:c>
      <x:c r="I6" s="160" t="n">
        <x:v>46267</x:v>
      </x:c>
      <x:c r="J6" s="160" t="n">
        <x:v>46271</x:v>
      </x:c>
      <x:c r="K6" s="160" t="n">
        <x:v>46274</x:v>
      </x:c>
      <x:c r="L6" s="160" t="n">
        <x:v>46277</x:v>
      </x:c>
      <x:c r="M6" s="160" t="n">
        <x:v>46279</x:v>
      </x:c>
      <x:c r="N6" s="161" t="n">
        <x:v>46306</x:v>
      </x:c>
      <x:c r="O6" s="161" t="n">
        <x:v>46344</x:v>
      </x:c>
      <x:c r="P6" s="161" t="n">
        <x:v>46388</x:v>
      </x:c>
      <x:c r="Q6" s="125" t="n">
        <x:v>0</x:v>
      </x:c>
      <x:c r="R6" s="125" t="n">
        <x:v>134</x:v>
      </x:c>
      <x:c r="S6" s="125" t="str">
        <x:v>PASS</x:v>
      </x:c>
      <x:c r="T6" s="125" t="str">
        <x:f>'CRAWL_LOG'!C6</x:f>
        <x:v>Chưa chạy</x:v>
      </x:c>
      <x:c r="U6" s="86" t="str">
        <x:v>Có Quốc khánh 02/09; Có Tết Dương lịch 01/01</x:v>
      </x:c>
      <x:c r="V6" s="86"/>
    </x:row>
    <x:row r="7" ht="24" customHeight="1">
      <x:c r="A7" s="14" t="n">
        <x:v>46255</x:v>
      </x:c>
      <x:c r="B7" t="str">
        <x:v>Thứ Sáu</x:v>
      </x:c>
      <x:c r="C7" t="str">
        <x:v>Warm-up</x:v>
      </x:c>
      <x:c r="D7" t="str">
        <x:v>00:30</x:v>
      </x:c>
      <x:c r="E7" s="160" t="n">
        <x:v>46282</x:v>
      </x:c>
      <x:c r="F7" s="160" t="n">
        <x:v>46256</x:v>
      </x:c>
      <x:c r="G7" s="160" t="n">
        <x:v>46259</x:v>
      </x:c>
      <x:c r="H7" s="160" t="n">
        <x:v>46263</x:v>
      </x:c>
      <x:c r="I7" s="160" t="n">
        <x:v>46267</x:v>
      </x:c>
      <x:c r="J7" s="160" t="n">
        <x:v>46271</x:v>
      </x:c>
      <x:c r="K7" s="160" t="n">
        <x:v>46274</x:v>
      </x:c>
      <x:c r="L7" s="160" t="n">
        <x:v>46277</x:v>
      </x:c>
      <x:c r="M7" s="160" t="n">
        <x:v>46279</x:v>
      </x:c>
      <x:c r="N7" s="161" t="n">
        <x:v>46306</x:v>
      </x:c>
      <x:c r="O7" s="161" t="n">
        <x:v>46344</x:v>
      </x:c>
      <x:c r="P7" s="161" t="n">
        <x:v>46388</x:v>
      </x:c>
      <x:c r="Q7" s="125" t="n">
        <x:v>1</x:v>
      </x:c>
      <x:c r="R7" s="125" t="n">
        <x:v>133</x:v>
      </x:c>
      <x:c r="S7" s="125" t="str">
        <x:v>PASS</x:v>
      </x:c>
      <x:c r="T7" s="125" t="str">
        <x:f>'CRAWL_LOG'!C7</x:f>
        <x:v>Chưa chạy</x:v>
      </x:c>
      <x:c r="U7" s="86" t="str">
        <x:v>Có Quốc khánh 02/09; Có Tết Dương lịch 01/01</x:v>
      </x:c>
      <x:c r="V7" s="86"/>
    </x:row>
    <x:row r="8" ht="24" customHeight="1">
      <x:c r="A8" s="14" t="n">
        <x:v>46256</x:v>
      </x:c>
      <x:c r="B8" t="str">
        <x:v>Thứ Bảy</x:v>
      </x:c>
      <x:c r="C8" t="str">
        <x:v>Warm-up</x:v>
      </x:c>
      <x:c r="D8" t="str">
        <x:v>00:30</x:v>
      </x:c>
      <x:c r="E8" s="160" t="n">
        <x:v>46282</x:v>
      </x:c>
      <x:c r="F8" s="160" t="n">
        <x:v>46256</x:v>
      </x:c>
      <x:c r="G8" s="160" t="n">
        <x:v>46259</x:v>
      </x:c>
      <x:c r="H8" s="160" t="n">
        <x:v>46263</x:v>
      </x:c>
      <x:c r="I8" s="160" t="n">
        <x:v>46267</x:v>
      </x:c>
      <x:c r="J8" s="160" t="n">
        <x:v>46271</x:v>
      </x:c>
      <x:c r="K8" s="160" t="n">
        <x:v>46274</x:v>
      </x:c>
      <x:c r="L8" s="160" t="n">
        <x:v>46277</x:v>
      </x:c>
      <x:c r="M8" s="160" t="n">
        <x:v>46279</x:v>
      </x:c>
      <x:c r="N8" s="161" t="n">
        <x:v>46306</x:v>
      </x:c>
      <x:c r="O8" s="161" t="n">
        <x:v>46344</x:v>
      </x:c>
      <x:c r="P8" s="161" t="n">
        <x:v>46388</x:v>
      </x:c>
      <x:c r="Q8" s="125" t="n">
        <x:v>0</x:v>
      </x:c>
      <x:c r="R8" s="125" t="n">
        <x:v>132</x:v>
      </x:c>
      <x:c r="S8" s="125" t="str">
        <x:v>PASS</x:v>
      </x:c>
      <x:c r="T8" s="125" t="str">
        <x:f>'CRAWL_LOG'!C8</x:f>
        <x:v>Chưa chạy</x:v>
      </x:c>
      <x:c r="U8" s="86" t="str">
        <x:v>Có Quốc khánh 02/09; Có Tết Dương lịch 01/01</x:v>
      </x:c>
      <x:c r="V8" s="86"/>
    </x:row>
    <x:row r="9" ht="24" customHeight="1">
      <x:c r="A9" s="14" t="n">
        <x:v>46257</x:v>
      </x:c>
      <x:c r="B9" t="str">
        <x:v>Chủ Nhật</x:v>
      </x:c>
      <x:c r="C9" t="str">
        <x:v>Warm-up</x:v>
      </x:c>
      <x:c r="D9" t="str">
        <x:v>00:30</x:v>
      </x:c>
      <x:c r="E9" s="160" t="n">
        <x:v>46282</x:v>
      </x:c>
      <x:c r="F9" s="160" t="n">
        <x:v>46284</x:v>
      </x:c>
      <x:c r="G9" s="160" t="n">
        <x:v>46259</x:v>
      </x:c>
      <x:c r="H9" s="160" t="n">
        <x:v>46263</x:v>
      </x:c>
      <x:c r="I9" s="160" t="n">
        <x:v>46267</x:v>
      </x:c>
      <x:c r="J9" s="160" t="n">
        <x:v>46271</x:v>
      </x:c>
      <x:c r="K9" s="160" t="n">
        <x:v>46274</x:v>
      </x:c>
      <x:c r="L9" s="160" t="n">
        <x:v>46277</x:v>
      </x:c>
      <x:c r="M9" s="160" t="n">
        <x:v>46279</x:v>
      </x:c>
      <x:c r="N9" s="161" t="n">
        <x:v>46306</x:v>
      </x:c>
      <x:c r="O9" s="161" t="n">
        <x:v>46344</x:v>
      </x:c>
      <x:c r="P9" s="161" t="n">
        <x:v>46388</x:v>
      </x:c>
      <x:c r="Q9" s="125" t="n">
        <x:v>2</x:v>
      </x:c>
      <x:c r="R9" s="125" t="n">
        <x:v>131</x:v>
      </x:c>
      <x:c r="S9" s="125" t="str">
        <x:v>PASS</x:v>
      </x:c>
      <x:c r="T9" s="125" t="str">
        <x:f>'CRAWL_LOG'!C9</x:f>
        <x:v>Chưa chạy</x:v>
      </x:c>
      <x:c r="U9" s="86" t="str">
        <x:v>Có Quốc khánh 02/09; Có Tết Dương lịch 01/01</x:v>
      </x:c>
      <x:c r="V9" s="86"/>
    </x:row>
    <x:row r="10" ht="24" customHeight="1">
      <x:c r="A10" s="14" t="n">
        <x:v>46258</x:v>
      </x:c>
      <x:c r="B10" t="str">
        <x:v>Thứ Hai</x:v>
      </x:c>
      <x:c r="C10" t="str">
        <x:v>Warm-up</x:v>
      </x:c>
      <x:c r="D10" t="str">
        <x:v>00:30</x:v>
      </x:c>
      <x:c r="E10" s="160" t="n">
        <x:v>46282</x:v>
      </x:c>
      <x:c r="F10" s="160" t="n">
        <x:v>46284</x:v>
      </x:c>
      <x:c r="G10" s="160" t="n">
        <x:v>46259</x:v>
      </x:c>
      <x:c r="H10" s="160" t="n">
        <x:v>46263</x:v>
      </x:c>
      <x:c r="I10" s="160" t="n">
        <x:v>46267</x:v>
      </x:c>
      <x:c r="J10" s="160" t="n">
        <x:v>46271</x:v>
      </x:c>
      <x:c r="K10" s="160" t="n">
        <x:v>46274</x:v>
      </x:c>
      <x:c r="L10" s="160" t="n">
        <x:v>46277</x:v>
      </x:c>
      <x:c r="M10" s="160" t="n">
        <x:v>46279</x:v>
      </x:c>
      <x:c r="N10" s="161" t="n">
        <x:v>46306</x:v>
      </x:c>
      <x:c r="O10" s="161" t="n">
        <x:v>46344</x:v>
      </x:c>
      <x:c r="P10" s="161" t="n">
        <x:v>46388</x:v>
      </x:c>
      <x:c r="Q10" s="125" t="n">
        <x:v>1</x:v>
      </x:c>
      <x:c r="R10" s="125" t="n">
        <x:v>130</x:v>
      </x:c>
      <x:c r="S10" s="125" t="str">
        <x:v>PASS</x:v>
      </x:c>
      <x:c r="T10" s="125" t="str">
        <x:f>'CRAWL_LOG'!C10</x:f>
        <x:v>Chưa chạy</x:v>
      </x:c>
      <x:c r="U10" s="86" t="str">
        <x:v>Có Quốc khánh 02/09; Có Tết Dương lịch 01/01</x:v>
      </x:c>
      <x:c r="V10" s="86"/>
    </x:row>
    <x:row r="11" ht="24" customHeight="1">
      <x:c r="A11" s="14" t="n">
        <x:v>46259</x:v>
      </x:c>
      <x:c r="B11" t="str">
        <x:v>Thứ Ba</x:v>
      </x:c>
      <x:c r="C11" t="str">
        <x:v>Warm-up</x:v>
      </x:c>
      <x:c r="D11" t="str">
        <x:v>00:30</x:v>
      </x:c>
      <x:c r="E11" s="160" t="n">
        <x:v>46282</x:v>
      </x:c>
      <x:c r="F11" s="160" t="n">
        <x:v>46284</x:v>
      </x:c>
      <x:c r="G11" s="160" t="n">
        <x:v>46259</x:v>
      </x:c>
      <x:c r="H11" s="160" t="n">
        <x:v>46263</x:v>
      </x:c>
      <x:c r="I11" s="160" t="n">
        <x:v>46267</x:v>
      </x:c>
      <x:c r="J11" s="160" t="n">
        <x:v>46271</x:v>
      </x:c>
      <x:c r="K11" s="160" t="n">
        <x:v>46274</x:v>
      </x:c>
      <x:c r="L11" s="160" t="n">
        <x:v>46277</x:v>
      </x:c>
      <x:c r="M11" s="160" t="n">
        <x:v>46279</x:v>
      </x:c>
      <x:c r="N11" s="161" t="n">
        <x:v>46306</x:v>
      </x:c>
      <x:c r="O11" s="161" t="n">
        <x:v>46344</x:v>
      </x:c>
      <x:c r="P11" s="161" t="n">
        <x:v>46388</x:v>
      </x:c>
      <x:c r="Q11" s="125" t="n">
        <x:v>0</x:v>
      </x:c>
      <x:c r="R11" s="125" t="n">
        <x:v>129</x:v>
      </x:c>
      <x:c r="S11" s="125" t="str">
        <x:v>PASS</x:v>
      </x:c>
      <x:c r="T11" s="125" t="str">
        <x:f>'CRAWL_LOG'!C11</x:f>
        <x:v>Chưa chạy</x:v>
      </x:c>
      <x:c r="U11" s="86" t="str">
        <x:v>Có Quốc khánh 02/09; Có Tết Dương lịch 01/01</x:v>
      </x:c>
      <x:c r="V11" s="86"/>
    </x:row>
    <x:row r="12" ht="24" customHeight="1">
      <x:c r="A12" s="14" t="n">
        <x:v>46260</x:v>
      </x:c>
      <x:c r="B12" t="str">
        <x:v>Thứ Tư</x:v>
      </x:c>
      <x:c r="C12" t="str">
        <x:v>Warm-up</x:v>
      </x:c>
      <x:c r="D12" t="str">
        <x:v>00:30</x:v>
      </x:c>
      <x:c r="E12" s="160" t="n">
        <x:v>46282</x:v>
      </x:c>
      <x:c r="F12" s="160" t="n">
        <x:v>46284</x:v>
      </x:c>
      <x:c r="G12" s="160" t="n">
        <x:v>46287</x:v>
      </x:c>
      <x:c r="H12" s="160" t="n">
        <x:v>46263</x:v>
      </x:c>
      <x:c r="I12" s="160" t="n">
        <x:v>46267</x:v>
      </x:c>
      <x:c r="J12" s="160" t="n">
        <x:v>46271</x:v>
      </x:c>
      <x:c r="K12" s="160" t="n">
        <x:v>46274</x:v>
      </x:c>
      <x:c r="L12" s="160" t="n">
        <x:v>46277</x:v>
      </x:c>
      <x:c r="M12" s="160" t="n">
        <x:v>46279</x:v>
      </x:c>
      <x:c r="N12" s="161" t="n">
        <x:v>46306</x:v>
      </x:c>
      <x:c r="O12" s="161" t="n">
        <x:v>46344</x:v>
      </x:c>
      <x:c r="P12" s="161" t="n">
        <x:v>46388</x:v>
      </x:c>
      <x:c r="Q12" s="125" t="n">
        <x:v>3</x:v>
      </x:c>
      <x:c r="R12" s="125" t="n">
        <x:v>128</x:v>
      </x:c>
      <x:c r="S12" s="125" t="str">
        <x:v>PASS</x:v>
      </x:c>
      <x:c r="T12" s="125" t="str">
        <x:f>'CRAWL_LOG'!C12</x:f>
        <x:v>Chưa chạy</x:v>
      </x:c>
      <x:c r="U12" s="86" t="str">
        <x:v>Có Quốc khánh 02/09; Có Tết Dương lịch 01/01</x:v>
      </x:c>
      <x:c r="V12" s="86"/>
    </x:row>
    <x:row r="13" ht="24" customHeight="1">
      <x:c r="A13" s="14" t="n">
        <x:v>46261</x:v>
      </x:c>
      <x:c r="B13" t="str">
        <x:v>Thứ Năm</x:v>
      </x:c>
      <x:c r="C13" t="str">
        <x:v>Warm-up</x:v>
      </x:c>
      <x:c r="D13" t="str">
        <x:v>00:30</x:v>
      </x:c>
      <x:c r="E13" s="160" t="n">
        <x:v>46282</x:v>
      </x:c>
      <x:c r="F13" s="160" t="n">
        <x:v>46284</x:v>
      </x:c>
      <x:c r="G13" s="160" t="n">
        <x:v>46287</x:v>
      </x:c>
      <x:c r="H13" s="160" t="n">
        <x:v>46263</x:v>
      </x:c>
      <x:c r="I13" s="160" t="n">
        <x:v>46267</x:v>
      </x:c>
      <x:c r="J13" s="160" t="n">
        <x:v>46271</x:v>
      </x:c>
      <x:c r="K13" s="160" t="n">
        <x:v>46274</x:v>
      </x:c>
      <x:c r="L13" s="160" t="n">
        <x:v>46277</x:v>
      </x:c>
      <x:c r="M13" s="160" t="n">
        <x:v>46279</x:v>
      </x:c>
      <x:c r="N13" s="161" t="n">
        <x:v>46306</x:v>
      </x:c>
      <x:c r="O13" s="161" t="n">
        <x:v>46344</x:v>
      </x:c>
      <x:c r="P13" s="161" t="n">
        <x:v>46388</x:v>
      </x:c>
      <x:c r="Q13" s="125" t="n">
        <x:v>2</x:v>
      </x:c>
      <x:c r="R13" s="125" t="n">
        <x:v>127</x:v>
      </x:c>
      <x:c r="S13" s="125" t="str">
        <x:v>PASS</x:v>
      </x:c>
      <x:c r="T13" s="125" t="str">
        <x:f>'CRAWL_LOG'!C13</x:f>
        <x:v>Chưa chạy</x:v>
      </x:c>
      <x:c r="U13" s="86" t="str">
        <x:v>Có Quốc khánh 02/09; Có Tết Dương lịch 01/01</x:v>
      </x:c>
      <x:c r="V13" s="86"/>
    </x:row>
    <x:row r="14" ht="24" customHeight="1">
      <x:c r="A14" s="14" t="n">
        <x:v>46262</x:v>
      </x:c>
      <x:c r="B14" t="str">
        <x:v>Thứ Sáu</x:v>
      </x:c>
      <x:c r="C14" t="str">
        <x:v>Warm-up</x:v>
      </x:c>
      <x:c r="D14" t="str">
        <x:v>00:30</x:v>
      </x:c>
      <x:c r="E14" s="160" t="n">
        <x:v>46282</x:v>
      </x:c>
      <x:c r="F14" s="160" t="n">
        <x:v>46284</x:v>
      </x:c>
      <x:c r="G14" s="160" t="n">
        <x:v>46287</x:v>
      </x:c>
      <x:c r="H14" s="160" t="n">
        <x:v>46263</x:v>
      </x:c>
      <x:c r="I14" s="160" t="n">
        <x:v>46267</x:v>
      </x:c>
      <x:c r="J14" s="160" t="n">
        <x:v>46271</x:v>
      </x:c>
      <x:c r="K14" s="160" t="n">
        <x:v>46274</x:v>
      </x:c>
      <x:c r="L14" s="160" t="n">
        <x:v>46277</x:v>
      </x:c>
      <x:c r="M14" s="160" t="n">
        <x:v>46279</x:v>
      </x:c>
      <x:c r="N14" s="161" t="n">
        <x:v>46306</x:v>
      </x:c>
      <x:c r="O14" s="161" t="n">
        <x:v>46344</x:v>
      </x:c>
      <x:c r="P14" s="161" t="n">
        <x:v>46388</x:v>
      </x:c>
      <x:c r="Q14" s="125" t="n">
        <x:v>1</x:v>
      </x:c>
      <x:c r="R14" s="125" t="n">
        <x:v>126</x:v>
      </x:c>
      <x:c r="S14" s="125" t="str">
        <x:v>PASS</x:v>
      </x:c>
      <x:c r="T14" s="125" t="str">
        <x:f>'CRAWL_LOG'!C14</x:f>
        <x:v>Chưa chạy</x:v>
      </x:c>
      <x:c r="U14" s="86" t="str">
        <x:v>Có Quốc khánh 02/09; Có Tết Dương lịch 01/01</x:v>
      </x:c>
      <x:c r="V14" s="86"/>
    </x:row>
    <x:row r="15" ht="24" customHeight="1">
      <x:c r="A15" s="14" t="n">
        <x:v>46263</x:v>
      </x:c>
      <x:c r="B15" t="str">
        <x:v>Thứ Bảy</x:v>
      </x:c>
      <x:c r="C15" t="str">
        <x:v>Warm-up</x:v>
      </x:c>
      <x:c r="D15" t="str">
        <x:v>00:30</x:v>
      </x:c>
      <x:c r="E15" s="160" t="n">
        <x:v>46282</x:v>
      </x:c>
      <x:c r="F15" s="160" t="n">
        <x:v>46284</x:v>
      </x:c>
      <x:c r="G15" s="160" t="n">
        <x:v>46287</x:v>
      </x:c>
      <x:c r="H15" s="160" t="n">
        <x:v>46263</x:v>
      </x:c>
      <x:c r="I15" s="160" t="n">
        <x:v>46267</x:v>
      </x:c>
      <x:c r="J15" s="160" t="n">
        <x:v>46271</x:v>
      </x:c>
      <x:c r="K15" s="160" t="n">
        <x:v>46274</x:v>
      </x:c>
      <x:c r="L15" s="160" t="n">
        <x:v>46277</x:v>
      </x:c>
      <x:c r="M15" s="160" t="n">
        <x:v>46279</x:v>
      </x:c>
      <x:c r="N15" s="161" t="n">
        <x:v>46306</x:v>
      </x:c>
      <x:c r="O15" s="161" t="n">
        <x:v>46344</x:v>
      </x:c>
      <x:c r="P15" s="161" t="n">
        <x:v>46388</x:v>
      </x:c>
      <x:c r="Q15" s="125" t="n">
        <x:v>0</x:v>
      </x:c>
      <x:c r="R15" s="125" t="n">
        <x:v>125</x:v>
      </x:c>
      <x:c r="S15" s="125" t="str">
        <x:v>PASS</x:v>
      </x:c>
      <x:c r="T15" s="125" t="str">
        <x:f>'CRAWL_LOG'!C15</x:f>
        <x:v>Chưa chạy</x:v>
      </x:c>
      <x:c r="U15" s="86" t="str">
        <x:v>Có Quốc khánh 02/09; Có Tết Dương lịch 01/01</x:v>
      </x:c>
      <x:c r="V15" s="86"/>
    </x:row>
    <x:row r="16" ht="24" customHeight="1">
      <x:c r="A16" s="14" t="n">
        <x:v>46264</x:v>
      </x:c>
      <x:c r="B16" t="str">
        <x:v>Chủ Nhật</x:v>
      </x:c>
      <x:c r="C16" t="str">
        <x:v>Warm-up</x:v>
      </x:c>
      <x:c r="D16" t="str">
        <x:v>00:30</x:v>
      </x:c>
      <x:c r="E16" s="160" t="n">
        <x:v>46282</x:v>
      </x:c>
      <x:c r="F16" s="160" t="n">
        <x:v>46284</x:v>
      </x:c>
      <x:c r="G16" s="160" t="n">
        <x:v>46287</x:v>
      </x:c>
      <x:c r="H16" s="160" t="n">
        <x:v>46291</x:v>
      </x:c>
      <x:c r="I16" s="160" t="n">
        <x:v>46267</x:v>
      </x:c>
      <x:c r="J16" s="160" t="n">
        <x:v>46271</x:v>
      </x:c>
      <x:c r="K16" s="160" t="n">
        <x:v>46274</x:v>
      </x:c>
      <x:c r="L16" s="160" t="n">
        <x:v>46277</x:v>
      </x:c>
      <x:c r="M16" s="160" t="n">
        <x:v>46279</x:v>
      </x:c>
      <x:c r="N16" s="161" t="n">
        <x:v>46306</x:v>
      </x:c>
      <x:c r="O16" s="161" t="n">
        <x:v>46344</x:v>
      </x:c>
      <x:c r="P16" s="161" t="n">
        <x:v>46388</x:v>
      </x:c>
      <x:c r="Q16" s="125" t="n">
        <x:v>3</x:v>
      </x:c>
      <x:c r="R16" s="125" t="n">
        <x:v>124</x:v>
      </x:c>
      <x:c r="S16" s="125" t="str">
        <x:v>PASS</x:v>
      </x:c>
      <x:c r="T16" s="125" t="str">
        <x:f>'CRAWL_LOG'!C16</x:f>
        <x:v>Chưa chạy</x:v>
      </x:c>
      <x:c r="U16" s="86" t="str">
        <x:v>Có Quốc khánh 02/09; Có Tết Dương lịch 01/01</x:v>
      </x:c>
      <x:c r="V16" s="86"/>
    </x:row>
    <x:row r="17" ht="24" customHeight="1">
      <x:c r="A17" s="14" t="n">
        <x:v>46265</x:v>
      </x:c>
      <x:c r="B17" t="str">
        <x:v>Thứ Hai</x:v>
      </x:c>
      <x:c r="C17" t="str">
        <x:v>Warm-up</x:v>
      </x:c>
      <x:c r="D17" t="str">
        <x:v>00:30</x:v>
      </x:c>
      <x:c r="E17" s="160" t="n">
        <x:v>46282</x:v>
      </x:c>
      <x:c r="F17" s="160" t="n">
        <x:v>46284</x:v>
      </x:c>
      <x:c r="G17" s="160" t="n">
        <x:v>46287</x:v>
      </x:c>
      <x:c r="H17" s="160" t="n">
        <x:v>46291</x:v>
      </x:c>
      <x:c r="I17" s="160" t="n">
        <x:v>46267</x:v>
      </x:c>
      <x:c r="J17" s="160" t="n">
        <x:v>46271</x:v>
      </x:c>
      <x:c r="K17" s="160" t="n">
        <x:v>46274</x:v>
      </x:c>
      <x:c r="L17" s="160" t="n">
        <x:v>46277</x:v>
      </x:c>
      <x:c r="M17" s="160" t="n">
        <x:v>46279</x:v>
      </x:c>
      <x:c r="N17" s="161" t="n">
        <x:v>46306</x:v>
      </x:c>
      <x:c r="O17" s="161" t="n">
        <x:v>46344</x:v>
      </x:c>
      <x:c r="P17" s="161" t="n">
        <x:v>46388</x:v>
      </x:c>
      <x:c r="Q17" s="125" t="n">
        <x:v>2</x:v>
      </x:c>
      <x:c r="R17" s="125" t="n">
        <x:v>123</x:v>
      </x:c>
      <x:c r="S17" s="125" t="str">
        <x:v>PASS</x:v>
      </x:c>
      <x:c r="T17" s="125" t="str">
        <x:f>'CRAWL_LOG'!C17</x:f>
        <x:v>Chưa chạy</x:v>
      </x:c>
      <x:c r="U17" s="86" t="str">
        <x:v>Có Quốc khánh 02/09; Có Tết Dương lịch 01/01</x:v>
      </x:c>
      <x:c r="V17" s="86"/>
    </x:row>
    <x:row r="18" ht="24" customHeight="1">
      <x:c r="A18" s="14" t="n">
        <x:v>46266</x:v>
      </x:c>
      <x:c r="B18" t="str">
        <x:v>Thứ Ba</x:v>
      </x:c>
      <x:c r="C18" t="str">
        <x:v>Official</x:v>
      </x:c>
      <x:c r="D18" t="str">
        <x:v>00:30</x:v>
      </x:c>
      <x:c r="E18" s="160" t="n">
        <x:v>46282</x:v>
      </x:c>
      <x:c r="F18" s="160" t="n">
        <x:v>46284</x:v>
      </x:c>
      <x:c r="G18" s="160" t="n">
        <x:v>46287</x:v>
      </x:c>
      <x:c r="H18" s="160" t="n">
        <x:v>46291</x:v>
      </x:c>
      <x:c r="I18" s="160" t="n">
        <x:v>46267</x:v>
      </x:c>
      <x:c r="J18" s="160" t="n">
        <x:v>46271</x:v>
      </x:c>
      <x:c r="K18" s="160" t="n">
        <x:v>46274</x:v>
      </x:c>
      <x:c r="L18" s="160" t="n">
        <x:v>46277</x:v>
      </x:c>
      <x:c r="M18" s="160" t="n">
        <x:v>46279</x:v>
      </x:c>
      <x:c r="N18" s="161" t="n">
        <x:v>46306</x:v>
      </x:c>
      <x:c r="O18" s="161" t="n">
        <x:v>46344</x:v>
      </x:c>
      <x:c r="P18" s="161" t="n">
        <x:v>46388</x:v>
      </x:c>
      <x:c r="Q18" s="125" t="n">
        <x:v>1</x:v>
      </x:c>
      <x:c r="R18" s="125" t="n">
        <x:v>122</x:v>
      </x:c>
      <x:c r="S18" s="125" t="str">
        <x:v>PASS</x:v>
      </x:c>
      <x:c r="T18" s="125" t="str">
        <x:f>'CRAWL_LOG'!C18</x:f>
        <x:v>Chưa chạy</x:v>
      </x:c>
      <x:c r="U18" s="86" t="str">
        <x:v>Có Quốc khánh 02/09; Có Tết Dương lịch 01/01</x:v>
      </x:c>
      <x:c r="V18" s="86"/>
    </x:row>
    <x:row r="19" ht="24" customHeight="1">
      <x:c r="A19" s="14" t="n">
        <x:v>46267</x:v>
      </x:c>
      <x:c r="B19" t="str">
        <x:v>Thứ Tư</x:v>
      </x:c>
      <x:c r="C19" t="str">
        <x:v>Official</x:v>
      </x:c>
      <x:c r="D19" t="str">
        <x:v>00:30</x:v>
      </x:c>
      <x:c r="E19" s="160" t="n">
        <x:v>46282</x:v>
      </x:c>
      <x:c r="F19" s="160" t="n">
        <x:v>46284</x:v>
      </x:c>
      <x:c r="G19" s="160" t="n">
        <x:v>46287</x:v>
      </x:c>
      <x:c r="H19" s="160" t="n">
        <x:v>46291</x:v>
      </x:c>
      <x:c r="I19" s="160" t="n">
        <x:v>46267</x:v>
      </x:c>
      <x:c r="J19" s="160" t="n">
        <x:v>46271</x:v>
      </x:c>
      <x:c r="K19" s="160" t="n">
        <x:v>46274</x:v>
      </x:c>
      <x:c r="L19" s="160" t="n">
        <x:v>46277</x:v>
      </x:c>
      <x:c r="M19" s="160" t="n">
        <x:v>46279</x:v>
      </x:c>
      <x:c r="N19" s="161" t="n">
        <x:v>46306</x:v>
      </x:c>
      <x:c r="O19" s="161" t="n">
        <x:v>46344</x:v>
      </x:c>
      <x:c r="P19" s="161" t="n">
        <x:v>46388</x:v>
      </x:c>
      <x:c r="Q19" s="125" t="n">
        <x:v>0</x:v>
      </x:c>
      <x:c r="R19" s="125" t="n">
        <x:v>121</x:v>
      </x:c>
      <x:c r="S19" s="125" t="str">
        <x:v>PASS</x:v>
      </x:c>
      <x:c r="T19" s="125" t="str">
        <x:f>'CRAWL_LOG'!C19</x:f>
        <x:v>Chưa chạy</x:v>
      </x:c>
      <x:c r="U19" s="86" t="str">
        <x:v>Có Quốc khánh 02/09; Có Tết Dương lịch 01/01</x:v>
      </x:c>
      <x:c r="V19" s="86"/>
    </x:row>
    <x:row r="20" ht="24" customHeight="1">
      <x:c r="A20" s="14" t="n">
        <x:v>46268</x:v>
      </x:c>
      <x:c r="B20" t="str">
        <x:v>Thứ Năm</x:v>
      </x:c>
      <x:c r="C20" t="str">
        <x:v>Official</x:v>
      </x:c>
      <x:c r="D20" t="str">
        <x:v>00:30</x:v>
      </x:c>
      <x:c r="E20" s="160" t="n">
        <x:v>46282</x:v>
      </x:c>
      <x:c r="F20" s="160" t="n">
        <x:v>46284</x:v>
      </x:c>
      <x:c r="G20" s="160" t="n">
        <x:v>46287</x:v>
      </x:c>
      <x:c r="H20" s="160" t="n">
        <x:v>46291</x:v>
      </x:c>
      <x:c r="I20" s="160" t="n">
        <x:v>46295</x:v>
      </x:c>
      <x:c r="J20" s="160" t="n">
        <x:v>46271</x:v>
      </x:c>
      <x:c r="K20" s="160" t="n">
        <x:v>46274</x:v>
      </x:c>
      <x:c r="L20" s="160" t="n">
        <x:v>46277</x:v>
      </x:c>
      <x:c r="M20" s="160" t="n">
        <x:v>46279</x:v>
      </x:c>
      <x:c r="N20" s="161" t="n">
        <x:v>46306</x:v>
      </x:c>
      <x:c r="O20" s="161" t="n">
        <x:v>46344</x:v>
      </x:c>
      <x:c r="P20" s="161" t="n">
        <x:v>46388</x:v>
      </x:c>
      <x:c r="Q20" s="125" t="n">
        <x:v>3</x:v>
      </x:c>
      <x:c r="R20" s="125" t="n">
        <x:v>120</x:v>
      </x:c>
      <x:c r="S20" s="125" t="str">
        <x:v>PASS</x:v>
      </x:c>
      <x:c r="T20" s="125" t="str">
        <x:f>'CRAWL_LOG'!C20</x:f>
        <x:v>Chưa chạy</x:v>
      </x:c>
      <x:c r="U20" s="86" t="str">
        <x:v>Có Tết Dương lịch 01/01</x:v>
      </x:c>
      <x:c r="V20" s="86"/>
    </x:row>
    <x:row r="21" ht="24" customHeight="1">
      <x:c r="A21" s="14" t="n">
        <x:v>46269</x:v>
      </x:c>
      <x:c r="B21" t="str">
        <x:v>Thứ Sáu</x:v>
      </x:c>
      <x:c r="C21" t="str">
        <x:v>Official</x:v>
      </x:c>
      <x:c r="D21" t="str">
        <x:v>00:30</x:v>
      </x:c>
      <x:c r="E21" s="160" t="n">
        <x:v>46282</x:v>
      </x:c>
      <x:c r="F21" s="160" t="n">
        <x:v>46284</x:v>
      </x:c>
      <x:c r="G21" s="160" t="n">
        <x:v>46287</x:v>
      </x:c>
      <x:c r="H21" s="160" t="n">
        <x:v>46291</x:v>
      </x:c>
      <x:c r="I21" s="160" t="n">
        <x:v>46295</x:v>
      </x:c>
      <x:c r="J21" s="160" t="n">
        <x:v>46271</x:v>
      </x:c>
      <x:c r="K21" s="160" t="n">
        <x:v>46274</x:v>
      </x:c>
      <x:c r="L21" s="160" t="n">
        <x:v>46277</x:v>
      </x:c>
      <x:c r="M21" s="160" t="n">
        <x:v>46279</x:v>
      </x:c>
      <x:c r="N21" s="161" t="n">
        <x:v>46306</x:v>
      </x:c>
      <x:c r="O21" s="161" t="n">
        <x:v>46344</x:v>
      </x:c>
      <x:c r="P21" s="161" t="n">
        <x:v>46388</x:v>
      </x:c>
      <x:c r="Q21" s="125" t="n">
        <x:v>2</x:v>
      </x:c>
      <x:c r="R21" s="125" t="n">
        <x:v>119</x:v>
      </x:c>
      <x:c r="S21" s="125" t="str">
        <x:v>PASS</x:v>
      </x:c>
      <x:c r="T21" s="125" t="str">
        <x:f>'CRAWL_LOG'!C21</x:f>
        <x:v>Chưa chạy</x:v>
      </x:c>
      <x:c r="U21" s="86" t="str">
        <x:v>Có Tết Dương lịch 01/01</x:v>
      </x:c>
      <x:c r="V21" s="86"/>
    </x:row>
    <x:row r="22" ht="24" customHeight="1">
      <x:c r="A22" s="14" t="n">
        <x:v>46270</x:v>
      </x:c>
      <x:c r="B22" t="str">
        <x:v>Thứ Bảy</x:v>
      </x:c>
      <x:c r="C22" t="str">
        <x:v>Official</x:v>
      </x:c>
      <x:c r="D22" t="str">
        <x:v>00:30</x:v>
      </x:c>
      <x:c r="E22" s="160" t="n">
        <x:v>46282</x:v>
      </x:c>
      <x:c r="F22" s="160" t="n">
        <x:v>46284</x:v>
      </x:c>
      <x:c r="G22" s="160" t="n">
        <x:v>46287</x:v>
      </x:c>
      <x:c r="H22" s="160" t="n">
        <x:v>46291</x:v>
      </x:c>
      <x:c r="I22" s="160" t="n">
        <x:v>46295</x:v>
      </x:c>
      <x:c r="J22" s="160" t="n">
        <x:v>46271</x:v>
      </x:c>
      <x:c r="K22" s="160" t="n">
        <x:v>46274</x:v>
      </x:c>
      <x:c r="L22" s="160" t="n">
        <x:v>46277</x:v>
      </x:c>
      <x:c r="M22" s="160" t="n">
        <x:v>46279</x:v>
      </x:c>
      <x:c r="N22" s="161" t="n">
        <x:v>46306</x:v>
      </x:c>
      <x:c r="O22" s="161" t="n">
        <x:v>46344</x:v>
      </x:c>
      <x:c r="P22" s="161" t="n">
        <x:v>46388</x:v>
      </x:c>
      <x:c r="Q22" s="125" t="n">
        <x:v>1</x:v>
      </x:c>
      <x:c r="R22" s="125" t="n">
        <x:v>118</x:v>
      </x:c>
      <x:c r="S22" s="125" t="str">
        <x:v>PASS</x:v>
      </x:c>
      <x:c r="T22" s="125" t="str">
        <x:f>'CRAWL_LOG'!C22</x:f>
        <x:v>Chưa chạy</x:v>
      </x:c>
      <x:c r="U22" s="86" t="str">
        <x:v>Có Tết Dương lịch 01/01</x:v>
      </x:c>
      <x:c r="V22" s="86"/>
    </x:row>
    <x:row r="23" ht="24" customHeight="1">
      <x:c r="A23" s="14" t="n">
        <x:v>46271</x:v>
      </x:c>
      <x:c r="B23" t="str">
        <x:v>Chủ Nhật</x:v>
      </x:c>
      <x:c r="C23" t="str">
        <x:v>Official</x:v>
      </x:c>
      <x:c r="D23" t="str">
        <x:v>00:30</x:v>
      </x:c>
      <x:c r="E23" s="160" t="n">
        <x:v>46282</x:v>
      </x:c>
      <x:c r="F23" s="160" t="n">
        <x:v>46284</x:v>
      </x:c>
      <x:c r="G23" s="160" t="n">
        <x:v>46287</x:v>
      </x:c>
      <x:c r="H23" s="160" t="n">
        <x:v>46291</x:v>
      </x:c>
      <x:c r="I23" s="160" t="n">
        <x:v>46295</x:v>
      </x:c>
      <x:c r="J23" s="160" t="n">
        <x:v>46271</x:v>
      </x:c>
      <x:c r="K23" s="160" t="n">
        <x:v>46274</x:v>
      </x:c>
      <x:c r="L23" s="160" t="n">
        <x:v>46277</x:v>
      </x:c>
      <x:c r="M23" s="160" t="n">
        <x:v>46279</x:v>
      </x:c>
      <x:c r="N23" s="161" t="n">
        <x:v>46306</x:v>
      </x:c>
      <x:c r="O23" s="161" t="n">
        <x:v>46344</x:v>
      </x:c>
      <x:c r="P23" s="161" t="n">
        <x:v>46388</x:v>
      </x:c>
      <x:c r="Q23" s="125" t="n">
        <x:v>0</x:v>
      </x:c>
      <x:c r="R23" s="125" t="n">
        <x:v>117</x:v>
      </x:c>
      <x:c r="S23" s="125" t="str">
        <x:v>PASS</x:v>
      </x:c>
      <x:c r="T23" s="125" t="str">
        <x:f>'CRAWL_LOG'!C23</x:f>
        <x:v>Chưa chạy</x:v>
      </x:c>
      <x:c r="U23" s="86" t="str">
        <x:v>Có Tết Dương lịch 01/01</x:v>
      </x:c>
      <x:c r="V23" s="86"/>
    </x:row>
    <x:row r="24" ht="24" customHeight="1">
      <x:c r="A24" s="14" t="n">
        <x:v>46272</x:v>
      </x:c>
      <x:c r="B24" t="str">
        <x:v>Thứ Hai</x:v>
      </x:c>
      <x:c r="C24" t="str">
        <x:v>Official</x:v>
      </x:c>
      <x:c r="D24" t="str">
        <x:v>00:30</x:v>
      </x:c>
      <x:c r="E24" s="160" t="n">
        <x:v>46282</x:v>
      </x:c>
      <x:c r="F24" s="160" t="n">
        <x:v>46284</x:v>
      </x:c>
      <x:c r="G24" s="160" t="n">
        <x:v>46287</x:v>
      </x:c>
      <x:c r="H24" s="160" t="n">
        <x:v>46291</x:v>
      </x:c>
      <x:c r="I24" s="160" t="n">
        <x:v>46295</x:v>
      </x:c>
      <x:c r="J24" s="160" t="n">
        <x:v>46299</x:v>
      </x:c>
      <x:c r="K24" s="160" t="n">
        <x:v>46274</x:v>
      </x:c>
      <x:c r="L24" s="160" t="n">
        <x:v>46277</x:v>
      </x:c>
      <x:c r="M24" s="160" t="n">
        <x:v>46279</x:v>
      </x:c>
      <x:c r="N24" s="161" t="n">
        <x:v>46306</x:v>
      </x:c>
      <x:c r="O24" s="161" t="n">
        <x:v>46344</x:v>
      </x:c>
      <x:c r="P24" s="161" t="n">
        <x:v>46388</x:v>
      </x:c>
      <x:c r="Q24" s="125" t="n">
        <x:v>2</x:v>
      </x:c>
      <x:c r="R24" s="125" t="n">
        <x:v>116</x:v>
      </x:c>
      <x:c r="S24" s="125" t="str">
        <x:v>PASS</x:v>
      </x:c>
      <x:c r="T24" s="125" t="str">
        <x:f>'CRAWL_LOG'!C24</x:f>
        <x:v>Chưa chạy</x:v>
      </x:c>
      <x:c r="U24" s="86" t="str">
        <x:v>Có Tết Dương lịch 01/01</x:v>
      </x:c>
      <x:c r="V24" s="86"/>
    </x:row>
    <x:row r="25" ht="24" customHeight="1">
      <x:c r="A25" s="14" t="n">
        <x:v>46273</x:v>
      </x:c>
      <x:c r="B25" t="str">
        <x:v>Thứ Ba</x:v>
      </x:c>
      <x:c r="C25" t="str">
        <x:v>Official</x:v>
      </x:c>
      <x:c r="D25" t="str">
        <x:v>00:30</x:v>
      </x:c>
      <x:c r="E25" s="160" t="n">
        <x:v>46282</x:v>
      </x:c>
      <x:c r="F25" s="160" t="n">
        <x:v>46284</x:v>
      </x:c>
      <x:c r="G25" s="160" t="n">
        <x:v>46287</x:v>
      </x:c>
      <x:c r="H25" s="160" t="n">
        <x:v>46291</x:v>
      </x:c>
      <x:c r="I25" s="160" t="n">
        <x:v>46295</x:v>
      </x:c>
      <x:c r="J25" s="160" t="n">
        <x:v>46299</x:v>
      </x:c>
      <x:c r="K25" s="160" t="n">
        <x:v>46274</x:v>
      </x:c>
      <x:c r="L25" s="160" t="n">
        <x:v>46277</x:v>
      </x:c>
      <x:c r="M25" s="160" t="n">
        <x:v>46279</x:v>
      </x:c>
      <x:c r="N25" s="161" t="n">
        <x:v>46306</x:v>
      </x:c>
      <x:c r="O25" s="161" t="n">
        <x:v>46344</x:v>
      </x:c>
      <x:c r="P25" s="161" t="n">
        <x:v>46388</x:v>
      </x:c>
      <x:c r="Q25" s="125" t="n">
        <x:v>1</x:v>
      </x:c>
      <x:c r="R25" s="125" t="n">
        <x:v>115</x:v>
      </x:c>
      <x:c r="S25" s="125" t="str">
        <x:v>PASS</x:v>
      </x:c>
      <x:c r="T25" s="125" t="str">
        <x:f>'CRAWL_LOG'!C25</x:f>
        <x:v>Chưa chạy</x:v>
      </x:c>
      <x:c r="U25" s="86" t="str">
        <x:v>Có Tết Dương lịch 01/01</x:v>
      </x:c>
      <x:c r="V25" s="86"/>
    </x:row>
    <x:row r="26" ht="24" customHeight="1">
      <x:c r="A26" s="14" t="n">
        <x:v>46274</x:v>
      </x:c>
      <x:c r="B26" t="str">
        <x:v>Thứ Tư</x:v>
      </x:c>
      <x:c r="C26" t="str">
        <x:v>Official</x:v>
      </x:c>
      <x:c r="D26" t="str">
        <x:v>00:30</x:v>
      </x:c>
      <x:c r="E26" s="160" t="n">
        <x:v>46282</x:v>
      </x:c>
      <x:c r="F26" s="160" t="n">
        <x:v>46284</x:v>
      </x:c>
      <x:c r="G26" s="160" t="n">
        <x:v>46287</x:v>
      </x:c>
      <x:c r="H26" s="160" t="n">
        <x:v>46291</x:v>
      </x:c>
      <x:c r="I26" s="160" t="n">
        <x:v>46295</x:v>
      </x:c>
      <x:c r="J26" s="160" t="n">
        <x:v>46299</x:v>
      </x:c>
      <x:c r="K26" s="160" t="n">
        <x:v>46274</x:v>
      </x:c>
      <x:c r="L26" s="160" t="n">
        <x:v>46277</x:v>
      </x:c>
      <x:c r="M26" s="160" t="n">
        <x:v>46279</x:v>
      </x:c>
      <x:c r="N26" s="161" t="n">
        <x:v>46306</x:v>
      </x:c>
      <x:c r="O26" s="161" t="n">
        <x:v>46344</x:v>
      </x:c>
      <x:c r="P26" s="161" t="n">
        <x:v>46388</x:v>
      </x:c>
      <x:c r="Q26" s="125" t="n">
        <x:v>0</x:v>
      </x:c>
      <x:c r="R26" s="125" t="n">
        <x:v>114</x:v>
      </x:c>
      <x:c r="S26" s="125" t="str">
        <x:v>PASS</x:v>
      </x:c>
      <x:c r="T26" s="125" t="str">
        <x:f>'CRAWL_LOG'!C26</x:f>
        <x:v>Chưa chạy</x:v>
      </x:c>
      <x:c r="U26" s="86" t="str">
        <x:v>Có Tết Dương lịch 01/01</x:v>
      </x:c>
      <x:c r="V26" s="86"/>
    </x:row>
    <x:row r="27" ht="24" customHeight="1">
      <x:c r="A27" s="14" t="n">
        <x:v>46275</x:v>
      </x:c>
      <x:c r="B27" t="str">
        <x:v>Thứ Năm</x:v>
      </x:c>
      <x:c r="C27" t="str">
        <x:v>Official</x:v>
      </x:c>
      <x:c r="D27" t="str">
        <x:v>00:30</x:v>
      </x:c>
      <x:c r="E27" s="160" t="n">
        <x:v>46282</x:v>
      </x:c>
      <x:c r="F27" s="160" t="n">
        <x:v>46284</x:v>
      </x:c>
      <x:c r="G27" s="160" t="n">
        <x:v>46287</x:v>
      </x:c>
      <x:c r="H27" s="160" t="n">
        <x:v>46291</x:v>
      </x:c>
      <x:c r="I27" s="160" t="n">
        <x:v>46295</x:v>
      </x:c>
      <x:c r="J27" s="160" t="n">
        <x:v>46299</x:v>
      </x:c>
      <x:c r="K27" s="160" t="n">
        <x:v>46302</x:v>
      </x:c>
      <x:c r="L27" s="160" t="n">
        <x:v>46277</x:v>
      </x:c>
      <x:c r="M27" s="160" t="n">
        <x:v>46279</x:v>
      </x:c>
      <x:c r="N27" s="161" t="n">
        <x:v>46306</x:v>
      </x:c>
      <x:c r="O27" s="161" t="n">
        <x:v>46344</x:v>
      </x:c>
      <x:c r="P27" s="161" t="n">
        <x:v>46388</x:v>
      </x:c>
      <x:c r="Q27" s="125" t="n">
        <x:v>2</x:v>
      </x:c>
      <x:c r="R27" s="125" t="n">
        <x:v>113</x:v>
      </x:c>
      <x:c r="S27" s="125" t="str">
        <x:v>PASS</x:v>
      </x:c>
      <x:c r="T27" s="125" t="str">
        <x:f>'CRAWL_LOG'!C27</x:f>
        <x:v>Chưa chạy</x:v>
      </x:c>
      <x:c r="U27" s="86" t="str">
        <x:v>Có Tết Dương lịch 01/01</x:v>
      </x:c>
      <x:c r="V27" s="86"/>
    </x:row>
    <x:row r="28" ht="24" customHeight="1">
      <x:c r="A28" s="14" t="n">
        <x:v>46276</x:v>
      </x:c>
      <x:c r="B28" t="str">
        <x:v>Thứ Sáu</x:v>
      </x:c>
      <x:c r="C28" t="str">
        <x:v>Official</x:v>
      </x:c>
      <x:c r="D28" t="str">
        <x:v>00:30</x:v>
      </x:c>
      <x:c r="E28" s="160" t="n">
        <x:v>46282</x:v>
      </x:c>
      <x:c r="F28" s="160" t="n">
        <x:v>46284</x:v>
      </x:c>
      <x:c r="G28" s="160" t="n">
        <x:v>46287</x:v>
      </x:c>
      <x:c r="H28" s="160" t="n">
        <x:v>46291</x:v>
      </x:c>
      <x:c r="I28" s="160" t="n">
        <x:v>46295</x:v>
      </x:c>
      <x:c r="J28" s="160" t="n">
        <x:v>46299</x:v>
      </x:c>
      <x:c r="K28" s="160" t="n">
        <x:v>46302</x:v>
      </x:c>
      <x:c r="L28" s="160" t="n">
        <x:v>46277</x:v>
      </x:c>
      <x:c r="M28" s="160" t="n">
        <x:v>46279</x:v>
      </x:c>
      <x:c r="N28" s="161" t="n">
        <x:v>46306</x:v>
      </x:c>
      <x:c r="O28" s="161" t="n">
        <x:v>46344</x:v>
      </x:c>
      <x:c r="P28" s="161" t="n">
        <x:v>46388</x:v>
      </x:c>
      <x:c r="Q28" s="125" t="n">
        <x:v>1</x:v>
      </x:c>
      <x:c r="R28" s="125" t="n">
        <x:v>112</x:v>
      </x:c>
      <x:c r="S28" s="125" t="str">
        <x:v>PASS</x:v>
      </x:c>
      <x:c r="T28" s="125" t="str">
        <x:f>'CRAWL_LOG'!C28</x:f>
        <x:v>Chưa chạy</x:v>
      </x:c>
      <x:c r="U28" s="86" t="str">
        <x:v>Có Tết Dương lịch 01/01</x:v>
      </x:c>
      <x:c r="V28" s="86"/>
    </x:row>
    <x:row r="29" ht="24" customHeight="1">
      <x:c r="A29" s="14" t="n">
        <x:v>46277</x:v>
      </x:c>
      <x:c r="B29" t="str">
        <x:v>Thứ Bảy</x:v>
      </x:c>
      <x:c r="C29" t="str">
        <x:v>Official</x:v>
      </x:c>
      <x:c r="D29" t="str">
        <x:v>00:30</x:v>
      </x:c>
      <x:c r="E29" s="160" t="n">
        <x:v>46282</x:v>
      </x:c>
      <x:c r="F29" s="160" t="n">
        <x:v>46284</x:v>
      </x:c>
      <x:c r="G29" s="160" t="n">
        <x:v>46287</x:v>
      </x:c>
      <x:c r="H29" s="160" t="n">
        <x:v>46291</x:v>
      </x:c>
      <x:c r="I29" s="160" t="n">
        <x:v>46295</x:v>
      </x:c>
      <x:c r="J29" s="160" t="n">
        <x:v>46299</x:v>
      </x:c>
      <x:c r="K29" s="160" t="n">
        <x:v>46302</x:v>
      </x:c>
      <x:c r="L29" s="160" t="n">
        <x:v>46277</x:v>
      </x:c>
      <x:c r="M29" s="160" t="n">
        <x:v>46279</x:v>
      </x:c>
      <x:c r="N29" s="161" t="n">
        <x:v>46306</x:v>
      </x:c>
      <x:c r="O29" s="161" t="n">
        <x:v>46344</x:v>
      </x:c>
      <x:c r="P29" s="161" t="n">
        <x:v>46388</x:v>
      </x:c>
      <x:c r="Q29" s="125" t="n">
        <x:v>0</x:v>
      </x:c>
      <x:c r="R29" s="125" t="n">
        <x:v>111</x:v>
      </x:c>
      <x:c r="S29" s="125" t="str">
        <x:v>PASS</x:v>
      </x:c>
      <x:c r="T29" s="125" t="str">
        <x:f>'CRAWL_LOG'!C29</x:f>
        <x:v>Chưa chạy</x:v>
      </x:c>
      <x:c r="U29" s="86" t="str">
        <x:v>Có Tết Dương lịch 01/01</x:v>
      </x:c>
      <x:c r="V29" s="86"/>
    </x:row>
    <x:row r="30" ht="24" customHeight="1">
      <x:c r="A30" s="14" t="n">
        <x:v>46278</x:v>
      </x:c>
      <x:c r="B30" t="str">
        <x:v>Chủ Nhật</x:v>
      </x:c>
      <x:c r="C30" t="str">
        <x:v>Official</x:v>
      </x:c>
      <x:c r="D30" t="str">
        <x:v>00:30</x:v>
      </x:c>
      <x:c r="E30" s="160" t="n">
        <x:v>46282</x:v>
      </x:c>
      <x:c r="F30" s="160" t="n">
        <x:v>46284</x:v>
      </x:c>
      <x:c r="G30" s="160" t="n">
        <x:v>46287</x:v>
      </x:c>
      <x:c r="H30" s="160" t="n">
        <x:v>46291</x:v>
      </x:c>
      <x:c r="I30" s="160" t="n">
        <x:v>46295</x:v>
      </x:c>
      <x:c r="J30" s="160" t="n">
        <x:v>46299</x:v>
      </x:c>
      <x:c r="K30" s="160" t="n">
        <x:v>46302</x:v>
      </x:c>
      <x:c r="L30" s="160" t="n">
        <x:v>46305</x:v>
      </x:c>
      <x:c r="M30" s="160" t="n">
        <x:v>46279</x:v>
      </x:c>
      <x:c r="N30" s="161" t="n">
        <x:v>46306</x:v>
      </x:c>
      <x:c r="O30" s="161" t="n">
        <x:v>46344</x:v>
      </x:c>
      <x:c r="P30" s="161" t="n">
        <x:v>46388</x:v>
      </x:c>
      <x:c r="Q30" s="125" t="n">
        <x:v>1</x:v>
      </x:c>
      <x:c r="R30" s="125" t="n">
        <x:v>110</x:v>
      </x:c>
      <x:c r="S30" s="125" t="str">
        <x:v>PASS</x:v>
      </x:c>
      <x:c r="T30" s="125" t="str">
        <x:f>'CRAWL_LOG'!C30</x:f>
        <x:v>Chưa chạy</x:v>
      </x:c>
      <x:c r="U30" s="86" t="str">
        <x:v>Có Tết Dương lịch 01/01</x:v>
      </x:c>
      <x:c r="V30" s="86"/>
    </x:row>
    <x:row r="31" ht="24" customHeight="1">
      <x:c r="A31" s="14" t="n">
        <x:v>46279</x:v>
      </x:c>
      <x:c r="B31" t="str">
        <x:v>Thứ Hai</x:v>
      </x:c>
      <x:c r="C31" t="str">
        <x:v>Official</x:v>
      </x:c>
      <x:c r="D31" t="str">
        <x:v>00:30</x:v>
      </x:c>
      <x:c r="E31" s="160" t="n">
        <x:v>46282</x:v>
      </x:c>
      <x:c r="F31" s="160" t="n">
        <x:v>46284</x:v>
      </x:c>
      <x:c r="G31" s="160" t="n">
        <x:v>46287</x:v>
      </x:c>
      <x:c r="H31" s="160" t="n">
        <x:v>46291</x:v>
      </x:c>
      <x:c r="I31" s="160" t="n">
        <x:v>46295</x:v>
      </x:c>
      <x:c r="J31" s="160" t="n">
        <x:v>46299</x:v>
      </x:c>
      <x:c r="K31" s="160" t="n">
        <x:v>46302</x:v>
      </x:c>
      <x:c r="L31" s="160" t="n">
        <x:v>46305</x:v>
      </x:c>
      <x:c r="M31" s="160" t="n">
        <x:v>46279</x:v>
      </x:c>
      <x:c r="N31" s="161" t="n">
        <x:v>46306</x:v>
      </x:c>
      <x:c r="O31" s="161" t="n">
        <x:v>46344</x:v>
      </x:c>
      <x:c r="P31" s="161" t="n">
        <x:v>46388</x:v>
      </x:c>
      <x:c r="Q31" s="125" t="n">
        <x:v>0</x:v>
      </x:c>
      <x:c r="R31" s="125" t="n">
        <x:v>109</x:v>
      </x:c>
      <x:c r="S31" s="125" t="str">
        <x:v>PASS</x:v>
      </x:c>
      <x:c r="T31" s="125" t="str">
        <x:f>'CRAWL_LOG'!C31</x:f>
        <x:v>Chưa chạy</x:v>
      </x:c>
      <x:c r="U31" s="86" t="str">
        <x:v>Có Tết Dương lịch 01/01</x:v>
      </x:c>
      <x:c r="V31" s="86"/>
    </x:row>
    <x:row r="32" ht="24" customHeight="1">
      <x:c r="A32" s="14" t="n">
        <x:v>46280</x:v>
      </x:c>
      <x:c r="B32" t="str">
        <x:v>Thứ Ba</x:v>
      </x:c>
      <x:c r="C32" t="str">
        <x:v>Official</x:v>
      </x:c>
      <x:c r="D32" t="str">
        <x:v>00:30</x:v>
      </x:c>
      <x:c r="E32" s="160" t="n">
        <x:v>46282</x:v>
      </x:c>
      <x:c r="F32" s="160" t="n">
        <x:v>46284</x:v>
      </x:c>
      <x:c r="G32" s="160" t="n">
        <x:v>46287</x:v>
      </x:c>
      <x:c r="H32" s="160" t="n">
        <x:v>46291</x:v>
      </x:c>
      <x:c r="I32" s="160" t="n">
        <x:v>46295</x:v>
      </x:c>
      <x:c r="J32" s="160" t="n">
        <x:v>46299</x:v>
      </x:c>
      <x:c r="K32" s="160" t="n">
        <x:v>46302</x:v>
      </x:c>
      <x:c r="L32" s="160" t="n">
        <x:v>46305</x:v>
      </x:c>
      <x:c r="M32" s="160" t="n">
        <x:v>46307</x:v>
      </x:c>
      <x:c r="N32" s="161" t="n">
        <x:v>46306</x:v>
      </x:c>
      <x:c r="O32" s="161" t="n">
        <x:v>46344</x:v>
      </x:c>
      <x:c r="P32" s="161" t="n">
        <x:v>46388</x:v>
      </x:c>
      <x:c r="Q32" s="125" t="n">
        <x:v>2</x:v>
      </x:c>
      <x:c r="R32" s="125" t="n">
        <x:v>108</x:v>
      </x:c>
      <x:c r="S32" s="125" t="str">
        <x:v>PASS</x:v>
      </x:c>
      <x:c r="T32" s="125" t="str">
        <x:f>'CRAWL_LOG'!C32</x:f>
        <x:v>Chưa chạy</x:v>
      </x:c>
      <x:c r="U32" s="86" t="str">
        <x:v>Có Tết Dương lịch 01/01</x:v>
      </x:c>
      <x:c r="V32" s="86"/>
    </x:row>
    <x:row r="33" ht="24" customHeight="1">
      <x:c r="A33" s="14" t="n">
        <x:v>46281</x:v>
      </x:c>
      <x:c r="B33" t="str">
        <x:v>Thứ Tư</x:v>
      </x:c>
      <x:c r="C33" t="str">
        <x:v>Official</x:v>
      </x:c>
      <x:c r="D33" t="str">
        <x:v>00:30</x:v>
      </x:c>
      <x:c r="E33" s="160" t="n">
        <x:v>46282</x:v>
      </x:c>
      <x:c r="F33" s="160" t="n">
        <x:v>46284</x:v>
      </x:c>
      <x:c r="G33" s="160" t="n">
        <x:v>46287</x:v>
      </x:c>
      <x:c r="H33" s="160" t="n">
        <x:v>46291</x:v>
      </x:c>
      <x:c r="I33" s="160" t="n">
        <x:v>46295</x:v>
      </x:c>
      <x:c r="J33" s="160" t="n">
        <x:v>46299</x:v>
      </x:c>
      <x:c r="K33" s="160" t="n">
        <x:v>46302</x:v>
      </x:c>
      <x:c r="L33" s="160" t="n">
        <x:v>46305</x:v>
      </x:c>
      <x:c r="M33" s="160" t="n">
        <x:v>46307</x:v>
      </x:c>
      <x:c r="N33" s="161" t="n">
        <x:v>46306</x:v>
      </x:c>
      <x:c r="O33" s="161" t="n">
        <x:v>46344</x:v>
      </x:c>
      <x:c r="P33" s="161" t="n">
        <x:v>46388</x:v>
      </x:c>
      <x:c r="Q33" s="125" t="n">
        <x:v>1</x:v>
      </x:c>
      <x:c r="R33" s="125" t="n">
        <x:v>107</x:v>
      </x:c>
      <x:c r="S33" s="125" t="str">
        <x:v>PASS</x:v>
      </x:c>
      <x:c r="T33" s="125" t="str">
        <x:f>'CRAWL_LOG'!C33</x:f>
        <x:v>Chưa chạy</x:v>
      </x:c>
      <x:c r="U33" s="86" t="str">
        <x:v>Có Tết Dương lịch 01/01</x:v>
      </x:c>
      <x:c r="V33" s="86"/>
    </x:row>
    <x:row r="34" ht="24" customHeight="1">
      <x:c r="A34" s="14" t="n">
        <x:v>46282</x:v>
      </x:c>
      <x:c r="B34" t="str">
        <x:v>Thứ Năm</x:v>
      </x:c>
      <x:c r="C34" t="str">
        <x:v>Official</x:v>
      </x:c>
      <x:c r="D34" t="str">
        <x:v>00:30</x:v>
      </x:c>
      <x:c r="E34" s="160" t="n">
        <x:v>46282</x:v>
      </x:c>
      <x:c r="F34" s="160" t="n">
        <x:v>46284</x:v>
      </x:c>
      <x:c r="G34" s="160" t="n">
        <x:v>46287</x:v>
      </x:c>
      <x:c r="H34" s="160" t="n">
        <x:v>46291</x:v>
      </x:c>
      <x:c r="I34" s="160" t="n">
        <x:v>46295</x:v>
      </x:c>
      <x:c r="J34" s="160" t="n">
        <x:v>46299</x:v>
      </x:c>
      <x:c r="K34" s="160" t="n">
        <x:v>46302</x:v>
      </x:c>
      <x:c r="L34" s="160" t="n">
        <x:v>46305</x:v>
      </x:c>
      <x:c r="M34" s="160" t="n">
        <x:v>46307</x:v>
      </x:c>
      <x:c r="N34" s="161" t="n">
        <x:v>46306</x:v>
      </x:c>
      <x:c r="O34" s="161" t="n">
        <x:v>46344</x:v>
      </x:c>
      <x:c r="P34" s="161" t="n">
        <x:v>46388</x:v>
      </x:c>
      <x:c r="Q34" s="125" t="n">
        <x:v>0</x:v>
      </x:c>
      <x:c r="R34" s="125" t="n">
        <x:v>106</x:v>
      </x:c>
      <x:c r="S34" s="125" t="str">
        <x:v>PASS</x:v>
      </x:c>
      <x:c r="T34" s="125" t="str">
        <x:f>'CRAWL_LOG'!C34</x:f>
        <x:v>Chưa chạy</x:v>
      </x:c>
      <x:c r="U34" s="86" t="str">
        <x:v>Có Tết Dương lịch 01/01</x:v>
      </x:c>
      <x:c r="V34" s="86"/>
    </x:row>
    <x:row r="35" ht="24" customHeight="1">
      <x:c r="A35" s="14" t="n">
        <x:v>46283</x:v>
      </x:c>
      <x:c r="B35" t="str">
        <x:v>Thứ Sáu</x:v>
      </x:c>
      <x:c r="C35" t="str">
        <x:v>Official</x:v>
      </x:c>
      <x:c r="D35" t="str">
        <x:v>00:30</x:v>
      </x:c>
      <x:c r="E35" s="160" t="n">
        <x:v>46310</x:v>
      </x:c>
      <x:c r="F35" s="160" t="n">
        <x:v>46284</x:v>
      </x:c>
      <x:c r="G35" s="160" t="n">
        <x:v>46287</x:v>
      </x:c>
      <x:c r="H35" s="160" t="n">
        <x:v>46291</x:v>
      </x:c>
      <x:c r="I35" s="160" t="n">
        <x:v>46295</x:v>
      </x:c>
      <x:c r="J35" s="160" t="n">
        <x:v>46299</x:v>
      </x:c>
      <x:c r="K35" s="160" t="n">
        <x:v>46302</x:v>
      </x:c>
      <x:c r="L35" s="160" t="n">
        <x:v>46305</x:v>
      </x:c>
      <x:c r="M35" s="160" t="n">
        <x:v>46307</x:v>
      </x:c>
      <x:c r="N35" s="161" t="n">
        <x:v>46306</x:v>
      </x:c>
      <x:c r="O35" s="161" t="n">
        <x:v>46344</x:v>
      </x:c>
      <x:c r="P35" s="161" t="n">
        <x:v>46388</x:v>
      </x:c>
      <x:c r="Q35" s="125" t="n">
        <x:v>1</x:v>
      </x:c>
      <x:c r="R35" s="125" t="n">
        <x:v>105</x:v>
      </x:c>
      <x:c r="S35" s="125" t="str">
        <x:v>PASS</x:v>
      </x:c>
      <x:c r="T35" s="125" t="str">
        <x:f>'CRAWL_LOG'!C35</x:f>
        <x:v>Chưa chạy</x:v>
      </x:c>
      <x:c r="U35" s="86" t="str">
        <x:v>Có Tết Dương lịch 01/01</x:v>
      </x:c>
      <x:c r="V35" s="86"/>
    </x:row>
    <x:row r="36" ht="24" customHeight="1">
      <x:c r="A36" s="14" t="n">
        <x:v>46284</x:v>
      </x:c>
      <x:c r="B36" t="str">
        <x:v>Thứ Bảy</x:v>
      </x:c>
      <x:c r="C36" t="str">
        <x:v>Official</x:v>
      </x:c>
      <x:c r="D36" t="str">
        <x:v>00:30</x:v>
      </x:c>
      <x:c r="E36" s="160" t="n">
        <x:v>46310</x:v>
      </x:c>
      <x:c r="F36" s="160" t="n">
        <x:v>46284</x:v>
      </x:c>
      <x:c r="G36" s="160" t="n">
        <x:v>46287</x:v>
      </x:c>
      <x:c r="H36" s="160" t="n">
        <x:v>46291</x:v>
      </x:c>
      <x:c r="I36" s="160" t="n">
        <x:v>46295</x:v>
      </x:c>
      <x:c r="J36" s="160" t="n">
        <x:v>46299</x:v>
      </x:c>
      <x:c r="K36" s="160" t="n">
        <x:v>46302</x:v>
      </x:c>
      <x:c r="L36" s="160" t="n">
        <x:v>46305</x:v>
      </x:c>
      <x:c r="M36" s="160" t="n">
        <x:v>46307</x:v>
      </x:c>
      <x:c r="N36" s="161" t="n">
        <x:v>46306</x:v>
      </x:c>
      <x:c r="O36" s="161" t="n">
        <x:v>46344</x:v>
      </x:c>
      <x:c r="P36" s="161" t="n">
        <x:v>46388</x:v>
      </x:c>
      <x:c r="Q36" s="125" t="n">
        <x:v>0</x:v>
      </x:c>
      <x:c r="R36" s="125" t="n">
        <x:v>104</x:v>
      </x:c>
      <x:c r="S36" s="125" t="str">
        <x:v>PASS</x:v>
      </x:c>
      <x:c r="T36" s="125" t="str">
        <x:f>'CRAWL_LOG'!C36</x:f>
        <x:v>Chưa chạy</x:v>
      </x:c>
      <x:c r="U36" s="86" t="str">
        <x:v>Có Tết Dương lịch 01/01</x:v>
      </x:c>
      <x:c r="V36" s="86"/>
    </x:row>
    <x:row r="37" ht="24" customHeight="1">
      <x:c r="A37" s="14" t="n">
        <x:v>46285</x:v>
      </x:c>
      <x:c r="B37" t="str">
        <x:v>Chủ Nhật</x:v>
      </x:c>
      <x:c r="C37" t="str">
        <x:v>Official</x:v>
      </x:c>
      <x:c r="D37" t="str">
        <x:v>00:30</x:v>
      </x:c>
      <x:c r="E37" s="160" t="n">
        <x:v>46310</x:v>
      </x:c>
      <x:c r="F37" s="160" t="n">
        <x:v>46312</x:v>
      </x:c>
      <x:c r="G37" s="160" t="n">
        <x:v>46287</x:v>
      </x:c>
      <x:c r="H37" s="160" t="n">
        <x:v>46291</x:v>
      </x:c>
      <x:c r="I37" s="160" t="n">
        <x:v>46295</x:v>
      </x:c>
      <x:c r="J37" s="160" t="n">
        <x:v>46299</x:v>
      </x:c>
      <x:c r="K37" s="160" t="n">
        <x:v>46302</x:v>
      </x:c>
      <x:c r="L37" s="160" t="n">
        <x:v>46305</x:v>
      </x:c>
      <x:c r="M37" s="160" t="n">
        <x:v>46307</x:v>
      </x:c>
      <x:c r="N37" s="161" t="n">
        <x:v>46306</x:v>
      </x:c>
      <x:c r="O37" s="161" t="n">
        <x:v>46344</x:v>
      </x:c>
      <x:c r="P37" s="161" t="n">
        <x:v>46388</x:v>
      </x:c>
      <x:c r="Q37" s="125" t="n">
        <x:v>2</x:v>
      </x:c>
      <x:c r="R37" s="125" t="n">
        <x:v>103</x:v>
      </x:c>
      <x:c r="S37" s="125" t="str">
        <x:v>PASS</x:v>
      </x:c>
      <x:c r="T37" s="125" t="str">
        <x:f>'CRAWL_LOG'!C37</x:f>
        <x:v>Chưa chạy</x:v>
      </x:c>
      <x:c r="U37" s="86" t="str">
        <x:v>Có Tết Dương lịch 01/01</x:v>
      </x:c>
      <x:c r="V37" s="86"/>
    </x:row>
    <x:row r="38" ht="24" customHeight="1">
      <x:c r="A38" s="14" t="n">
        <x:v>46286</x:v>
      </x:c>
      <x:c r="B38" t="str">
        <x:v>Thứ Hai</x:v>
      </x:c>
      <x:c r="C38" t="str">
        <x:v>Official</x:v>
      </x:c>
      <x:c r="D38" t="str">
        <x:v>00:30</x:v>
      </x:c>
      <x:c r="E38" s="160" t="n">
        <x:v>46310</x:v>
      </x:c>
      <x:c r="F38" s="160" t="n">
        <x:v>46312</x:v>
      </x:c>
      <x:c r="G38" s="160" t="n">
        <x:v>46287</x:v>
      </x:c>
      <x:c r="H38" s="160" t="n">
        <x:v>46291</x:v>
      </x:c>
      <x:c r="I38" s="160" t="n">
        <x:v>46295</x:v>
      </x:c>
      <x:c r="J38" s="160" t="n">
        <x:v>46299</x:v>
      </x:c>
      <x:c r="K38" s="160" t="n">
        <x:v>46302</x:v>
      </x:c>
      <x:c r="L38" s="160" t="n">
        <x:v>46305</x:v>
      </x:c>
      <x:c r="M38" s="160" t="n">
        <x:v>46307</x:v>
      </x:c>
      <x:c r="N38" s="161" t="n">
        <x:v>46306</x:v>
      </x:c>
      <x:c r="O38" s="161" t="n">
        <x:v>46344</x:v>
      </x:c>
      <x:c r="P38" s="161" t="n">
        <x:v>46388</x:v>
      </x:c>
      <x:c r="Q38" s="125" t="n">
        <x:v>1</x:v>
      </x:c>
      <x:c r="R38" s="125" t="n">
        <x:v>102</x:v>
      </x:c>
      <x:c r="S38" s="125" t="str">
        <x:v>PASS</x:v>
      </x:c>
      <x:c r="T38" s="125" t="str">
        <x:f>'CRAWL_LOG'!C38</x:f>
        <x:v>Chưa chạy</x:v>
      </x:c>
      <x:c r="U38" s="86" t="str">
        <x:v>Có Tết Dương lịch 01/01</x:v>
      </x:c>
      <x:c r="V38" s="86"/>
    </x:row>
    <x:row r="39" ht="24" customHeight="1">
      <x:c r="A39" s="14" t="n">
        <x:v>46287</x:v>
      </x:c>
      <x:c r="B39" t="str">
        <x:v>Thứ Ba</x:v>
      </x:c>
      <x:c r="C39" t="str">
        <x:v>Official</x:v>
      </x:c>
      <x:c r="D39" t="str">
        <x:v>00:30</x:v>
      </x:c>
      <x:c r="E39" s="160" t="n">
        <x:v>46310</x:v>
      </x:c>
      <x:c r="F39" s="160" t="n">
        <x:v>46312</x:v>
      </x:c>
      <x:c r="G39" s="160" t="n">
        <x:v>46287</x:v>
      </x:c>
      <x:c r="H39" s="160" t="n">
        <x:v>46291</x:v>
      </x:c>
      <x:c r="I39" s="160" t="n">
        <x:v>46295</x:v>
      </x:c>
      <x:c r="J39" s="160" t="n">
        <x:v>46299</x:v>
      </x:c>
      <x:c r="K39" s="160" t="n">
        <x:v>46302</x:v>
      </x:c>
      <x:c r="L39" s="160" t="n">
        <x:v>46305</x:v>
      </x:c>
      <x:c r="M39" s="160" t="n">
        <x:v>46307</x:v>
      </x:c>
      <x:c r="N39" s="161" t="n">
        <x:v>46306</x:v>
      </x:c>
      <x:c r="O39" s="161" t="n">
        <x:v>46344</x:v>
      </x:c>
      <x:c r="P39" s="161" t="n">
        <x:v>46388</x:v>
      </x:c>
      <x:c r="Q39" s="125" t="n">
        <x:v>0</x:v>
      </x:c>
      <x:c r="R39" s="125" t="n">
        <x:v>101</x:v>
      </x:c>
      <x:c r="S39" s="125" t="str">
        <x:v>PASS</x:v>
      </x:c>
      <x:c r="T39" s="125" t="str">
        <x:f>'CRAWL_LOG'!C39</x:f>
        <x:v>Chưa chạy</x:v>
      </x:c>
      <x:c r="U39" s="86" t="str">
        <x:v>Có Tết Dương lịch 01/01</x:v>
      </x:c>
      <x:c r="V39" s="86"/>
    </x:row>
    <x:row r="40" ht="24" customHeight="1">
      <x:c r="A40" s="14" t="n">
        <x:v>46288</x:v>
      </x:c>
      <x:c r="B40" t="str">
        <x:v>Thứ Tư</x:v>
      </x:c>
      <x:c r="C40" t="str">
        <x:v>Official</x:v>
      </x:c>
      <x:c r="D40" t="str">
        <x:v>00:30</x:v>
      </x:c>
      <x:c r="E40" s="160" t="n">
        <x:v>46310</x:v>
      </x:c>
      <x:c r="F40" s="160" t="n">
        <x:v>46312</x:v>
      </x:c>
      <x:c r="G40" s="160" t="n">
        <x:v>46315</x:v>
      </x:c>
      <x:c r="H40" s="160" t="n">
        <x:v>46291</x:v>
      </x:c>
      <x:c r="I40" s="160" t="n">
        <x:v>46295</x:v>
      </x:c>
      <x:c r="J40" s="160" t="n">
        <x:v>46299</x:v>
      </x:c>
      <x:c r="K40" s="160" t="n">
        <x:v>46302</x:v>
      </x:c>
      <x:c r="L40" s="160" t="n">
        <x:v>46305</x:v>
      </x:c>
      <x:c r="M40" s="160" t="n">
        <x:v>46307</x:v>
      </x:c>
      <x:c r="N40" s="161" t="n">
        <x:v>46306</x:v>
      </x:c>
      <x:c r="O40" s="161" t="n">
        <x:v>46344</x:v>
      </x:c>
      <x:c r="P40" s="161" t="n">
        <x:v>46388</x:v>
      </x:c>
      <x:c r="Q40" s="125" t="n">
        <x:v>3</x:v>
      </x:c>
      <x:c r="R40" s="125" t="n">
        <x:v>100</x:v>
      </x:c>
      <x:c r="S40" s="125" t="str">
        <x:v>PASS</x:v>
      </x:c>
      <x:c r="T40" s="125" t="str">
        <x:f>'CRAWL_LOG'!C40</x:f>
        <x:v>Chưa chạy</x:v>
      </x:c>
      <x:c r="U40" s="86" t="str">
        <x:v>Có Tết Dương lịch 01/01</x:v>
      </x:c>
      <x:c r="V40" s="86"/>
    </x:row>
    <x:row r="41" ht="24" customHeight="1">
      <x:c r="A41" s="14" t="n">
        <x:v>46289</x:v>
      </x:c>
      <x:c r="B41" t="str">
        <x:v>Thứ Năm</x:v>
      </x:c>
      <x:c r="C41" t="str">
        <x:v>Official</x:v>
      </x:c>
      <x:c r="D41" t="str">
        <x:v>00:30</x:v>
      </x:c>
      <x:c r="E41" s="160" t="n">
        <x:v>46310</x:v>
      </x:c>
      <x:c r="F41" s="160" t="n">
        <x:v>46312</x:v>
      </x:c>
      <x:c r="G41" s="160" t="n">
        <x:v>46315</x:v>
      </x:c>
      <x:c r="H41" s="160" t="n">
        <x:v>46291</x:v>
      </x:c>
      <x:c r="I41" s="160" t="n">
        <x:v>46295</x:v>
      </x:c>
      <x:c r="J41" s="160" t="n">
        <x:v>46299</x:v>
      </x:c>
      <x:c r="K41" s="160" t="n">
        <x:v>46302</x:v>
      </x:c>
      <x:c r="L41" s="160" t="n">
        <x:v>46305</x:v>
      </x:c>
      <x:c r="M41" s="160" t="n">
        <x:v>46307</x:v>
      </x:c>
      <x:c r="N41" s="161" t="n">
        <x:v>46306</x:v>
      </x:c>
      <x:c r="O41" s="161" t="n">
        <x:v>46344</x:v>
      </x:c>
      <x:c r="P41" s="161" t="n">
        <x:v>46388</x:v>
      </x:c>
      <x:c r="Q41" s="125" t="n">
        <x:v>2</x:v>
      </x:c>
      <x:c r="R41" s="125" t="n">
        <x:v>99</x:v>
      </x:c>
      <x:c r="S41" s="125" t="str">
        <x:v>PASS</x:v>
      </x:c>
      <x:c r="T41" s="125" t="str">
        <x:f>'CRAWL_LOG'!C41</x:f>
        <x:v>Chưa chạy</x:v>
      </x:c>
      <x:c r="U41" s="86" t="str">
        <x:v>Có Tết Dương lịch 01/01</x:v>
      </x:c>
      <x:c r="V41" s="86"/>
    </x:row>
    <x:row r="42" ht="24" customHeight="1">
      <x:c r="A42" s="14" t="n">
        <x:v>46290</x:v>
      </x:c>
      <x:c r="B42" t="str">
        <x:v>Thứ Sáu</x:v>
      </x:c>
      <x:c r="C42" t="str">
        <x:v>Official</x:v>
      </x:c>
      <x:c r="D42" t="str">
        <x:v>00:30</x:v>
      </x:c>
      <x:c r="E42" s="160" t="n">
        <x:v>46310</x:v>
      </x:c>
      <x:c r="F42" s="160" t="n">
        <x:v>46312</x:v>
      </x:c>
      <x:c r="G42" s="160" t="n">
        <x:v>46315</x:v>
      </x:c>
      <x:c r="H42" s="160" t="n">
        <x:v>46291</x:v>
      </x:c>
      <x:c r="I42" s="160" t="n">
        <x:v>46295</x:v>
      </x:c>
      <x:c r="J42" s="160" t="n">
        <x:v>46299</x:v>
      </x:c>
      <x:c r="K42" s="160" t="n">
        <x:v>46302</x:v>
      </x:c>
      <x:c r="L42" s="160" t="n">
        <x:v>46305</x:v>
      </x:c>
      <x:c r="M42" s="160" t="n">
        <x:v>46307</x:v>
      </x:c>
      <x:c r="N42" s="161" t="n">
        <x:v>46306</x:v>
      </x:c>
      <x:c r="O42" s="161" t="n">
        <x:v>46344</x:v>
      </x:c>
      <x:c r="P42" s="161" t="n">
        <x:v>46388</x:v>
      </x:c>
      <x:c r="Q42" s="125" t="n">
        <x:v>1</x:v>
      </x:c>
      <x:c r="R42" s="125" t="n">
        <x:v>98</x:v>
      </x:c>
      <x:c r="S42" s="125" t="str">
        <x:v>PASS</x:v>
      </x:c>
      <x:c r="T42" s="125" t="str">
        <x:f>'CRAWL_LOG'!C42</x:f>
        <x:v>Chưa chạy</x:v>
      </x:c>
      <x:c r="U42" s="86" t="str">
        <x:v>Có Tết Dương lịch 01/01</x:v>
      </x:c>
      <x:c r="V42" s="86"/>
    </x:row>
    <x:row r="43" ht="24" customHeight="1">
      <x:c r="A43" s="14" t="n">
        <x:v>46291</x:v>
      </x:c>
      <x:c r="B43" t="str">
        <x:v>Thứ Bảy</x:v>
      </x:c>
      <x:c r="C43" t="str">
        <x:v>Official</x:v>
      </x:c>
      <x:c r="D43" t="str">
        <x:v>00:30</x:v>
      </x:c>
      <x:c r="E43" s="160" t="n">
        <x:v>46310</x:v>
      </x:c>
      <x:c r="F43" s="160" t="n">
        <x:v>46312</x:v>
      </x:c>
      <x:c r="G43" s="160" t="n">
        <x:v>46315</x:v>
      </x:c>
      <x:c r="H43" s="160" t="n">
        <x:v>46291</x:v>
      </x:c>
      <x:c r="I43" s="160" t="n">
        <x:v>46295</x:v>
      </x:c>
      <x:c r="J43" s="160" t="n">
        <x:v>46299</x:v>
      </x:c>
      <x:c r="K43" s="160" t="n">
        <x:v>46302</x:v>
      </x:c>
      <x:c r="L43" s="160" t="n">
        <x:v>46305</x:v>
      </x:c>
      <x:c r="M43" s="160" t="n">
        <x:v>46307</x:v>
      </x:c>
      <x:c r="N43" s="161" t="n">
        <x:v>46306</x:v>
      </x:c>
      <x:c r="O43" s="161" t="n">
        <x:v>46344</x:v>
      </x:c>
      <x:c r="P43" s="161" t="n">
        <x:v>46388</x:v>
      </x:c>
      <x:c r="Q43" s="125" t="n">
        <x:v>0</x:v>
      </x:c>
      <x:c r="R43" s="125" t="n">
        <x:v>97</x:v>
      </x:c>
      <x:c r="S43" s="125" t="str">
        <x:v>PASS</x:v>
      </x:c>
      <x:c r="T43" s="125" t="str">
        <x:f>'CRAWL_LOG'!C43</x:f>
        <x:v>Chưa chạy</x:v>
      </x:c>
      <x:c r="U43" s="86" t="str">
        <x:v>Có Tết Dương lịch 01/01</x:v>
      </x:c>
      <x:c r="V43" s="86"/>
    </x:row>
    <x:row r="44" ht="24" customHeight="1">
      <x:c r="A44" s="14" t="n">
        <x:v>46292</x:v>
      </x:c>
      <x:c r="B44" t="str">
        <x:v>Chủ Nhật</x:v>
      </x:c>
      <x:c r="C44" t="str">
        <x:v>Official</x:v>
      </x:c>
      <x:c r="D44" t="str">
        <x:v>00:30</x:v>
      </x:c>
      <x:c r="E44" s="160" t="n">
        <x:v>46310</x:v>
      </x:c>
      <x:c r="F44" s="160" t="n">
        <x:v>46312</x:v>
      </x:c>
      <x:c r="G44" s="160" t="n">
        <x:v>46315</x:v>
      </x:c>
      <x:c r="H44" s="160" t="n">
        <x:v>46319</x:v>
      </x:c>
      <x:c r="I44" s="160" t="n">
        <x:v>46295</x:v>
      </x:c>
      <x:c r="J44" s="160" t="n">
        <x:v>46299</x:v>
      </x:c>
      <x:c r="K44" s="160" t="n">
        <x:v>46302</x:v>
      </x:c>
      <x:c r="L44" s="160" t="n">
        <x:v>46305</x:v>
      </x:c>
      <x:c r="M44" s="160" t="n">
        <x:v>46307</x:v>
      </x:c>
      <x:c r="N44" s="161" t="n">
        <x:v>46306</x:v>
      </x:c>
      <x:c r="O44" s="161" t="n">
        <x:v>46344</x:v>
      </x:c>
      <x:c r="P44" s="161" t="n">
        <x:v>46388</x:v>
      </x:c>
      <x:c r="Q44" s="125" t="n">
        <x:v>3</x:v>
      </x:c>
      <x:c r="R44" s="125" t="n">
        <x:v>96</x:v>
      </x:c>
      <x:c r="S44" s="125" t="str">
        <x:v>PASS</x:v>
      </x:c>
      <x:c r="T44" s="125" t="str">
        <x:f>'CRAWL_LOG'!C44</x:f>
        <x:v>Chưa chạy</x:v>
      </x:c>
      <x:c r="U44" s="86" t="str">
        <x:v>Có Tết Dương lịch 01/01</x:v>
      </x:c>
      <x:c r="V44" s="86"/>
    </x:row>
    <x:row r="45" ht="24" customHeight="1">
      <x:c r="A45" s="14" t="n">
        <x:v>46293</x:v>
      </x:c>
      <x:c r="B45" t="str">
        <x:v>Thứ Hai</x:v>
      </x:c>
      <x:c r="C45" t="str">
        <x:v>Official</x:v>
      </x:c>
      <x:c r="D45" t="str">
        <x:v>00:30</x:v>
      </x:c>
      <x:c r="E45" s="160" t="n">
        <x:v>46310</x:v>
      </x:c>
      <x:c r="F45" s="160" t="n">
        <x:v>46312</x:v>
      </x:c>
      <x:c r="G45" s="160" t="n">
        <x:v>46315</x:v>
      </x:c>
      <x:c r="H45" s="160" t="n">
        <x:v>46319</x:v>
      </x:c>
      <x:c r="I45" s="160" t="n">
        <x:v>46295</x:v>
      </x:c>
      <x:c r="J45" s="160" t="n">
        <x:v>46299</x:v>
      </x:c>
      <x:c r="K45" s="160" t="n">
        <x:v>46302</x:v>
      </x:c>
      <x:c r="L45" s="160" t="n">
        <x:v>46305</x:v>
      </x:c>
      <x:c r="M45" s="160" t="n">
        <x:v>46307</x:v>
      </x:c>
      <x:c r="N45" s="161" t="n">
        <x:v>46306</x:v>
      </x:c>
      <x:c r="O45" s="161" t="n">
        <x:v>46344</x:v>
      </x:c>
      <x:c r="P45" s="161" t="n">
        <x:v>46388</x:v>
      </x:c>
      <x:c r="Q45" s="125" t="n">
        <x:v>2</x:v>
      </x:c>
      <x:c r="R45" s="125" t="n">
        <x:v>95</x:v>
      </x:c>
      <x:c r="S45" s="125" t="str">
        <x:v>PASS</x:v>
      </x:c>
      <x:c r="T45" s="125" t="str">
        <x:f>'CRAWL_LOG'!C45</x:f>
        <x:v>Chưa chạy</x:v>
      </x:c>
      <x:c r="U45" s="86" t="str">
        <x:v>Có Tết Dương lịch 01/01</x:v>
      </x:c>
      <x:c r="V45" s="86"/>
    </x:row>
    <x:row r="46" ht="24" customHeight="1">
      <x:c r="A46" s="14" t="n">
        <x:v>46294</x:v>
      </x:c>
      <x:c r="B46" t="str">
        <x:v>Thứ Ba</x:v>
      </x:c>
      <x:c r="C46" t="str">
        <x:v>Official</x:v>
      </x:c>
      <x:c r="D46" t="str">
        <x:v>00:30</x:v>
      </x:c>
      <x:c r="E46" s="160" t="n">
        <x:v>46310</x:v>
      </x:c>
      <x:c r="F46" s="160" t="n">
        <x:v>46312</x:v>
      </x:c>
      <x:c r="G46" s="160" t="n">
        <x:v>46315</x:v>
      </x:c>
      <x:c r="H46" s="160" t="n">
        <x:v>46319</x:v>
      </x:c>
      <x:c r="I46" s="160" t="n">
        <x:v>46295</x:v>
      </x:c>
      <x:c r="J46" s="160" t="n">
        <x:v>46299</x:v>
      </x:c>
      <x:c r="K46" s="160" t="n">
        <x:v>46302</x:v>
      </x:c>
      <x:c r="L46" s="160" t="n">
        <x:v>46305</x:v>
      </x:c>
      <x:c r="M46" s="160" t="n">
        <x:v>46307</x:v>
      </x:c>
      <x:c r="N46" s="161" t="n">
        <x:v>46306</x:v>
      </x:c>
      <x:c r="O46" s="161" t="n">
        <x:v>46344</x:v>
      </x:c>
      <x:c r="P46" s="161" t="n">
        <x:v>46388</x:v>
      </x:c>
      <x:c r="Q46" s="125" t="n">
        <x:v>1</x:v>
      </x:c>
      <x:c r="R46" s="125" t="n">
        <x:v>94</x:v>
      </x:c>
      <x:c r="S46" s="125" t="str">
        <x:v>PASS</x:v>
      </x:c>
      <x:c r="T46" s="125" t="str">
        <x:f>'CRAWL_LOG'!C46</x:f>
        <x:v>Chưa chạy</x:v>
      </x:c>
      <x:c r="U46" s="86" t="str">
        <x:v>Có Tết Dương lịch 01/01</x:v>
      </x:c>
      <x:c r="V46" s="86"/>
    </x:row>
    <x:row r="47" ht="24" customHeight="1">
      <x:c r="A47" s="14" t="n">
        <x:v>46295</x:v>
      </x:c>
      <x:c r="B47" t="str">
        <x:v>Thứ Tư</x:v>
      </x:c>
      <x:c r="C47" t="str">
        <x:v>Official</x:v>
      </x:c>
      <x:c r="D47" t="str">
        <x:v>00:30</x:v>
      </x:c>
      <x:c r="E47" s="160" t="n">
        <x:v>46310</x:v>
      </x:c>
      <x:c r="F47" s="160" t="n">
        <x:v>46312</x:v>
      </x:c>
      <x:c r="G47" s="160" t="n">
        <x:v>46315</x:v>
      </x:c>
      <x:c r="H47" s="160" t="n">
        <x:v>46319</x:v>
      </x:c>
      <x:c r="I47" s="160" t="n">
        <x:v>46295</x:v>
      </x:c>
      <x:c r="J47" s="160" t="n">
        <x:v>46299</x:v>
      </x:c>
      <x:c r="K47" s="160" t="n">
        <x:v>46302</x:v>
      </x:c>
      <x:c r="L47" s="160" t="n">
        <x:v>46305</x:v>
      </x:c>
      <x:c r="M47" s="160" t="n">
        <x:v>46307</x:v>
      </x:c>
      <x:c r="N47" s="161" t="n">
        <x:v>46306</x:v>
      </x:c>
      <x:c r="O47" s="161" t="n">
        <x:v>46344</x:v>
      </x:c>
      <x:c r="P47" s="161" t="n">
        <x:v>46388</x:v>
      </x:c>
      <x:c r="Q47" s="125" t="n">
        <x:v>0</x:v>
      </x:c>
      <x:c r="R47" s="125" t="n">
        <x:v>93</x:v>
      </x:c>
      <x:c r="S47" s="125" t="str">
        <x:v>PASS</x:v>
      </x:c>
      <x:c r="T47" s="125" t="str">
        <x:f>'CRAWL_LOG'!C47</x:f>
        <x:v>Chưa chạy</x:v>
      </x:c>
      <x:c r="U47" s="86" t="str">
        <x:v>Có Tết Dương lịch 01/01</x:v>
      </x:c>
      <x:c r="V47" s="86"/>
    </x:row>
    <x:row r="48" ht="24" customHeight="1">
      <x:c r="A48" s="14" t="n">
        <x:v>46296</x:v>
      </x:c>
      <x:c r="B48" t="str">
        <x:v>Thứ Năm</x:v>
      </x:c>
      <x:c r="C48" t="str">
        <x:v>Official</x:v>
      </x:c>
      <x:c r="D48" t="str">
        <x:v>00:30</x:v>
      </x:c>
      <x:c r="E48" s="160" t="n">
        <x:v>46310</x:v>
      </x:c>
      <x:c r="F48" s="160" t="n">
        <x:v>46312</x:v>
      </x:c>
      <x:c r="G48" s="160" t="n">
        <x:v>46315</x:v>
      </x:c>
      <x:c r="H48" s="160" t="n">
        <x:v>46319</x:v>
      </x:c>
      <x:c r="I48" s="160" t="n">
        <x:v>46323</x:v>
      </x:c>
      <x:c r="J48" s="160" t="n">
        <x:v>46299</x:v>
      </x:c>
      <x:c r="K48" s="160" t="n">
        <x:v>46302</x:v>
      </x:c>
      <x:c r="L48" s="160" t="n">
        <x:v>46305</x:v>
      </x:c>
      <x:c r="M48" s="160" t="n">
        <x:v>46307</x:v>
      </x:c>
      <x:c r="N48" s="161" t="n">
        <x:v>46306</x:v>
      </x:c>
      <x:c r="O48" s="161" t="n">
        <x:v>46344</x:v>
      </x:c>
      <x:c r="P48" s="161" t="n">
        <x:v>46388</x:v>
      </x:c>
      <x:c r="Q48" s="125" t="n">
        <x:v>3</x:v>
      </x:c>
      <x:c r="R48" s="125" t="n">
        <x:v>92</x:v>
      </x:c>
      <x:c r="S48" s="125" t="str">
        <x:v>PASS</x:v>
      </x:c>
      <x:c r="T48" s="125" t="str">
        <x:f>'CRAWL_LOG'!C48</x:f>
        <x:v>Chưa chạy</x:v>
      </x:c>
      <x:c r="U48" s="86" t="str">
        <x:v>Có Tết Dương lịch 01/01</x:v>
      </x:c>
      <x:c r="V48" s="86"/>
    </x:row>
    <x:row r="49" ht="24" customHeight="1">
      <x:c r="A49" s="14" t="n">
        <x:v>46297</x:v>
      </x:c>
      <x:c r="B49" t="str">
        <x:v>Thứ Sáu</x:v>
      </x:c>
      <x:c r="C49" t="str">
        <x:v>Official</x:v>
      </x:c>
      <x:c r="D49" t="str">
        <x:v>00:30</x:v>
      </x:c>
      <x:c r="E49" s="160" t="n">
        <x:v>46310</x:v>
      </x:c>
      <x:c r="F49" s="160" t="n">
        <x:v>46312</x:v>
      </x:c>
      <x:c r="G49" s="160" t="n">
        <x:v>46315</x:v>
      </x:c>
      <x:c r="H49" s="160" t="n">
        <x:v>46319</x:v>
      </x:c>
      <x:c r="I49" s="160" t="n">
        <x:v>46323</x:v>
      </x:c>
      <x:c r="J49" s="160" t="n">
        <x:v>46299</x:v>
      </x:c>
      <x:c r="K49" s="160" t="n">
        <x:v>46302</x:v>
      </x:c>
      <x:c r="L49" s="160" t="n">
        <x:v>46305</x:v>
      </x:c>
      <x:c r="M49" s="160" t="n">
        <x:v>46307</x:v>
      </x:c>
      <x:c r="N49" s="161" t="n">
        <x:v>46306</x:v>
      </x:c>
      <x:c r="O49" s="161" t="n">
        <x:v>46344</x:v>
      </x:c>
      <x:c r="P49" s="161" t="n">
        <x:v>46388</x:v>
      </x:c>
      <x:c r="Q49" s="125" t="n">
        <x:v>2</x:v>
      </x:c>
      <x:c r="R49" s="125" t="n">
        <x:v>91</x:v>
      </x:c>
      <x:c r="S49" s="125" t="str">
        <x:v>PASS</x:v>
      </x:c>
      <x:c r="T49" s="125" t="str">
        <x:f>'CRAWL_LOG'!C49</x:f>
        <x:v>Chưa chạy</x:v>
      </x:c>
      <x:c r="U49" s="86" t="str">
        <x:v>Có Tết Dương lịch 01/01</x:v>
      </x:c>
      <x:c r="V49" s="86"/>
    </x:row>
    <x:row r="50" ht="24" customHeight="1">
      <x:c r="A50" s="14" t="n">
        <x:v>46298</x:v>
      </x:c>
      <x:c r="B50" t="str">
        <x:v>Thứ Bảy</x:v>
      </x:c>
      <x:c r="C50" t="str">
        <x:v>Official</x:v>
      </x:c>
      <x:c r="D50" t="str">
        <x:v>00:30</x:v>
      </x:c>
      <x:c r="E50" s="160" t="n">
        <x:v>46310</x:v>
      </x:c>
      <x:c r="F50" s="160" t="n">
        <x:v>46312</x:v>
      </x:c>
      <x:c r="G50" s="160" t="n">
        <x:v>46315</x:v>
      </x:c>
      <x:c r="H50" s="160" t="n">
        <x:v>46319</x:v>
      </x:c>
      <x:c r="I50" s="160" t="n">
        <x:v>46323</x:v>
      </x:c>
      <x:c r="J50" s="160" t="n">
        <x:v>46299</x:v>
      </x:c>
      <x:c r="K50" s="160" t="n">
        <x:v>46302</x:v>
      </x:c>
      <x:c r="L50" s="160" t="n">
        <x:v>46305</x:v>
      </x:c>
      <x:c r="M50" s="160" t="n">
        <x:v>46307</x:v>
      </x:c>
      <x:c r="N50" s="161" t="n">
        <x:v>46306</x:v>
      </x:c>
      <x:c r="O50" s="161" t="n">
        <x:v>46344</x:v>
      </x:c>
      <x:c r="P50" s="161" t="n">
        <x:v>46388</x:v>
      </x:c>
      <x:c r="Q50" s="125" t="n">
        <x:v>1</x:v>
      </x:c>
      <x:c r="R50" s="125" t="n">
        <x:v>90</x:v>
      </x:c>
      <x:c r="S50" s="125" t="str">
        <x:v>PASS</x:v>
      </x:c>
      <x:c r="T50" s="125" t="str">
        <x:f>'CRAWL_LOG'!C50</x:f>
        <x:v>Chưa chạy</x:v>
      </x:c>
      <x:c r="U50" s="86" t="str">
        <x:v>Có Tết Dương lịch 01/01</x:v>
      </x:c>
      <x:c r="V50" s="86"/>
    </x:row>
    <x:row r="51" ht="24" customHeight="1">
      <x:c r="A51" s="14" t="n">
        <x:v>46299</x:v>
      </x:c>
      <x:c r="B51" t="str">
        <x:v>Chủ Nhật</x:v>
      </x:c>
      <x:c r="C51" t="str">
        <x:v>Official</x:v>
      </x:c>
      <x:c r="D51" t="str">
        <x:v>00:30</x:v>
      </x:c>
      <x:c r="E51" s="160" t="n">
        <x:v>46310</x:v>
      </x:c>
      <x:c r="F51" s="160" t="n">
        <x:v>46312</x:v>
      </x:c>
      <x:c r="G51" s="160" t="n">
        <x:v>46315</x:v>
      </x:c>
      <x:c r="H51" s="160" t="n">
        <x:v>46319</x:v>
      </x:c>
      <x:c r="I51" s="160" t="n">
        <x:v>46323</x:v>
      </x:c>
      <x:c r="J51" s="160" t="n">
        <x:v>46299</x:v>
      </x:c>
      <x:c r="K51" s="160" t="n">
        <x:v>46302</x:v>
      </x:c>
      <x:c r="L51" s="160" t="n">
        <x:v>46305</x:v>
      </x:c>
      <x:c r="M51" s="160" t="n">
        <x:v>46307</x:v>
      </x:c>
      <x:c r="N51" s="161" t="n">
        <x:v>46306</x:v>
      </x:c>
      <x:c r="O51" s="161" t="n">
        <x:v>46344</x:v>
      </x:c>
      <x:c r="P51" s="161" t="n">
        <x:v>46388</x:v>
      </x:c>
      <x:c r="Q51" s="125" t="n">
        <x:v>0</x:v>
      </x:c>
      <x:c r="R51" s="125" t="n">
        <x:v>89</x:v>
      </x:c>
      <x:c r="S51" s="125" t="str">
        <x:v>PASS</x:v>
      </x:c>
      <x:c r="T51" s="125" t="str">
        <x:f>'CRAWL_LOG'!C51</x:f>
        <x:v>Chưa chạy</x:v>
      </x:c>
      <x:c r="U51" s="86" t="str">
        <x:v>Có Tết Dương lịch 01/01</x:v>
      </x:c>
      <x:c r="V51" s="86"/>
    </x:row>
    <x:row r="52" ht="24" customHeight="1">
      <x:c r="A52" s="14" t="n">
        <x:v>46300</x:v>
      </x:c>
      <x:c r="B52" t="str">
        <x:v>Thứ Hai</x:v>
      </x:c>
      <x:c r="C52" t="str">
        <x:v>Official</x:v>
      </x:c>
      <x:c r="D52" t="str">
        <x:v>00:30</x:v>
      </x:c>
      <x:c r="E52" s="160" t="n">
        <x:v>46310</x:v>
      </x:c>
      <x:c r="F52" s="160" t="n">
        <x:v>46312</x:v>
      </x:c>
      <x:c r="G52" s="160" t="n">
        <x:v>46315</x:v>
      </x:c>
      <x:c r="H52" s="160" t="n">
        <x:v>46319</x:v>
      </x:c>
      <x:c r="I52" s="160" t="n">
        <x:v>46323</x:v>
      </x:c>
      <x:c r="J52" s="160" t="n">
        <x:v>46327</x:v>
      </x:c>
      <x:c r="K52" s="160" t="n">
        <x:v>46302</x:v>
      </x:c>
      <x:c r="L52" s="160" t="n">
        <x:v>46305</x:v>
      </x:c>
      <x:c r="M52" s="160" t="n">
        <x:v>46307</x:v>
      </x:c>
      <x:c r="N52" s="161" t="n">
        <x:v>46306</x:v>
      </x:c>
      <x:c r="O52" s="161" t="n">
        <x:v>46344</x:v>
      </x:c>
      <x:c r="P52" s="161" t="n">
        <x:v>46388</x:v>
      </x:c>
      <x:c r="Q52" s="125" t="n">
        <x:v>2</x:v>
      </x:c>
      <x:c r="R52" s="125" t="n">
        <x:v>88</x:v>
      </x:c>
      <x:c r="S52" s="125" t="str">
        <x:v>PASS</x:v>
      </x:c>
      <x:c r="T52" s="125" t="str">
        <x:f>'CRAWL_LOG'!C52</x:f>
        <x:v>Chưa chạy</x:v>
      </x:c>
      <x:c r="U52" s="86" t="str">
        <x:v>Có Tết Dương lịch 01/01</x:v>
      </x:c>
      <x:c r="V52" s="86"/>
    </x:row>
    <x:row r="53" ht="24" customHeight="1">
      <x:c r="A53" s="14" t="n">
        <x:v>46301</x:v>
      </x:c>
      <x:c r="B53" t="str">
        <x:v>Thứ Ba</x:v>
      </x:c>
      <x:c r="C53" t="str">
        <x:v>Official</x:v>
      </x:c>
      <x:c r="D53" t="str">
        <x:v>00:30</x:v>
      </x:c>
      <x:c r="E53" s="160" t="n">
        <x:v>46310</x:v>
      </x:c>
      <x:c r="F53" s="160" t="n">
        <x:v>46312</x:v>
      </x:c>
      <x:c r="G53" s="160" t="n">
        <x:v>46315</x:v>
      </x:c>
      <x:c r="H53" s="160" t="n">
        <x:v>46319</x:v>
      </x:c>
      <x:c r="I53" s="160" t="n">
        <x:v>46323</x:v>
      </x:c>
      <x:c r="J53" s="160" t="n">
        <x:v>46327</x:v>
      </x:c>
      <x:c r="K53" s="160" t="n">
        <x:v>46302</x:v>
      </x:c>
      <x:c r="L53" s="160" t="n">
        <x:v>46305</x:v>
      </x:c>
      <x:c r="M53" s="160" t="n">
        <x:v>46307</x:v>
      </x:c>
      <x:c r="N53" s="161" t="n">
        <x:v>46306</x:v>
      </x:c>
      <x:c r="O53" s="161" t="n">
        <x:v>46344</x:v>
      </x:c>
      <x:c r="P53" s="161" t="n">
        <x:v>46388</x:v>
      </x:c>
      <x:c r="Q53" s="125" t="n">
        <x:v>1</x:v>
      </x:c>
      <x:c r="R53" s="125" t="n">
        <x:v>87</x:v>
      </x:c>
      <x:c r="S53" s="125" t="str">
        <x:v>PASS</x:v>
      </x:c>
      <x:c r="T53" s="125" t="str">
        <x:f>'CRAWL_LOG'!C53</x:f>
        <x:v>Chưa chạy</x:v>
      </x:c>
      <x:c r="U53" s="86" t="str">
        <x:v>Có Tết Dương lịch 01/01</x:v>
      </x:c>
      <x:c r="V53" s="86"/>
    </x:row>
    <x:row r="54" ht="24" customHeight="1">
      <x:c r="A54" s="14" t="n">
        <x:v>46302</x:v>
      </x:c>
      <x:c r="B54" t="str">
        <x:v>Thứ Tư</x:v>
      </x:c>
      <x:c r="C54" t="str">
        <x:v>Official</x:v>
      </x:c>
      <x:c r="D54" t="str">
        <x:v>00:30</x:v>
      </x:c>
      <x:c r="E54" s="160" t="n">
        <x:v>46310</x:v>
      </x:c>
      <x:c r="F54" s="160" t="n">
        <x:v>46312</x:v>
      </x:c>
      <x:c r="G54" s="160" t="n">
        <x:v>46315</x:v>
      </x:c>
      <x:c r="H54" s="160" t="n">
        <x:v>46319</x:v>
      </x:c>
      <x:c r="I54" s="160" t="n">
        <x:v>46323</x:v>
      </x:c>
      <x:c r="J54" s="160" t="n">
        <x:v>46327</x:v>
      </x:c>
      <x:c r="K54" s="160" t="n">
        <x:v>46302</x:v>
      </x:c>
      <x:c r="L54" s="160" t="n">
        <x:v>46305</x:v>
      </x:c>
      <x:c r="M54" s="160" t="n">
        <x:v>46307</x:v>
      </x:c>
      <x:c r="N54" s="161" t="n">
        <x:v>46306</x:v>
      </x:c>
      <x:c r="O54" s="161" t="n">
        <x:v>46344</x:v>
      </x:c>
      <x:c r="P54" s="161" t="n">
        <x:v>46388</x:v>
      </x:c>
      <x:c r="Q54" s="125" t="n">
        <x:v>0</x:v>
      </x:c>
      <x:c r="R54" s="125" t="n">
        <x:v>86</x:v>
      </x:c>
      <x:c r="S54" s="125" t="str">
        <x:v>PASS</x:v>
      </x:c>
      <x:c r="T54" s="125" t="str">
        <x:f>'CRAWL_LOG'!C54</x:f>
        <x:v>Chưa chạy</x:v>
      </x:c>
      <x:c r="U54" s="86" t="str">
        <x:v>Có Tết Dương lịch 01/01</x:v>
      </x:c>
      <x:c r="V54" s="86"/>
    </x:row>
    <x:row r="55" ht="24" customHeight="1">
      <x:c r="A55" s="14" t="n">
        <x:v>46303</x:v>
      </x:c>
      <x:c r="B55" t="str">
        <x:v>Thứ Năm</x:v>
      </x:c>
      <x:c r="C55" t="str">
        <x:v>Official</x:v>
      </x:c>
      <x:c r="D55" t="str">
        <x:v>00:30</x:v>
      </x:c>
      <x:c r="E55" s="160" t="n">
        <x:v>46310</x:v>
      </x:c>
      <x:c r="F55" s="160" t="n">
        <x:v>46312</x:v>
      </x:c>
      <x:c r="G55" s="160" t="n">
        <x:v>46315</x:v>
      </x:c>
      <x:c r="H55" s="160" t="n">
        <x:v>46319</x:v>
      </x:c>
      <x:c r="I55" s="160" t="n">
        <x:v>46323</x:v>
      </x:c>
      <x:c r="J55" s="160" t="n">
        <x:v>46327</x:v>
      </x:c>
      <x:c r="K55" s="160" t="n">
        <x:v>46330</x:v>
      </x:c>
      <x:c r="L55" s="160" t="n">
        <x:v>46305</x:v>
      </x:c>
      <x:c r="M55" s="160" t="n">
        <x:v>46307</x:v>
      </x:c>
      <x:c r="N55" s="161" t="n">
        <x:v>46306</x:v>
      </x:c>
      <x:c r="O55" s="161" t="n">
        <x:v>46344</x:v>
      </x:c>
      <x:c r="P55" s="161" t="n">
        <x:v>46388</x:v>
      </x:c>
      <x:c r="Q55" s="125" t="n">
        <x:v>2</x:v>
      </x:c>
      <x:c r="R55" s="125" t="n">
        <x:v>85</x:v>
      </x:c>
      <x:c r="S55" s="125" t="str">
        <x:v>PASS</x:v>
      </x:c>
      <x:c r="T55" s="125" t="str">
        <x:f>'CRAWL_LOG'!C55</x:f>
        <x:v>Chưa chạy</x:v>
      </x:c>
      <x:c r="U55" s="86" t="str">
        <x:v>Có Tết Dương lịch 01/01</x:v>
      </x:c>
      <x:c r="V55" s="86"/>
    </x:row>
    <x:row r="56" ht="24" customHeight="1">
      <x:c r="A56" s="14" t="n">
        <x:v>46304</x:v>
      </x:c>
      <x:c r="B56" t="str">
        <x:v>Thứ Sáu</x:v>
      </x:c>
      <x:c r="C56" t="str">
        <x:v>Official</x:v>
      </x:c>
      <x:c r="D56" t="str">
        <x:v>00:30</x:v>
      </x:c>
      <x:c r="E56" s="160" t="n">
        <x:v>46310</x:v>
      </x:c>
      <x:c r="F56" s="160" t="n">
        <x:v>46312</x:v>
      </x:c>
      <x:c r="G56" s="160" t="n">
        <x:v>46315</x:v>
      </x:c>
      <x:c r="H56" s="160" t="n">
        <x:v>46319</x:v>
      </x:c>
      <x:c r="I56" s="160" t="n">
        <x:v>46323</x:v>
      </x:c>
      <x:c r="J56" s="160" t="n">
        <x:v>46327</x:v>
      </x:c>
      <x:c r="K56" s="160" t="n">
        <x:v>46330</x:v>
      </x:c>
      <x:c r="L56" s="160" t="n">
        <x:v>46305</x:v>
      </x:c>
      <x:c r="M56" s="160" t="n">
        <x:v>46307</x:v>
      </x:c>
      <x:c r="N56" s="161" t="n">
        <x:v>46306</x:v>
      </x:c>
      <x:c r="O56" s="161" t="n">
        <x:v>46344</x:v>
      </x:c>
      <x:c r="P56" s="161" t="n">
        <x:v>46388</x:v>
      </x:c>
      <x:c r="Q56" s="125" t="n">
        <x:v>1</x:v>
      </x:c>
      <x:c r="R56" s="125" t="n">
        <x:v>84</x:v>
      </x:c>
      <x:c r="S56" s="125" t="str">
        <x:v>PASS</x:v>
      </x:c>
      <x:c r="T56" s="125" t="str">
        <x:f>'CRAWL_LOG'!C56</x:f>
        <x:v>Chưa chạy</x:v>
      </x:c>
      <x:c r="U56" s="86" t="str">
        <x:v>Có Tết Dương lịch 01/01</x:v>
      </x:c>
      <x:c r="V56" s="86"/>
    </x:row>
    <x:row r="57" ht="24" customHeight="1">
      <x:c r="A57" s="14" t="n">
        <x:v>46305</x:v>
      </x:c>
      <x:c r="B57" t="str">
        <x:v>Thứ Bảy</x:v>
      </x:c>
      <x:c r="C57" t="str">
        <x:v>Official</x:v>
      </x:c>
      <x:c r="D57" t="str">
        <x:v>00:30</x:v>
      </x:c>
      <x:c r="E57" s="160" t="n">
        <x:v>46310</x:v>
      </x:c>
      <x:c r="F57" s="160" t="n">
        <x:v>46312</x:v>
      </x:c>
      <x:c r="G57" s="160" t="n">
        <x:v>46315</x:v>
      </x:c>
      <x:c r="H57" s="160" t="n">
        <x:v>46319</x:v>
      </x:c>
      <x:c r="I57" s="160" t="n">
        <x:v>46323</x:v>
      </x:c>
      <x:c r="J57" s="160" t="n">
        <x:v>46327</x:v>
      </x:c>
      <x:c r="K57" s="160" t="n">
        <x:v>46330</x:v>
      </x:c>
      <x:c r="L57" s="160" t="n">
        <x:v>46305</x:v>
      </x:c>
      <x:c r="M57" s="160" t="n">
        <x:v>46307</x:v>
      </x:c>
      <x:c r="N57" s="161" t="n">
        <x:v>46306</x:v>
      </x:c>
      <x:c r="O57" s="161" t="n">
        <x:v>46344</x:v>
      </x:c>
      <x:c r="P57" s="161" t="n">
        <x:v>46388</x:v>
      </x:c>
      <x:c r="Q57" s="125" t="n">
        <x:v>0</x:v>
      </x:c>
      <x:c r="R57" s="125" t="n">
        <x:v>83</x:v>
      </x:c>
      <x:c r="S57" s="125" t="str">
        <x:v>PASS</x:v>
      </x:c>
      <x:c r="T57" s="125" t="str">
        <x:f>'CRAWL_LOG'!C57</x:f>
        <x:v>Chưa chạy</x:v>
      </x:c>
      <x:c r="U57" s="86" t="str">
        <x:v>Có Tết Dương lịch 01/01</x:v>
      </x:c>
      <x:c r="V57" s="86"/>
    </x:row>
    <x:row r="58" ht="24" customHeight="1">
      <x:c r="A58" s="14" t="n">
        <x:v>46306</x:v>
      </x:c>
      <x:c r="B58" t="str">
        <x:v>Chủ Nhật</x:v>
      </x:c>
      <x:c r="C58" t="str">
        <x:v>Official</x:v>
      </x:c>
      <x:c r="D58" t="str">
        <x:v>00:30</x:v>
      </x:c>
      <x:c r="E58" s="160" t="n">
        <x:v>46310</x:v>
      </x:c>
      <x:c r="F58" s="160" t="n">
        <x:v>46312</x:v>
      </x:c>
      <x:c r="G58" s="160" t="n">
        <x:v>46315</x:v>
      </x:c>
      <x:c r="H58" s="160" t="n">
        <x:v>46319</x:v>
      </x:c>
      <x:c r="I58" s="160" t="n">
        <x:v>46323</x:v>
      </x:c>
      <x:c r="J58" s="160" t="n">
        <x:v>46327</x:v>
      </x:c>
      <x:c r="K58" s="160" t="n">
        <x:v>46330</x:v>
      </x:c>
      <x:c r="L58" s="160" t="n">
        <x:v>46333</x:v>
      </x:c>
      <x:c r="M58" s="160" t="n">
        <x:v>46307</x:v>
      </x:c>
      <x:c r="N58" s="161" t="n">
        <x:v>46306</x:v>
      </x:c>
      <x:c r="O58" s="161" t="n">
        <x:v>46344</x:v>
      </x:c>
      <x:c r="P58" s="161" t="n">
        <x:v>46388</x:v>
      </x:c>
      <x:c r="Q58" s="125" t="n">
        <x:v>0</x:v>
      </x:c>
      <x:c r="R58" s="125" t="n">
        <x:v>82</x:v>
      </x:c>
      <x:c r="S58" s="125" t="str">
        <x:v>PASS</x:v>
      </x:c>
      <x:c r="T58" s="125" t="str">
        <x:f>'CRAWL_LOG'!C58</x:f>
        <x:v>Chưa chạy</x:v>
      </x:c>
      <x:c r="U58" s="86" t="str">
        <x:v>Có Tết Dương lịch 01/01</x:v>
      </x:c>
      <x:c r="V58" s="86"/>
    </x:row>
    <x:row r="59" ht="24" customHeight="1">
      <x:c r="A59" s="14" t="n">
        <x:v>46307</x:v>
      </x:c>
      <x:c r="B59" t="str">
        <x:v>Thứ Hai</x:v>
      </x:c>
      <x:c r="C59" t="str">
        <x:v>Official</x:v>
      </x:c>
      <x:c r="D59" t="str">
        <x:v>00:30</x:v>
      </x:c>
      <x:c r="E59" s="160" t="n">
        <x:v>46310</x:v>
      </x:c>
      <x:c r="F59" s="160" t="n">
        <x:v>46312</x:v>
      </x:c>
      <x:c r="G59" s="160" t="n">
        <x:v>46315</x:v>
      </x:c>
      <x:c r="H59" s="160" t="n">
        <x:v>46319</x:v>
      </x:c>
      <x:c r="I59" s="160" t="n">
        <x:v>46323</x:v>
      </x:c>
      <x:c r="J59" s="160" t="n">
        <x:v>46327</x:v>
      </x:c>
      <x:c r="K59" s="160" t="n">
        <x:v>46330</x:v>
      </x:c>
      <x:c r="L59" s="160" t="n">
        <x:v>46333</x:v>
      </x:c>
      <x:c r="M59" s="160" t="n">
        <x:v>46307</x:v>
      </x:c>
      <x:c r="N59" s="161" t="n">
        <x:v>46362</x:v>
      </x:c>
      <x:c r="O59" s="161" t="n">
        <x:v>46344</x:v>
      </x:c>
      <x:c r="P59" s="161" t="n">
        <x:v>46388</x:v>
      </x:c>
      <x:c r="Q59" s="125" t="n">
        <x:v>0</x:v>
      </x:c>
      <x:c r="R59" s="125" t="n">
        <x:v>81</x:v>
      </x:c>
      <x:c r="S59" s="125" t="str">
        <x:v>PASS</x:v>
      </x:c>
      <x:c r="T59" s="125" t="str">
        <x:f>'CRAWL_LOG'!C59</x:f>
        <x:v>Chưa chạy</x:v>
      </x:c>
      <x:c r="U59" s="86" t="str">
        <x:v>Có Tết Dương lịch 01/01</x:v>
      </x:c>
      <x:c r="V59" s="86"/>
    </x:row>
    <x:row r="60" ht="24" customHeight="1">
      <x:c r="A60" s="14" t="n">
        <x:v>46308</x:v>
      </x:c>
      <x:c r="B60" t="str">
        <x:v>Thứ Ba</x:v>
      </x:c>
      <x:c r="C60" t="str">
        <x:v>Official</x:v>
      </x:c>
      <x:c r="D60" t="str">
        <x:v>00:30</x:v>
      </x:c>
      <x:c r="E60" s="160" t="n">
        <x:v>46310</x:v>
      </x:c>
      <x:c r="F60" s="160" t="n">
        <x:v>46312</x:v>
      </x:c>
      <x:c r="G60" s="160" t="n">
        <x:v>46315</x:v>
      </x:c>
      <x:c r="H60" s="160" t="n">
        <x:v>46319</x:v>
      </x:c>
      <x:c r="I60" s="160" t="n">
        <x:v>46323</x:v>
      </x:c>
      <x:c r="J60" s="160" t="n">
        <x:v>46327</x:v>
      </x:c>
      <x:c r="K60" s="160" t="n">
        <x:v>46330</x:v>
      </x:c>
      <x:c r="L60" s="160" t="n">
        <x:v>46333</x:v>
      </x:c>
      <x:c r="M60" s="160" t="n">
        <x:v>46335</x:v>
      </x:c>
      <x:c r="N60" s="161" t="n">
        <x:v>46362</x:v>
      </x:c>
      <x:c r="O60" s="161" t="n">
        <x:v>46344</x:v>
      </x:c>
      <x:c r="P60" s="161" t="n">
        <x:v>46388</x:v>
      </x:c>
      <x:c r="Q60" s="125" t="n">
        <x:v>2</x:v>
      </x:c>
      <x:c r="R60" s="125" t="n">
        <x:v>80</x:v>
      </x:c>
      <x:c r="S60" s="125" t="str">
        <x:v>PASS</x:v>
      </x:c>
      <x:c r="T60" s="125" t="str">
        <x:f>'CRAWL_LOG'!C60</x:f>
        <x:v>Chưa chạy</x:v>
      </x:c>
      <x:c r="U60" s="86" t="str">
        <x:v>Có Tết Dương lịch 01/01</x:v>
      </x:c>
      <x:c r="V60" s="86"/>
    </x:row>
    <x:row r="61" ht="24" customHeight="1">
      <x:c r="A61" s="14" t="n">
        <x:v>46309</x:v>
      </x:c>
      <x:c r="B61" t="str">
        <x:v>Thứ Tư</x:v>
      </x:c>
      <x:c r="C61" t="str">
        <x:v>Official</x:v>
      </x:c>
      <x:c r="D61" t="str">
        <x:v>00:30</x:v>
      </x:c>
      <x:c r="E61" s="160" t="n">
        <x:v>46310</x:v>
      </x:c>
      <x:c r="F61" s="160" t="n">
        <x:v>46312</x:v>
      </x:c>
      <x:c r="G61" s="160" t="n">
        <x:v>46315</x:v>
      </x:c>
      <x:c r="H61" s="160" t="n">
        <x:v>46319</x:v>
      </x:c>
      <x:c r="I61" s="160" t="n">
        <x:v>46323</x:v>
      </x:c>
      <x:c r="J61" s="160" t="n">
        <x:v>46327</x:v>
      </x:c>
      <x:c r="K61" s="160" t="n">
        <x:v>46330</x:v>
      </x:c>
      <x:c r="L61" s="160" t="n">
        <x:v>46333</x:v>
      </x:c>
      <x:c r="M61" s="160" t="n">
        <x:v>46335</x:v>
      </x:c>
      <x:c r="N61" s="161" t="n">
        <x:v>46362</x:v>
      </x:c>
      <x:c r="O61" s="161" t="n">
        <x:v>46344</x:v>
      </x:c>
      <x:c r="P61" s="161" t="n">
        <x:v>46388</x:v>
      </x:c>
      <x:c r="Q61" s="125" t="n">
        <x:v>1</x:v>
      </x:c>
      <x:c r="R61" s="125" t="n">
        <x:v>79</x:v>
      </x:c>
      <x:c r="S61" s="125" t="str">
        <x:v>PASS</x:v>
      </x:c>
      <x:c r="T61" s="125" t="str">
        <x:f>'CRAWL_LOG'!C61</x:f>
        <x:v>Chưa chạy</x:v>
      </x:c>
      <x:c r="U61" s="86" t="str">
        <x:v>Có Tết Dương lịch 01/01</x:v>
      </x:c>
      <x:c r="V61" s="86"/>
    </x:row>
    <x:row r="62" ht="24" customHeight="1">
      <x:c r="A62" s="14" t="n">
        <x:v>46310</x:v>
      </x:c>
      <x:c r="B62" t="str">
        <x:v>Thứ Năm</x:v>
      </x:c>
      <x:c r="C62" t="str">
        <x:v>Official</x:v>
      </x:c>
      <x:c r="D62" t="str">
        <x:v>00:30</x:v>
      </x:c>
      <x:c r="E62" s="160" t="n">
        <x:v>46310</x:v>
      </x:c>
      <x:c r="F62" s="160" t="n">
        <x:v>46312</x:v>
      </x:c>
      <x:c r="G62" s="160" t="n">
        <x:v>46315</x:v>
      </x:c>
      <x:c r="H62" s="160" t="n">
        <x:v>46319</x:v>
      </x:c>
      <x:c r="I62" s="160" t="n">
        <x:v>46323</x:v>
      </x:c>
      <x:c r="J62" s="160" t="n">
        <x:v>46327</x:v>
      </x:c>
      <x:c r="K62" s="160" t="n">
        <x:v>46330</x:v>
      </x:c>
      <x:c r="L62" s="160" t="n">
        <x:v>46333</x:v>
      </x:c>
      <x:c r="M62" s="160" t="n">
        <x:v>46335</x:v>
      </x:c>
      <x:c r="N62" s="161" t="n">
        <x:v>46362</x:v>
      </x:c>
      <x:c r="O62" s="161" t="n">
        <x:v>46344</x:v>
      </x:c>
      <x:c r="P62" s="161" t="n">
        <x:v>46388</x:v>
      </x:c>
      <x:c r="Q62" s="125" t="n">
        <x:v>0</x:v>
      </x:c>
      <x:c r="R62" s="125" t="n">
        <x:v>78</x:v>
      </x:c>
      <x:c r="S62" s="125" t="str">
        <x:v>PASS</x:v>
      </x:c>
      <x:c r="T62" s="125" t="str">
        <x:f>'CRAWL_LOG'!C62</x:f>
        <x:v>Chưa chạy</x:v>
      </x:c>
      <x:c r="U62" s="86" t="str">
        <x:v>Có Tết Dương lịch 01/01</x:v>
      </x:c>
      <x:c r="V62" s="86"/>
    </x:row>
    <x:row r="63" ht="24" customHeight="1">
      <x:c r="A63" s="14" t="n">
        <x:v>46311</x:v>
      </x:c>
      <x:c r="B63" t="str">
        <x:v>Thứ Sáu</x:v>
      </x:c>
      <x:c r="C63" t="str">
        <x:v>Official</x:v>
      </x:c>
      <x:c r="D63" t="str">
        <x:v>00:30</x:v>
      </x:c>
      <x:c r="E63" s="160" t="n">
        <x:v>46338</x:v>
      </x:c>
      <x:c r="F63" s="160" t="n">
        <x:v>46312</x:v>
      </x:c>
      <x:c r="G63" s="160" t="n">
        <x:v>46315</x:v>
      </x:c>
      <x:c r="H63" s="160" t="n">
        <x:v>46319</x:v>
      </x:c>
      <x:c r="I63" s="160" t="n">
        <x:v>46323</x:v>
      </x:c>
      <x:c r="J63" s="160" t="n">
        <x:v>46327</x:v>
      </x:c>
      <x:c r="K63" s="160" t="n">
        <x:v>46330</x:v>
      </x:c>
      <x:c r="L63" s="160" t="n">
        <x:v>46333</x:v>
      </x:c>
      <x:c r="M63" s="160" t="n">
        <x:v>46335</x:v>
      </x:c>
      <x:c r="N63" s="161" t="n">
        <x:v>46362</x:v>
      </x:c>
      <x:c r="O63" s="161" t="n">
        <x:v>46344</x:v>
      </x:c>
      <x:c r="P63" s="161" t="n">
        <x:v>46388</x:v>
      </x:c>
      <x:c r="Q63" s="125" t="n">
        <x:v>1</x:v>
      </x:c>
      <x:c r="R63" s="125" t="n">
        <x:v>77</x:v>
      </x:c>
      <x:c r="S63" s="125" t="str">
        <x:v>PASS</x:v>
      </x:c>
      <x:c r="T63" s="125" t="str">
        <x:f>'CRAWL_LOG'!C63</x:f>
        <x:v>Chưa chạy</x:v>
      </x:c>
      <x:c r="U63" s="86" t="str">
        <x:v>Có Tết Dương lịch 01/01</x:v>
      </x:c>
      <x:c r="V63" s="86"/>
    </x:row>
    <x:row r="64" ht="24" customHeight="1">
      <x:c r="A64" s="14" t="n">
        <x:v>46312</x:v>
      </x:c>
      <x:c r="B64" t="str">
        <x:v>Thứ Bảy</x:v>
      </x:c>
      <x:c r="C64" t="str">
        <x:v>Official</x:v>
      </x:c>
      <x:c r="D64" t="str">
        <x:v>00:30</x:v>
      </x:c>
      <x:c r="E64" s="160" t="n">
        <x:v>46338</x:v>
      </x:c>
      <x:c r="F64" s="160" t="n">
        <x:v>46312</x:v>
      </x:c>
      <x:c r="G64" s="160" t="n">
        <x:v>46315</x:v>
      </x:c>
      <x:c r="H64" s="160" t="n">
        <x:v>46319</x:v>
      </x:c>
      <x:c r="I64" s="160" t="n">
        <x:v>46323</x:v>
      </x:c>
      <x:c r="J64" s="160" t="n">
        <x:v>46327</x:v>
      </x:c>
      <x:c r="K64" s="160" t="n">
        <x:v>46330</x:v>
      </x:c>
      <x:c r="L64" s="160" t="n">
        <x:v>46333</x:v>
      </x:c>
      <x:c r="M64" s="160" t="n">
        <x:v>46335</x:v>
      </x:c>
      <x:c r="N64" s="161" t="n">
        <x:v>46362</x:v>
      </x:c>
      <x:c r="O64" s="161" t="n">
        <x:v>46344</x:v>
      </x:c>
      <x:c r="P64" s="161" t="n">
        <x:v>46388</x:v>
      </x:c>
      <x:c r="Q64" s="125" t="n">
        <x:v>0</x:v>
      </x:c>
      <x:c r="R64" s="125" t="n">
        <x:v>76</x:v>
      </x:c>
      <x:c r="S64" s="125" t="str">
        <x:v>PASS</x:v>
      </x:c>
      <x:c r="T64" s="125" t="str">
        <x:f>'CRAWL_LOG'!C64</x:f>
        <x:v>Chưa chạy</x:v>
      </x:c>
      <x:c r="U64" s="86" t="str">
        <x:v>Có Tết Dương lịch 01/01</x:v>
      </x:c>
      <x:c r="V64" s="86"/>
    </x:row>
    <x:row r="65" ht="24" customHeight="1">
      <x:c r="A65" s="14" t="n">
        <x:v>46313</x:v>
      </x:c>
      <x:c r="B65" t="str">
        <x:v>Chủ Nhật</x:v>
      </x:c>
      <x:c r="C65" t="str">
        <x:v>Official</x:v>
      </x:c>
      <x:c r="D65" t="str">
        <x:v>00:30</x:v>
      </x:c>
      <x:c r="E65" s="160" t="n">
        <x:v>46338</x:v>
      </x:c>
      <x:c r="F65" s="160" t="n">
        <x:v>46340</x:v>
      </x:c>
      <x:c r="G65" s="160" t="n">
        <x:v>46315</x:v>
      </x:c>
      <x:c r="H65" s="160" t="n">
        <x:v>46319</x:v>
      </x:c>
      <x:c r="I65" s="160" t="n">
        <x:v>46323</x:v>
      </x:c>
      <x:c r="J65" s="160" t="n">
        <x:v>46327</x:v>
      </x:c>
      <x:c r="K65" s="160" t="n">
        <x:v>46330</x:v>
      </x:c>
      <x:c r="L65" s="160" t="n">
        <x:v>46333</x:v>
      </x:c>
      <x:c r="M65" s="160" t="n">
        <x:v>46335</x:v>
      </x:c>
      <x:c r="N65" s="161" t="n">
        <x:v>46362</x:v>
      </x:c>
      <x:c r="O65" s="161" t="n">
        <x:v>46344</x:v>
      </x:c>
      <x:c r="P65" s="161" t="n">
        <x:v>46388</x:v>
      </x:c>
      <x:c r="Q65" s="125" t="n">
        <x:v>2</x:v>
      </x:c>
      <x:c r="R65" s="125" t="n">
        <x:v>75</x:v>
      </x:c>
      <x:c r="S65" s="125" t="str">
        <x:v>PASS</x:v>
      </x:c>
      <x:c r="T65" s="125" t="str">
        <x:f>'CRAWL_LOG'!C65</x:f>
        <x:v>Chưa chạy</x:v>
      </x:c>
      <x:c r="U65" s="86" t="str">
        <x:v>Có Tết Dương lịch 01/01</x:v>
      </x:c>
      <x:c r="V65" s="86"/>
    </x:row>
    <x:row r="66" ht="24" customHeight="1">
      <x:c r="A66" s="14" t="n">
        <x:v>46314</x:v>
      </x:c>
      <x:c r="B66" t="str">
        <x:v>Thứ Hai</x:v>
      </x:c>
      <x:c r="C66" t="str">
        <x:v>Official</x:v>
      </x:c>
      <x:c r="D66" t="str">
        <x:v>00:30</x:v>
      </x:c>
      <x:c r="E66" s="160" t="n">
        <x:v>46338</x:v>
      </x:c>
      <x:c r="F66" s="160" t="n">
        <x:v>46340</x:v>
      </x:c>
      <x:c r="G66" s="160" t="n">
        <x:v>46315</x:v>
      </x:c>
      <x:c r="H66" s="160" t="n">
        <x:v>46319</x:v>
      </x:c>
      <x:c r="I66" s="160" t="n">
        <x:v>46323</x:v>
      </x:c>
      <x:c r="J66" s="160" t="n">
        <x:v>46327</x:v>
      </x:c>
      <x:c r="K66" s="160" t="n">
        <x:v>46330</x:v>
      </x:c>
      <x:c r="L66" s="160" t="n">
        <x:v>46333</x:v>
      </x:c>
      <x:c r="M66" s="160" t="n">
        <x:v>46335</x:v>
      </x:c>
      <x:c r="N66" s="161" t="n">
        <x:v>46362</x:v>
      </x:c>
      <x:c r="O66" s="161" t="n">
        <x:v>46344</x:v>
      </x:c>
      <x:c r="P66" s="161" t="n">
        <x:v>46388</x:v>
      </x:c>
      <x:c r="Q66" s="125" t="n">
        <x:v>1</x:v>
      </x:c>
      <x:c r="R66" s="125" t="n">
        <x:v>74</x:v>
      </x:c>
      <x:c r="S66" s="125" t="str">
        <x:v>PASS</x:v>
      </x:c>
      <x:c r="T66" s="125" t="str">
        <x:f>'CRAWL_LOG'!C66</x:f>
        <x:v>Chưa chạy</x:v>
      </x:c>
      <x:c r="U66" s="86" t="str">
        <x:v>Có Tết Dương lịch 01/01</x:v>
      </x:c>
      <x:c r="V66" s="86"/>
    </x:row>
    <x:row r="67" ht="24" customHeight="1">
      <x:c r="A67" s="14" t="n">
        <x:v>46315</x:v>
      </x:c>
      <x:c r="B67" t="str">
        <x:v>Thứ Ba</x:v>
      </x:c>
      <x:c r="C67" t="str">
        <x:v>Official</x:v>
      </x:c>
      <x:c r="D67" t="str">
        <x:v>00:30</x:v>
      </x:c>
      <x:c r="E67" s="160" t="n">
        <x:v>46338</x:v>
      </x:c>
      <x:c r="F67" s="160" t="n">
        <x:v>46340</x:v>
      </x:c>
      <x:c r="G67" s="160" t="n">
        <x:v>46315</x:v>
      </x:c>
      <x:c r="H67" s="160" t="n">
        <x:v>46319</x:v>
      </x:c>
      <x:c r="I67" s="160" t="n">
        <x:v>46323</x:v>
      </x:c>
      <x:c r="J67" s="160" t="n">
        <x:v>46327</x:v>
      </x:c>
      <x:c r="K67" s="160" t="n">
        <x:v>46330</x:v>
      </x:c>
      <x:c r="L67" s="160" t="n">
        <x:v>46333</x:v>
      </x:c>
      <x:c r="M67" s="160" t="n">
        <x:v>46335</x:v>
      </x:c>
      <x:c r="N67" s="161" t="n">
        <x:v>46362</x:v>
      </x:c>
      <x:c r="O67" s="161" t="n">
        <x:v>46344</x:v>
      </x:c>
      <x:c r="P67" s="161" t="n">
        <x:v>46388</x:v>
      </x:c>
      <x:c r="Q67" s="125" t="n">
        <x:v>0</x:v>
      </x:c>
      <x:c r="R67" s="125" t="n">
        <x:v>73</x:v>
      </x:c>
      <x:c r="S67" s="125" t="str">
        <x:v>PASS</x:v>
      </x:c>
      <x:c r="T67" s="125" t="str">
        <x:f>'CRAWL_LOG'!C67</x:f>
        <x:v>Chưa chạy</x:v>
      </x:c>
      <x:c r="U67" s="86" t="str">
        <x:v>Có Tết Dương lịch 01/01</x:v>
      </x:c>
      <x:c r="V67" s="86"/>
    </x:row>
    <x:row r="68" ht="24" customHeight="1">
      <x:c r="A68" s="14" t="n">
        <x:v>46316</x:v>
      </x:c>
      <x:c r="B68" t="str">
        <x:v>Thứ Tư</x:v>
      </x:c>
      <x:c r="C68" t="str">
        <x:v>Official</x:v>
      </x:c>
      <x:c r="D68" t="str">
        <x:v>00:30</x:v>
      </x:c>
      <x:c r="E68" s="160" t="n">
        <x:v>46338</x:v>
      </x:c>
      <x:c r="F68" s="160" t="n">
        <x:v>46340</x:v>
      </x:c>
      <x:c r="G68" s="160" t="n">
        <x:v>46343</x:v>
      </x:c>
      <x:c r="H68" s="160" t="n">
        <x:v>46319</x:v>
      </x:c>
      <x:c r="I68" s="160" t="n">
        <x:v>46323</x:v>
      </x:c>
      <x:c r="J68" s="160" t="n">
        <x:v>46327</x:v>
      </x:c>
      <x:c r="K68" s="160" t="n">
        <x:v>46330</x:v>
      </x:c>
      <x:c r="L68" s="160" t="n">
        <x:v>46333</x:v>
      </x:c>
      <x:c r="M68" s="160" t="n">
        <x:v>46335</x:v>
      </x:c>
      <x:c r="N68" s="161" t="n">
        <x:v>46362</x:v>
      </x:c>
      <x:c r="O68" s="161" t="n">
        <x:v>46344</x:v>
      </x:c>
      <x:c r="P68" s="161" t="n">
        <x:v>46388</x:v>
      </x:c>
      <x:c r="Q68" s="125" t="n">
        <x:v>3</x:v>
      </x:c>
      <x:c r="R68" s="125" t="n">
        <x:v>72</x:v>
      </x:c>
      <x:c r="S68" s="125" t="str">
        <x:v>PASS</x:v>
      </x:c>
      <x:c r="T68" s="125" t="str">
        <x:f>'CRAWL_LOG'!C68</x:f>
        <x:v>Chưa chạy</x:v>
      </x:c>
      <x:c r="U68" s="86" t="str">
        <x:v>Có Tết Dương lịch 01/01</x:v>
      </x:c>
      <x:c r="V68" s="86"/>
    </x:row>
    <x:row r="69" ht="24" customHeight="1">
      <x:c r="A69" s="14" t="n">
        <x:v>46317</x:v>
      </x:c>
      <x:c r="B69" t="str">
        <x:v>Thứ Năm</x:v>
      </x:c>
      <x:c r="C69" t="str">
        <x:v>Official</x:v>
      </x:c>
      <x:c r="D69" t="str">
        <x:v>00:30</x:v>
      </x:c>
      <x:c r="E69" s="160" t="n">
        <x:v>46338</x:v>
      </x:c>
      <x:c r="F69" s="160" t="n">
        <x:v>46340</x:v>
      </x:c>
      <x:c r="G69" s="160" t="n">
        <x:v>46343</x:v>
      </x:c>
      <x:c r="H69" s="160" t="n">
        <x:v>46319</x:v>
      </x:c>
      <x:c r="I69" s="160" t="n">
        <x:v>46323</x:v>
      </x:c>
      <x:c r="J69" s="160" t="n">
        <x:v>46327</x:v>
      </x:c>
      <x:c r="K69" s="160" t="n">
        <x:v>46330</x:v>
      </x:c>
      <x:c r="L69" s="160" t="n">
        <x:v>46333</x:v>
      </x:c>
      <x:c r="M69" s="160" t="n">
        <x:v>46335</x:v>
      </x:c>
      <x:c r="N69" s="161" t="n">
        <x:v>46362</x:v>
      </x:c>
      <x:c r="O69" s="161" t="n">
        <x:v>46344</x:v>
      </x:c>
      <x:c r="P69" s="161" t="n">
        <x:v>46388</x:v>
      </x:c>
      <x:c r="Q69" s="125" t="n">
        <x:v>2</x:v>
      </x:c>
      <x:c r="R69" s="125" t="n">
        <x:v>71</x:v>
      </x:c>
      <x:c r="S69" s="125" t="str">
        <x:v>PASS</x:v>
      </x:c>
      <x:c r="T69" s="125" t="str">
        <x:f>'CRAWL_LOG'!C69</x:f>
        <x:v>Chưa chạy</x:v>
      </x:c>
      <x:c r="U69" s="86" t="str">
        <x:v>Có Tết Dương lịch 01/01</x:v>
      </x:c>
      <x:c r="V69" s="86"/>
    </x:row>
    <x:row r="70" ht="24" customHeight="1">
      <x:c r="A70" s="14" t="n">
        <x:v>46318</x:v>
      </x:c>
      <x:c r="B70" t="str">
        <x:v>Thứ Sáu</x:v>
      </x:c>
      <x:c r="C70" t="str">
        <x:v>Official</x:v>
      </x:c>
      <x:c r="D70" t="str">
        <x:v>00:30</x:v>
      </x:c>
      <x:c r="E70" s="160" t="n">
        <x:v>46338</x:v>
      </x:c>
      <x:c r="F70" s="160" t="n">
        <x:v>46340</x:v>
      </x:c>
      <x:c r="G70" s="160" t="n">
        <x:v>46343</x:v>
      </x:c>
      <x:c r="H70" s="160" t="n">
        <x:v>46319</x:v>
      </x:c>
      <x:c r="I70" s="160" t="n">
        <x:v>46323</x:v>
      </x:c>
      <x:c r="J70" s="160" t="n">
        <x:v>46327</x:v>
      </x:c>
      <x:c r="K70" s="160" t="n">
        <x:v>46330</x:v>
      </x:c>
      <x:c r="L70" s="160" t="n">
        <x:v>46333</x:v>
      </x:c>
      <x:c r="M70" s="160" t="n">
        <x:v>46335</x:v>
      </x:c>
      <x:c r="N70" s="161" t="n">
        <x:v>46362</x:v>
      </x:c>
      <x:c r="O70" s="161" t="n">
        <x:v>46344</x:v>
      </x:c>
      <x:c r="P70" s="161" t="n">
        <x:v>46388</x:v>
      </x:c>
      <x:c r="Q70" s="125" t="n">
        <x:v>1</x:v>
      </x:c>
      <x:c r="R70" s="125" t="n">
        <x:v>70</x:v>
      </x:c>
      <x:c r="S70" s="125" t="str">
        <x:v>PASS</x:v>
      </x:c>
      <x:c r="T70" s="125" t="str">
        <x:f>'CRAWL_LOG'!C70</x:f>
        <x:v>Chưa chạy</x:v>
      </x:c>
      <x:c r="U70" s="86" t="str">
        <x:v>Có Tết Dương lịch 01/01</x:v>
      </x:c>
      <x:c r="V70" s="86"/>
    </x:row>
    <x:row r="71" ht="24" customHeight="1">
      <x:c r="A71" s="14" t="n">
        <x:v>46319</x:v>
      </x:c>
      <x:c r="B71" t="str">
        <x:v>Thứ Bảy</x:v>
      </x:c>
      <x:c r="C71" t="str">
        <x:v>Official</x:v>
      </x:c>
      <x:c r="D71" t="str">
        <x:v>00:30</x:v>
      </x:c>
      <x:c r="E71" s="160" t="n">
        <x:v>46338</x:v>
      </x:c>
      <x:c r="F71" s="160" t="n">
        <x:v>46340</x:v>
      </x:c>
      <x:c r="G71" s="160" t="n">
        <x:v>46343</x:v>
      </x:c>
      <x:c r="H71" s="160" t="n">
        <x:v>46319</x:v>
      </x:c>
      <x:c r="I71" s="160" t="n">
        <x:v>46323</x:v>
      </x:c>
      <x:c r="J71" s="160" t="n">
        <x:v>46327</x:v>
      </x:c>
      <x:c r="K71" s="160" t="n">
        <x:v>46330</x:v>
      </x:c>
      <x:c r="L71" s="160" t="n">
        <x:v>46333</x:v>
      </x:c>
      <x:c r="M71" s="160" t="n">
        <x:v>46335</x:v>
      </x:c>
      <x:c r="N71" s="161" t="n">
        <x:v>46362</x:v>
      </x:c>
      <x:c r="O71" s="161" t="n">
        <x:v>46344</x:v>
      </x:c>
      <x:c r="P71" s="161" t="n">
        <x:v>46388</x:v>
      </x:c>
      <x:c r="Q71" s="125" t="n">
        <x:v>0</x:v>
      </x:c>
      <x:c r="R71" s="125" t="n">
        <x:v>69</x:v>
      </x:c>
      <x:c r="S71" s="125" t="str">
        <x:v>PASS</x:v>
      </x:c>
      <x:c r="T71" s="125" t="str">
        <x:f>'CRAWL_LOG'!C71</x:f>
        <x:v>Chưa chạy</x:v>
      </x:c>
      <x:c r="U71" s="86" t="str">
        <x:v>Có Tết Dương lịch 01/01</x:v>
      </x:c>
      <x:c r="V71" s="86"/>
    </x:row>
    <x:row r="72" ht="24" customHeight="1">
      <x:c r="A72" s="14" t="n">
        <x:v>46320</x:v>
      </x:c>
      <x:c r="B72" t="str">
        <x:v>Chủ Nhật</x:v>
      </x:c>
      <x:c r="C72" t="str">
        <x:v>Official</x:v>
      </x:c>
      <x:c r="D72" t="str">
        <x:v>00:30</x:v>
      </x:c>
      <x:c r="E72" s="160" t="n">
        <x:v>46338</x:v>
      </x:c>
      <x:c r="F72" s="160" t="n">
        <x:v>46340</x:v>
      </x:c>
      <x:c r="G72" s="160" t="n">
        <x:v>46343</x:v>
      </x:c>
      <x:c r="H72" s="160" t="n">
        <x:v>46347</x:v>
      </x:c>
      <x:c r="I72" s="160" t="n">
        <x:v>46323</x:v>
      </x:c>
      <x:c r="J72" s="160" t="n">
        <x:v>46327</x:v>
      </x:c>
      <x:c r="K72" s="160" t="n">
        <x:v>46330</x:v>
      </x:c>
      <x:c r="L72" s="160" t="n">
        <x:v>46333</x:v>
      </x:c>
      <x:c r="M72" s="160" t="n">
        <x:v>46335</x:v>
      </x:c>
      <x:c r="N72" s="161" t="n">
        <x:v>46362</x:v>
      </x:c>
      <x:c r="O72" s="161" t="n">
        <x:v>46344</x:v>
      </x:c>
      <x:c r="P72" s="161" t="n">
        <x:v>46388</x:v>
      </x:c>
      <x:c r="Q72" s="125" t="n">
        <x:v>3</x:v>
      </x:c>
      <x:c r="R72" s="125" t="n">
        <x:v>68</x:v>
      </x:c>
      <x:c r="S72" s="125" t="str">
        <x:v>PASS</x:v>
      </x:c>
      <x:c r="T72" s="125" t="str">
        <x:f>'CRAWL_LOG'!C72</x:f>
        <x:v>Chưa chạy</x:v>
      </x:c>
      <x:c r="U72" s="86" t="str">
        <x:v>Có Tết Dương lịch 01/01</x:v>
      </x:c>
      <x:c r="V72" s="86"/>
    </x:row>
    <x:row r="73" ht="24" customHeight="1">
      <x:c r="A73" s="14" t="n">
        <x:v>46321</x:v>
      </x:c>
      <x:c r="B73" t="str">
        <x:v>Thứ Hai</x:v>
      </x:c>
      <x:c r="C73" t="str">
        <x:v>Official</x:v>
      </x:c>
      <x:c r="D73" t="str">
        <x:v>00:30</x:v>
      </x:c>
      <x:c r="E73" s="160" t="n">
        <x:v>46338</x:v>
      </x:c>
      <x:c r="F73" s="160" t="n">
        <x:v>46340</x:v>
      </x:c>
      <x:c r="G73" s="160" t="n">
        <x:v>46343</x:v>
      </x:c>
      <x:c r="H73" s="160" t="n">
        <x:v>46347</x:v>
      </x:c>
      <x:c r="I73" s="160" t="n">
        <x:v>46323</x:v>
      </x:c>
      <x:c r="J73" s="160" t="n">
        <x:v>46327</x:v>
      </x:c>
      <x:c r="K73" s="160" t="n">
        <x:v>46330</x:v>
      </x:c>
      <x:c r="L73" s="160" t="n">
        <x:v>46333</x:v>
      </x:c>
      <x:c r="M73" s="160" t="n">
        <x:v>46335</x:v>
      </x:c>
      <x:c r="N73" s="161" t="n">
        <x:v>46362</x:v>
      </x:c>
      <x:c r="O73" s="161" t="n">
        <x:v>46344</x:v>
      </x:c>
      <x:c r="P73" s="161" t="n">
        <x:v>46388</x:v>
      </x:c>
      <x:c r="Q73" s="125" t="n">
        <x:v>2</x:v>
      </x:c>
      <x:c r="R73" s="125" t="n">
        <x:v>67</x:v>
      </x:c>
      <x:c r="S73" s="125" t="str">
        <x:v>PASS</x:v>
      </x:c>
      <x:c r="T73" s="125" t="str">
        <x:f>'CRAWL_LOG'!C73</x:f>
        <x:v>Chưa chạy</x:v>
      </x:c>
      <x:c r="U73" s="86" t="str">
        <x:v>Có Tết Dương lịch 01/01</x:v>
      </x:c>
      <x:c r="V73" s="86"/>
    </x:row>
    <x:row r="74" ht="24" customHeight="1">
      <x:c r="A74" s="14" t="n">
        <x:v>46322</x:v>
      </x:c>
      <x:c r="B74" t="str">
        <x:v>Thứ Ba</x:v>
      </x:c>
      <x:c r="C74" t="str">
        <x:v>Official</x:v>
      </x:c>
      <x:c r="D74" t="str">
        <x:v>00:30</x:v>
      </x:c>
      <x:c r="E74" s="160" t="n">
        <x:v>46338</x:v>
      </x:c>
      <x:c r="F74" s="160" t="n">
        <x:v>46340</x:v>
      </x:c>
      <x:c r="G74" s="160" t="n">
        <x:v>46343</x:v>
      </x:c>
      <x:c r="H74" s="160" t="n">
        <x:v>46347</x:v>
      </x:c>
      <x:c r="I74" s="160" t="n">
        <x:v>46323</x:v>
      </x:c>
      <x:c r="J74" s="160" t="n">
        <x:v>46327</x:v>
      </x:c>
      <x:c r="K74" s="160" t="n">
        <x:v>46330</x:v>
      </x:c>
      <x:c r="L74" s="160" t="n">
        <x:v>46333</x:v>
      </x:c>
      <x:c r="M74" s="160" t="n">
        <x:v>46335</x:v>
      </x:c>
      <x:c r="N74" s="161" t="n">
        <x:v>46362</x:v>
      </x:c>
      <x:c r="O74" s="161" t="n">
        <x:v>46344</x:v>
      </x:c>
      <x:c r="P74" s="161" t="n">
        <x:v>46388</x:v>
      </x:c>
      <x:c r="Q74" s="125" t="n">
        <x:v>1</x:v>
      </x:c>
      <x:c r="R74" s="125" t="n">
        <x:v>66</x:v>
      </x:c>
      <x:c r="S74" s="125" t="str">
        <x:v>PASS</x:v>
      </x:c>
      <x:c r="T74" s="125" t="str">
        <x:f>'CRAWL_LOG'!C74</x:f>
        <x:v>Chưa chạy</x:v>
      </x:c>
      <x:c r="U74" s="86" t="str">
        <x:v>Có Tết Dương lịch 01/01</x:v>
      </x:c>
      <x:c r="V74" s="86"/>
    </x:row>
    <x:row r="75" ht="24" customHeight="1">
      <x:c r="A75" s="14" t="n">
        <x:v>46323</x:v>
      </x:c>
      <x:c r="B75" t="str">
        <x:v>Thứ Tư</x:v>
      </x:c>
      <x:c r="C75" t="str">
        <x:v>Official</x:v>
      </x:c>
      <x:c r="D75" t="str">
        <x:v>00:30</x:v>
      </x:c>
      <x:c r="E75" s="160" t="n">
        <x:v>46338</x:v>
      </x:c>
      <x:c r="F75" s="160" t="n">
        <x:v>46340</x:v>
      </x:c>
      <x:c r="G75" s="160" t="n">
        <x:v>46343</x:v>
      </x:c>
      <x:c r="H75" s="160" t="n">
        <x:v>46347</x:v>
      </x:c>
      <x:c r="I75" s="160" t="n">
        <x:v>46323</x:v>
      </x:c>
      <x:c r="J75" s="160" t="n">
        <x:v>46327</x:v>
      </x:c>
      <x:c r="K75" s="160" t="n">
        <x:v>46330</x:v>
      </x:c>
      <x:c r="L75" s="160" t="n">
        <x:v>46333</x:v>
      </x:c>
      <x:c r="M75" s="160" t="n">
        <x:v>46335</x:v>
      </x:c>
      <x:c r="N75" s="161" t="n">
        <x:v>46362</x:v>
      </x:c>
      <x:c r="O75" s="161" t="n">
        <x:v>46344</x:v>
      </x:c>
      <x:c r="P75" s="161" t="n">
        <x:v>46388</x:v>
      </x:c>
      <x:c r="Q75" s="125" t="n">
        <x:v>0</x:v>
      </x:c>
      <x:c r="R75" s="125" t="n">
        <x:v>65</x:v>
      </x:c>
      <x:c r="S75" s="125" t="str">
        <x:v>PASS</x:v>
      </x:c>
      <x:c r="T75" s="125" t="str">
        <x:f>'CRAWL_LOG'!C75</x:f>
        <x:v>Chưa chạy</x:v>
      </x:c>
      <x:c r="U75" s="86" t="str">
        <x:v>Có Tết Dương lịch 01/01</x:v>
      </x:c>
      <x:c r="V75" s="86"/>
    </x:row>
    <x:row r="76" ht="24" customHeight="1">
      <x:c r="A76" s="14" t="n">
        <x:v>46324</x:v>
      </x:c>
      <x:c r="B76" t="str">
        <x:v>Thứ Năm</x:v>
      </x:c>
      <x:c r="C76" t="str">
        <x:v>Official</x:v>
      </x:c>
      <x:c r="D76" t="str">
        <x:v>00:30</x:v>
      </x:c>
      <x:c r="E76" s="160" t="n">
        <x:v>46338</x:v>
      </x:c>
      <x:c r="F76" s="160" t="n">
        <x:v>46340</x:v>
      </x:c>
      <x:c r="G76" s="160" t="n">
        <x:v>46343</x:v>
      </x:c>
      <x:c r="H76" s="160" t="n">
        <x:v>46347</x:v>
      </x:c>
      <x:c r="I76" s="160" t="n">
        <x:v>46351</x:v>
      </x:c>
      <x:c r="J76" s="160" t="n">
        <x:v>46327</x:v>
      </x:c>
      <x:c r="K76" s="160" t="n">
        <x:v>46330</x:v>
      </x:c>
      <x:c r="L76" s="160" t="n">
        <x:v>46333</x:v>
      </x:c>
      <x:c r="M76" s="160" t="n">
        <x:v>46335</x:v>
      </x:c>
      <x:c r="N76" s="161" t="n">
        <x:v>46362</x:v>
      </x:c>
      <x:c r="O76" s="161" t="n">
        <x:v>46344</x:v>
      </x:c>
      <x:c r="P76" s="161" t="n">
        <x:v>46388</x:v>
      </x:c>
      <x:c r="Q76" s="125" t="n">
        <x:v>3</x:v>
      </x:c>
      <x:c r="R76" s="125" t="n">
        <x:v>64</x:v>
      </x:c>
      <x:c r="S76" s="125" t="str">
        <x:v>PASS</x:v>
      </x:c>
      <x:c r="T76" s="125" t="str">
        <x:f>'CRAWL_LOG'!C76</x:f>
        <x:v>Chưa chạy</x:v>
      </x:c>
      <x:c r="U76" s="86" t="str">
        <x:v>Có Tết Dương lịch 01/01</x:v>
      </x:c>
      <x:c r="V76" s="86"/>
    </x:row>
    <x:row r="77" ht="24" customHeight="1">
      <x:c r="A77" s="14" t="n">
        <x:v>46325</x:v>
      </x:c>
      <x:c r="B77" t="str">
        <x:v>Thứ Sáu</x:v>
      </x:c>
      <x:c r="C77" t="str">
        <x:v>Official</x:v>
      </x:c>
      <x:c r="D77" t="str">
        <x:v>00:30</x:v>
      </x:c>
      <x:c r="E77" s="160" t="n">
        <x:v>46338</x:v>
      </x:c>
      <x:c r="F77" s="160" t="n">
        <x:v>46340</x:v>
      </x:c>
      <x:c r="G77" s="160" t="n">
        <x:v>46343</x:v>
      </x:c>
      <x:c r="H77" s="160" t="n">
        <x:v>46347</x:v>
      </x:c>
      <x:c r="I77" s="160" t="n">
        <x:v>46351</x:v>
      </x:c>
      <x:c r="J77" s="160" t="n">
        <x:v>46327</x:v>
      </x:c>
      <x:c r="K77" s="160" t="n">
        <x:v>46330</x:v>
      </x:c>
      <x:c r="L77" s="160" t="n">
        <x:v>46333</x:v>
      </x:c>
      <x:c r="M77" s="160" t="n">
        <x:v>46335</x:v>
      </x:c>
      <x:c r="N77" s="161" t="n">
        <x:v>46362</x:v>
      </x:c>
      <x:c r="O77" s="161" t="n">
        <x:v>46344</x:v>
      </x:c>
      <x:c r="P77" s="161" t="n">
        <x:v>46388</x:v>
      </x:c>
      <x:c r="Q77" s="125" t="n">
        <x:v>2</x:v>
      </x:c>
      <x:c r="R77" s="125" t="n">
        <x:v>63</x:v>
      </x:c>
      <x:c r="S77" s="125" t="str">
        <x:v>PASS</x:v>
      </x:c>
      <x:c r="T77" s="125" t="str">
        <x:f>'CRAWL_LOG'!C77</x:f>
        <x:v>Chưa chạy</x:v>
      </x:c>
      <x:c r="U77" s="86" t="str">
        <x:v>Có Tết Dương lịch 01/01</x:v>
      </x:c>
      <x:c r="V77" s="86"/>
    </x:row>
    <x:row r="78" ht="24" customHeight="1">
      <x:c r="A78" s="14" t="n">
        <x:v>46326</x:v>
      </x:c>
      <x:c r="B78" t="str">
        <x:v>Thứ Bảy</x:v>
      </x:c>
      <x:c r="C78" t="str">
        <x:v>Official</x:v>
      </x:c>
      <x:c r="D78" t="str">
        <x:v>00:30</x:v>
      </x:c>
      <x:c r="E78" s="160" t="n">
        <x:v>46338</x:v>
      </x:c>
      <x:c r="F78" s="160" t="n">
        <x:v>46340</x:v>
      </x:c>
      <x:c r="G78" s="160" t="n">
        <x:v>46343</x:v>
      </x:c>
      <x:c r="H78" s="160" t="n">
        <x:v>46347</x:v>
      </x:c>
      <x:c r="I78" s="160" t="n">
        <x:v>46351</x:v>
      </x:c>
      <x:c r="J78" s="160" t="n">
        <x:v>46327</x:v>
      </x:c>
      <x:c r="K78" s="160" t="n">
        <x:v>46330</x:v>
      </x:c>
      <x:c r="L78" s="160" t="n">
        <x:v>46333</x:v>
      </x:c>
      <x:c r="M78" s="160" t="n">
        <x:v>46335</x:v>
      </x:c>
      <x:c r="N78" s="161" t="n">
        <x:v>46362</x:v>
      </x:c>
      <x:c r="O78" s="161" t="n">
        <x:v>46344</x:v>
      </x:c>
      <x:c r="P78" s="161" t="n">
        <x:v>46388</x:v>
      </x:c>
      <x:c r="Q78" s="125" t="n">
        <x:v>1</x:v>
      </x:c>
      <x:c r="R78" s="125" t="n">
        <x:v>62</x:v>
      </x:c>
      <x:c r="S78" s="125" t="str">
        <x:v>PASS</x:v>
      </x:c>
      <x:c r="T78" s="125" t="str">
        <x:f>'CRAWL_LOG'!C78</x:f>
        <x:v>Chưa chạy</x:v>
      </x:c>
      <x:c r="U78" s="86" t="str">
        <x:v>Có Tết Dương lịch 01/01</x:v>
      </x:c>
      <x:c r="V78" s="86"/>
    </x:row>
    <x:row r="79" ht="24" customHeight="1">
      <x:c r="A79" s="14" t="n">
        <x:v>46327</x:v>
      </x:c>
      <x:c r="B79" t="str">
        <x:v>Chủ Nhật</x:v>
      </x:c>
      <x:c r="C79" t="str">
        <x:v>Official</x:v>
      </x:c>
      <x:c r="D79" t="str">
        <x:v>00:30</x:v>
      </x:c>
      <x:c r="E79" s="160" t="n">
        <x:v>46338</x:v>
      </x:c>
      <x:c r="F79" s="160" t="n">
        <x:v>46340</x:v>
      </x:c>
      <x:c r="G79" s="160" t="n">
        <x:v>46343</x:v>
      </x:c>
      <x:c r="H79" s="160" t="n">
        <x:v>46347</x:v>
      </x:c>
      <x:c r="I79" s="160" t="n">
        <x:v>46351</x:v>
      </x:c>
      <x:c r="J79" s="160" t="n">
        <x:v>46327</x:v>
      </x:c>
      <x:c r="K79" s="160" t="n">
        <x:v>46330</x:v>
      </x:c>
      <x:c r="L79" s="160" t="n">
        <x:v>46333</x:v>
      </x:c>
      <x:c r="M79" s="160" t="n">
        <x:v>46335</x:v>
      </x:c>
      <x:c r="N79" s="161" t="n">
        <x:v>46362</x:v>
      </x:c>
      <x:c r="O79" s="161" t="n">
        <x:v>46344</x:v>
      </x:c>
      <x:c r="P79" s="161" t="n">
        <x:v>46388</x:v>
      </x:c>
      <x:c r="Q79" s="125" t="n">
        <x:v>0</x:v>
      </x:c>
      <x:c r="R79" s="125" t="n">
        <x:v>61</x:v>
      </x:c>
      <x:c r="S79" s="125" t="str">
        <x:v>PASS</x:v>
      </x:c>
      <x:c r="T79" s="125" t="str">
        <x:f>'CRAWL_LOG'!C79</x:f>
        <x:v>Chưa chạy</x:v>
      </x:c>
      <x:c r="U79" s="86" t="str">
        <x:v>Có Tết Dương lịch 01/01</x:v>
      </x:c>
      <x:c r="V79" s="86"/>
    </x:row>
    <x:row r="80" ht="24" customHeight="1">
      <x:c r="A80" s="14" t="n">
        <x:v>46328</x:v>
      </x:c>
      <x:c r="B80" t="str">
        <x:v>Thứ Hai</x:v>
      </x:c>
      <x:c r="C80" t="str">
        <x:v>Official</x:v>
      </x:c>
      <x:c r="D80" t="str">
        <x:v>00:30</x:v>
      </x:c>
      <x:c r="E80" s="160" t="n">
        <x:v>46338</x:v>
      </x:c>
      <x:c r="F80" s="160" t="n">
        <x:v>46340</x:v>
      </x:c>
      <x:c r="G80" s="160" t="n">
        <x:v>46343</x:v>
      </x:c>
      <x:c r="H80" s="160" t="n">
        <x:v>46347</x:v>
      </x:c>
      <x:c r="I80" s="160" t="n">
        <x:v>46351</x:v>
      </x:c>
      <x:c r="J80" s="160" t="n">
        <x:v>46355</x:v>
      </x:c>
      <x:c r="K80" s="160" t="n">
        <x:v>46330</x:v>
      </x:c>
      <x:c r="L80" s="160" t="n">
        <x:v>46333</x:v>
      </x:c>
      <x:c r="M80" s="160" t="n">
        <x:v>46335</x:v>
      </x:c>
      <x:c r="N80" s="161" t="n">
        <x:v>46362</x:v>
      </x:c>
      <x:c r="O80" s="161" t="n">
        <x:v>46344</x:v>
      </x:c>
      <x:c r="P80" s="161" t="n">
        <x:v>46388</x:v>
      </x:c>
      <x:c r="Q80" s="125" t="n">
        <x:v>2</x:v>
      </x:c>
      <x:c r="R80" s="125" t="n">
        <x:v>60</x:v>
      </x:c>
      <x:c r="S80" s="125" t="str">
        <x:v>PASS</x:v>
      </x:c>
      <x:c r="T80" s="125" t="str">
        <x:f>'CRAWL_LOG'!C80</x:f>
        <x:v>Chưa chạy</x:v>
      </x:c>
      <x:c r="U80" s="86" t="str">
        <x:v>Có Tết Dương lịch 01/01</x:v>
      </x:c>
      <x:c r="V80" s="86"/>
    </x:row>
    <x:row r="81" ht="24" customHeight="1">
      <x:c r="A81" s="14" t="n">
        <x:v>46329</x:v>
      </x:c>
      <x:c r="B81" t="str">
        <x:v>Thứ Ba</x:v>
      </x:c>
      <x:c r="C81" t="str">
        <x:v>Official</x:v>
      </x:c>
      <x:c r="D81" t="str">
        <x:v>00:30</x:v>
      </x:c>
      <x:c r="E81" s="160" t="n">
        <x:v>46338</x:v>
      </x:c>
      <x:c r="F81" s="160" t="n">
        <x:v>46340</x:v>
      </x:c>
      <x:c r="G81" s="160" t="n">
        <x:v>46343</x:v>
      </x:c>
      <x:c r="H81" s="160" t="n">
        <x:v>46347</x:v>
      </x:c>
      <x:c r="I81" s="160" t="n">
        <x:v>46351</x:v>
      </x:c>
      <x:c r="J81" s="160" t="n">
        <x:v>46355</x:v>
      </x:c>
      <x:c r="K81" s="160" t="n">
        <x:v>46330</x:v>
      </x:c>
      <x:c r="L81" s="160" t="n">
        <x:v>46333</x:v>
      </x:c>
      <x:c r="M81" s="160" t="n">
        <x:v>46335</x:v>
      </x:c>
      <x:c r="N81" s="161" t="n">
        <x:v>46362</x:v>
      </x:c>
      <x:c r="O81" s="161" t="n">
        <x:v>46344</x:v>
      </x:c>
      <x:c r="P81" s="161" t="n">
        <x:v>46388</x:v>
      </x:c>
      <x:c r="Q81" s="125" t="n">
        <x:v>1</x:v>
      </x:c>
      <x:c r="R81" s="125" t="n">
        <x:v>59</x:v>
      </x:c>
      <x:c r="S81" s="125" t="str">
        <x:v>PASS</x:v>
      </x:c>
      <x:c r="T81" s="125" t="str">
        <x:f>'CRAWL_LOG'!C81</x:f>
        <x:v>Chưa chạy</x:v>
      </x:c>
      <x:c r="U81" s="86" t="str">
        <x:v>Có Tết Dương lịch 01/01</x:v>
      </x:c>
      <x:c r="V81" s="86"/>
    </x:row>
    <x:row r="82" ht="24" customHeight="1">
      <x:c r="A82" s="14" t="n">
        <x:v>46330</x:v>
      </x:c>
      <x:c r="B82" t="str">
        <x:v>Thứ Tư</x:v>
      </x:c>
      <x:c r="C82" t="str">
        <x:v>Official</x:v>
      </x:c>
      <x:c r="D82" t="str">
        <x:v>00:30</x:v>
      </x:c>
      <x:c r="E82" s="160" t="n">
        <x:v>46338</x:v>
      </x:c>
      <x:c r="F82" s="160" t="n">
        <x:v>46340</x:v>
      </x:c>
      <x:c r="G82" s="160" t="n">
        <x:v>46343</x:v>
      </x:c>
      <x:c r="H82" s="160" t="n">
        <x:v>46347</x:v>
      </x:c>
      <x:c r="I82" s="160" t="n">
        <x:v>46351</x:v>
      </x:c>
      <x:c r="J82" s="160" t="n">
        <x:v>46355</x:v>
      </x:c>
      <x:c r="K82" s="160" t="n">
        <x:v>46330</x:v>
      </x:c>
      <x:c r="L82" s="160" t="n">
        <x:v>46333</x:v>
      </x:c>
      <x:c r="M82" s="160" t="n">
        <x:v>46335</x:v>
      </x:c>
      <x:c r="N82" s="161" t="n">
        <x:v>46362</x:v>
      </x:c>
      <x:c r="O82" s="161" t="n">
        <x:v>46344</x:v>
      </x:c>
      <x:c r="P82" s="161" t="n">
        <x:v>46388</x:v>
      </x:c>
      <x:c r="Q82" s="125" t="n">
        <x:v>0</x:v>
      </x:c>
      <x:c r="R82" s="125" t="n">
        <x:v>58</x:v>
      </x:c>
      <x:c r="S82" s="125" t="str">
        <x:v>PASS</x:v>
      </x:c>
      <x:c r="T82" s="125" t="str">
        <x:f>'CRAWL_LOG'!C82</x:f>
        <x:v>Chưa chạy</x:v>
      </x:c>
      <x:c r="U82" s="86" t="str">
        <x:v>Có Tết Dương lịch 01/01</x:v>
      </x:c>
      <x:c r="V82" s="86"/>
    </x:row>
    <x:row r="83" ht="24" customHeight="1">
      <x:c r="A83" s="14" t="n">
        <x:v>46331</x:v>
      </x:c>
      <x:c r="B83" t="str">
        <x:v>Thứ Năm</x:v>
      </x:c>
      <x:c r="C83" t="str">
        <x:v>Official</x:v>
      </x:c>
      <x:c r="D83" t="str">
        <x:v>00:30</x:v>
      </x:c>
      <x:c r="E83" s="160" t="n">
        <x:v>46338</x:v>
      </x:c>
      <x:c r="F83" s="160" t="n">
        <x:v>46340</x:v>
      </x:c>
      <x:c r="G83" s="160" t="n">
        <x:v>46343</x:v>
      </x:c>
      <x:c r="H83" s="160" t="n">
        <x:v>46347</x:v>
      </x:c>
      <x:c r="I83" s="160" t="n">
        <x:v>46351</x:v>
      </x:c>
      <x:c r="J83" s="160" t="n">
        <x:v>46355</x:v>
      </x:c>
      <x:c r="K83" s="160" t="n">
        <x:v>46358</x:v>
      </x:c>
      <x:c r="L83" s="160" t="n">
        <x:v>46333</x:v>
      </x:c>
      <x:c r="M83" s="160" t="n">
        <x:v>46335</x:v>
      </x:c>
      <x:c r="N83" s="161" t="n">
        <x:v>46362</x:v>
      </x:c>
      <x:c r="O83" s="161" t="n">
        <x:v>46344</x:v>
      </x:c>
      <x:c r="P83" s="161" t="n">
        <x:v>46388</x:v>
      </x:c>
      <x:c r="Q83" s="125" t="n">
        <x:v>2</x:v>
      </x:c>
      <x:c r="R83" s="125" t="n">
        <x:v>57</x:v>
      </x:c>
      <x:c r="S83" s="125" t="str">
        <x:v>PASS</x:v>
      </x:c>
      <x:c r="T83" s="125" t="str">
        <x:f>'CRAWL_LOG'!C83</x:f>
        <x:v>Chưa chạy</x:v>
      </x:c>
      <x:c r="U83" s="86" t="str">
        <x:v>Có Tết Dương lịch 01/01</x:v>
      </x:c>
      <x:c r="V83" s="86"/>
    </x:row>
    <x:row r="84" ht="24" customHeight="1">
      <x:c r="A84" s="14" t="n">
        <x:v>46332</x:v>
      </x:c>
      <x:c r="B84" t="str">
        <x:v>Thứ Sáu</x:v>
      </x:c>
      <x:c r="C84" t="str">
        <x:v>Official</x:v>
      </x:c>
      <x:c r="D84" t="str">
        <x:v>00:30</x:v>
      </x:c>
      <x:c r="E84" s="160" t="n">
        <x:v>46338</x:v>
      </x:c>
      <x:c r="F84" s="160" t="n">
        <x:v>46340</x:v>
      </x:c>
      <x:c r="G84" s="160" t="n">
        <x:v>46343</x:v>
      </x:c>
      <x:c r="H84" s="160" t="n">
        <x:v>46347</x:v>
      </x:c>
      <x:c r="I84" s="160" t="n">
        <x:v>46351</x:v>
      </x:c>
      <x:c r="J84" s="160" t="n">
        <x:v>46355</x:v>
      </x:c>
      <x:c r="K84" s="160" t="n">
        <x:v>46358</x:v>
      </x:c>
      <x:c r="L84" s="160" t="n">
        <x:v>46333</x:v>
      </x:c>
      <x:c r="M84" s="160" t="n">
        <x:v>46335</x:v>
      </x:c>
      <x:c r="N84" s="161" t="n">
        <x:v>46362</x:v>
      </x:c>
      <x:c r="O84" s="161" t="n">
        <x:v>46344</x:v>
      </x:c>
      <x:c r="P84" s="161" t="n">
        <x:v>46388</x:v>
      </x:c>
      <x:c r="Q84" s="125" t="n">
        <x:v>1</x:v>
      </x:c>
      <x:c r="R84" s="125" t="n">
        <x:v>56</x:v>
      </x:c>
      <x:c r="S84" s="125" t="str">
        <x:v>PASS</x:v>
      </x:c>
      <x:c r="T84" s="125" t="str">
        <x:f>'CRAWL_LOG'!C84</x:f>
        <x:v>Chưa chạy</x:v>
      </x:c>
      <x:c r="U84" s="86" t="str">
        <x:v>Có Tết Dương lịch 01/01</x:v>
      </x:c>
      <x:c r="V84" s="86"/>
    </x:row>
    <x:row r="85" ht="24" customHeight="1">
      <x:c r="A85" s="14" t="n">
        <x:v>46333</x:v>
      </x:c>
      <x:c r="B85" t="str">
        <x:v>Thứ Bảy</x:v>
      </x:c>
      <x:c r="C85" t="str">
        <x:v>Official</x:v>
      </x:c>
      <x:c r="D85" t="str">
        <x:v>00:30</x:v>
      </x:c>
      <x:c r="E85" s="160" t="n">
        <x:v>46338</x:v>
      </x:c>
      <x:c r="F85" s="160" t="n">
        <x:v>46340</x:v>
      </x:c>
      <x:c r="G85" s="160" t="n">
        <x:v>46343</x:v>
      </x:c>
      <x:c r="H85" s="160" t="n">
        <x:v>46347</x:v>
      </x:c>
      <x:c r="I85" s="160" t="n">
        <x:v>46351</x:v>
      </x:c>
      <x:c r="J85" s="160" t="n">
        <x:v>46355</x:v>
      </x:c>
      <x:c r="K85" s="160" t="n">
        <x:v>46358</x:v>
      </x:c>
      <x:c r="L85" s="160" t="n">
        <x:v>46333</x:v>
      </x:c>
      <x:c r="M85" s="160" t="n">
        <x:v>46335</x:v>
      </x:c>
      <x:c r="N85" s="161" t="n">
        <x:v>46362</x:v>
      </x:c>
      <x:c r="O85" s="161" t="n">
        <x:v>46344</x:v>
      </x:c>
      <x:c r="P85" s="161" t="n">
        <x:v>46388</x:v>
      </x:c>
      <x:c r="Q85" s="125" t="n">
        <x:v>0</x:v>
      </x:c>
      <x:c r="R85" s="125" t="n">
        <x:v>55</x:v>
      </x:c>
      <x:c r="S85" s="125" t="str">
        <x:v>PASS</x:v>
      </x:c>
      <x:c r="T85" s="125" t="str">
        <x:f>'CRAWL_LOG'!C85</x:f>
        <x:v>Chưa chạy</x:v>
      </x:c>
      <x:c r="U85" s="86" t="str">
        <x:v>Có Tết Dương lịch 01/01</x:v>
      </x:c>
      <x:c r="V85" s="86"/>
    </x:row>
    <x:row r="86" ht="24" customHeight="1">
      <x:c r="A86" s="14" t="n">
        <x:v>46334</x:v>
      </x:c>
      <x:c r="B86" t="str">
        <x:v>Chủ Nhật</x:v>
      </x:c>
      <x:c r="C86" t="str">
        <x:v>Official</x:v>
      </x:c>
      <x:c r="D86" t="str">
        <x:v>00:30</x:v>
      </x:c>
      <x:c r="E86" s="160" t="n">
        <x:v>46338</x:v>
      </x:c>
      <x:c r="F86" s="160" t="n">
        <x:v>46340</x:v>
      </x:c>
      <x:c r="G86" s="160" t="n">
        <x:v>46343</x:v>
      </x:c>
      <x:c r="H86" s="160" t="n">
        <x:v>46347</x:v>
      </x:c>
      <x:c r="I86" s="160" t="n">
        <x:v>46351</x:v>
      </x:c>
      <x:c r="J86" s="160" t="n">
        <x:v>46355</x:v>
      </x:c>
      <x:c r="K86" s="160" t="n">
        <x:v>46358</x:v>
      </x:c>
      <x:c r="L86" s="160" t="n">
        <x:v>46361</x:v>
      </x:c>
      <x:c r="M86" s="160" t="n">
        <x:v>46335</x:v>
      </x:c>
      <x:c r="N86" s="161" t="n">
        <x:v>46362</x:v>
      </x:c>
      <x:c r="O86" s="161" t="n">
        <x:v>46344</x:v>
      </x:c>
      <x:c r="P86" s="161" t="n">
        <x:v>46388</x:v>
      </x:c>
      <x:c r="Q86" s="125" t="n">
        <x:v>1</x:v>
      </x:c>
      <x:c r="R86" s="125" t="n">
        <x:v>54</x:v>
      </x:c>
      <x:c r="S86" s="125" t="str">
        <x:v>PASS</x:v>
      </x:c>
      <x:c r="T86" s="125" t="str">
        <x:f>'CRAWL_LOG'!C86</x:f>
        <x:v>Chưa chạy</x:v>
      </x:c>
      <x:c r="U86" s="86" t="str">
        <x:v>Có Tết Dương lịch 01/01</x:v>
      </x:c>
      <x:c r="V86" s="86"/>
    </x:row>
    <x:row r="87" ht="24" customHeight="1">
      <x:c r="A87" s="14" t="n">
        <x:v>46335</x:v>
      </x:c>
      <x:c r="B87" t="str">
        <x:v>Thứ Hai</x:v>
      </x:c>
      <x:c r="C87" t="str">
        <x:v>Official</x:v>
      </x:c>
      <x:c r="D87" t="str">
        <x:v>00:30</x:v>
      </x:c>
      <x:c r="E87" s="160" t="n">
        <x:v>46338</x:v>
      </x:c>
      <x:c r="F87" s="160" t="n">
        <x:v>46340</x:v>
      </x:c>
      <x:c r="G87" s="160" t="n">
        <x:v>46343</x:v>
      </x:c>
      <x:c r="H87" s="160" t="n">
        <x:v>46347</x:v>
      </x:c>
      <x:c r="I87" s="160" t="n">
        <x:v>46351</x:v>
      </x:c>
      <x:c r="J87" s="160" t="n">
        <x:v>46355</x:v>
      </x:c>
      <x:c r="K87" s="160" t="n">
        <x:v>46358</x:v>
      </x:c>
      <x:c r="L87" s="160" t="n">
        <x:v>46361</x:v>
      </x:c>
      <x:c r="M87" s="160" t="n">
        <x:v>46335</x:v>
      </x:c>
      <x:c r="N87" s="161" t="n">
        <x:v>46362</x:v>
      </x:c>
      <x:c r="O87" s="161" t="n">
        <x:v>46344</x:v>
      </x:c>
      <x:c r="P87" s="161" t="n">
        <x:v>46388</x:v>
      </x:c>
      <x:c r="Q87" s="125" t="n">
        <x:v>0</x:v>
      </x:c>
      <x:c r="R87" s="125" t="n">
        <x:v>53</x:v>
      </x:c>
      <x:c r="S87" s="125" t="str">
        <x:v>PASS</x:v>
      </x:c>
      <x:c r="T87" s="125" t="str">
        <x:f>'CRAWL_LOG'!C87</x:f>
        <x:v>Chưa chạy</x:v>
      </x:c>
      <x:c r="U87" s="86" t="str">
        <x:v>Có Tết Dương lịch 01/01</x:v>
      </x:c>
      <x:c r="V87" s="86"/>
    </x:row>
    <x:row r="88" ht="24" customHeight="1">
      <x:c r="A88" s="14" t="n">
        <x:v>46336</x:v>
      </x:c>
      <x:c r="B88" t="str">
        <x:v>Thứ Ba</x:v>
      </x:c>
      <x:c r="C88" t="str">
        <x:v>Official</x:v>
      </x:c>
      <x:c r="D88" t="str">
        <x:v>00:30</x:v>
      </x:c>
      <x:c r="E88" s="160" t="n">
        <x:v>46338</x:v>
      </x:c>
      <x:c r="F88" s="160" t="n">
        <x:v>46340</x:v>
      </x:c>
      <x:c r="G88" s="160" t="n">
        <x:v>46343</x:v>
      </x:c>
      <x:c r="H88" s="160" t="n">
        <x:v>46347</x:v>
      </x:c>
      <x:c r="I88" s="160" t="n">
        <x:v>46351</x:v>
      </x:c>
      <x:c r="J88" s="160" t="n">
        <x:v>46355</x:v>
      </x:c>
      <x:c r="K88" s="160" t="n">
        <x:v>46358</x:v>
      </x:c>
      <x:c r="L88" s="160" t="n">
        <x:v>46361</x:v>
      </x:c>
      <x:c r="M88" s="160" t="n">
        <x:v>46363</x:v>
      </x:c>
      <x:c r="N88" s="161" t="n">
        <x:v>46362</x:v>
      </x:c>
      <x:c r="O88" s="161" t="n">
        <x:v>46344</x:v>
      </x:c>
      <x:c r="P88" s="161" t="n">
        <x:v>46388</x:v>
      </x:c>
      <x:c r="Q88" s="125" t="n">
        <x:v>2</x:v>
      </x:c>
      <x:c r="R88" s="125" t="n">
        <x:v>52</x:v>
      </x:c>
      <x:c r="S88" s="125" t="str">
        <x:v>PASS</x:v>
      </x:c>
      <x:c r="T88" s="125" t="str">
        <x:f>'CRAWL_LOG'!C88</x:f>
        <x:v>Chưa chạy</x:v>
      </x:c>
      <x:c r="U88" s="86" t="str">
        <x:v>Có Tết Dương lịch 01/01</x:v>
      </x:c>
      <x:c r="V88" s="86"/>
    </x:row>
    <x:row r="89" ht="24" customHeight="1">
      <x:c r="A89" s="14" t="n">
        <x:v>46337</x:v>
      </x:c>
      <x:c r="B89" t="str">
        <x:v>Thứ Tư</x:v>
      </x:c>
      <x:c r="C89" t="str">
        <x:v>Official</x:v>
      </x:c>
      <x:c r="D89" t="str">
        <x:v>00:30</x:v>
      </x:c>
      <x:c r="E89" s="160" t="n">
        <x:v>46338</x:v>
      </x:c>
      <x:c r="F89" s="160" t="n">
        <x:v>46340</x:v>
      </x:c>
      <x:c r="G89" s="160" t="n">
        <x:v>46343</x:v>
      </x:c>
      <x:c r="H89" s="160" t="n">
        <x:v>46347</x:v>
      </x:c>
      <x:c r="I89" s="160" t="n">
        <x:v>46351</x:v>
      </x:c>
      <x:c r="J89" s="160" t="n">
        <x:v>46355</x:v>
      </x:c>
      <x:c r="K89" s="160" t="n">
        <x:v>46358</x:v>
      </x:c>
      <x:c r="L89" s="160" t="n">
        <x:v>46361</x:v>
      </x:c>
      <x:c r="M89" s="160" t="n">
        <x:v>46363</x:v>
      </x:c>
      <x:c r="N89" s="161" t="n">
        <x:v>46362</x:v>
      </x:c>
      <x:c r="O89" s="161" t="n">
        <x:v>46344</x:v>
      </x:c>
      <x:c r="P89" s="161" t="n">
        <x:v>46388</x:v>
      </x:c>
      <x:c r="Q89" s="125" t="n">
        <x:v>1</x:v>
      </x:c>
      <x:c r="R89" s="125" t="n">
        <x:v>51</x:v>
      </x:c>
      <x:c r="S89" s="125" t="str">
        <x:v>PASS</x:v>
      </x:c>
      <x:c r="T89" s="125" t="str">
        <x:f>'CRAWL_LOG'!C89</x:f>
        <x:v>Chưa chạy</x:v>
      </x:c>
      <x:c r="U89" s="86" t="str">
        <x:v>Có Tết Dương lịch 01/01</x:v>
      </x:c>
      <x:c r="V89" s="86"/>
    </x:row>
    <x:row r="90" ht="24" customHeight="1">
      <x:c r="A90" s="14" t="n">
        <x:v>46338</x:v>
      </x:c>
      <x:c r="B90" t="str">
        <x:v>Thứ Năm</x:v>
      </x:c>
      <x:c r="C90" t="str">
        <x:v>Official</x:v>
      </x:c>
      <x:c r="D90" t="str">
        <x:v>00:30</x:v>
      </x:c>
      <x:c r="E90" s="160" t="n">
        <x:v>46338</x:v>
      </x:c>
      <x:c r="F90" s="160" t="n">
        <x:v>46340</x:v>
      </x:c>
      <x:c r="G90" s="160" t="n">
        <x:v>46343</x:v>
      </x:c>
      <x:c r="H90" s="160" t="n">
        <x:v>46347</x:v>
      </x:c>
      <x:c r="I90" s="160" t="n">
        <x:v>46351</x:v>
      </x:c>
      <x:c r="J90" s="160" t="n">
        <x:v>46355</x:v>
      </x:c>
      <x:c r="K90" s="160" t="n">
        <x:v>46358</x:v>
      </x:c>
      <x:c r="L90" s="160" t="n">
        <x:v>46361</x:v>
      </x:c>
      <x:c r="M90" s="160" t="n">
        <x:v>46363</x:v>
      </x:c>
      <x:c r="N90" s="161" t="n">
        <x:v>46362</x:v>
      </x:c>
      <x:c r="O90" s="161" t="n">
        <x:v>46344</x:v>
      </x:c>
      <x:c r="P90" s="161" t="n">
        <x:v>46388</x:v>
      </x:c>
      <x:c r="Q90" s="125" t="n">
        <x:v>0</x:v>
      </x:c>
      <x:c r="R90" s="125" t="n">
        <x:v>50</x:v>
      </x:c>
      <x:c r="S90" s="125" t="str">
        <x:v>PASS</x:v>
      </x:c>
      <x:c r="T90" s="125" t="str">
        <x:f>'CRAWL_LOG'!C90</x:f>
        <x:v>Chưa chạy</x:v>
      </x:c>
      <x:c r="U90" s="86" t="str">
        <x:v>Có Tết Dương lịch 01/01</x:v>
      </x:c>
      <x:c r="V90" s="86"/>
    </x:row>
    <x:row r="91" ht="24" customHeight="1">
      <x:c r="A91" s="14" t="n">
        <x:v>46339</x:v>
      </x:c>
      <x:c r="B91" t="str">
        <x:v>Thứ Sáu</x:v>
      </x:c>
      <x:c r="C91" t="str">
        <x:v>Official</x:v>
      </x:c>
      <x:c r="D91" t="str">
        <x:v>00:30</x:v>
      </x:c>
      <x:c r="E91" s="160" t="n">
        <x:v>46366</x:v>
      </x:c>
      <x:c r="F91" s="160" t="n">
        <x:v>46340</x:v>
      </x:c>
      <x:c r="G91" s="160" t="n">
        <x:v>46343</x:v>
      </x:c>
      <x:c r="H91" s="160" t="n">
        <x:v>46347</x:v>
      </x:c>
      <x:c r="I91" s="160" t="n">
        <x:v>46351</x:v>
      </x:c>
      <x:c r="J91" s="160" t="n">
        <x:v>46355</x:v>
      </x:c>
      <x:c r="K91" s="160" t="n">
        <x:v>46358</x:v>
      </x:c>
      <x:c r="L91" s="160" t="n">
        <x:v>46361</x:v>
      </x:c>
      <x:c r="M91" s="160" t="n">
        <x:v>46363</x:v>
      </x:c>
      <x:c r="N91" s="161" t="n">
        <x:v>46362</x:v>
      </x:c>
      <x:c r="O91" s="161" t="n">
        <x:v>46344</x:v>
      </x:c>
      <x:c r="P91" s="161" t="n">
        <x:v>46388</x:v>
      </x:c>
      <x:c r="Q91" s="125" t="n">
        <x:v>1</x:v>
      </x:c>
      <x:c r="R91" s="125" t="n">
        <x:v>49</x:v>
      </x:c>
      <x:c r="S91" s="125" t="str">
        <x:v>PASS</x:v>
      </x:c>
      <x:c r="T91" s="125" t="str">
        <x:f>'CRAWL_LOG'!C91</x:f>
        <x:v>Chưa chạy</x:v>
      </x:c>
      <x:c r="U91" s="86" t="str">
        <x:v>Có Tết Dương lịch 01/01</x:v>
      </x:c>
      <x:c r="V91" s="86"/>
    </x:row>
    <x:row r="92" ht="24" customHeight="1">
      <x:c r="A92" s="14" t="n">
        <x:v>46340</x:v>
      </x:c>
      <x:c r="B92" t="str">
        <x:v>Thứ Bảy</x:v>
      </x:c>
      <x:c r="C92" t="str">
        <x:v>Official</x:v>
      </x:c>
      <x:c r="D92" t="str">
        <x:v>00:30</x:v>
      </x:c>
      <x:c r="E92" s="160" t="n">
        <x:v>46366</x:v>
      </x:c>
      <x:c r="F92" s="160" t="n">
        <x:v>46340</x:v>
      </x:c>
      <x:c r="G92" s="160" t="n">
        <x:v>46343</x:v>
      </x:c>
      <x:c r="H92" s="160" t="n">
        <x:v>46347</x:v>
      </x:c>
      <x:c r="I92" s="160" t="n">
        <x:v>46351</x:v>
      </x:c>
      <x:c r="J92" s="160" t="n">
        <x:v>46355</x:v>
      </x:c>
      <x:c r="K92" s="160" t="n">
        <x:v>46358</x:v>
      </x:c>
      <x:c r="L92" s="160" t="n">
        <x:v>46361</x:v>
      </x:c>
      <x:c r="M92" s="160" t="n">
        <x:v>46363</x:v>
      </x:c>
      <x:c r="N92" s="161" t="n">
        <x:v>46362</x:v>
      </x:c>
      <x:c r="O92" s="161" t="n">
        <x:v>46344</x:v>
      </x:c>
      <x:c r="P92" s="161" t="n">
        <x:v>46388</x:v>
      </x:c>
      <x:c r="Q92" s="125" t="n">
        <x:v>0</x:v>
      </x:c>
      <x:c r="R92" s="125" t="n">
        <x:v>48</x:v>
      </x:c>
      <x:c r="S92" s="125" t="str">
        <x:v>PASS</x:v>
      </x:c>
      <x:c r="T92" s="125" t="str">
        <x:f>'CRAWL_LOG'!C92</x:f>
        <x:v>Chưa chạy</x:v>
      </x:c>
      <x:c r="U92" s="86" t="str">
        <x:v>Có Tết Dương lịch 01/01</x:v>
      </x:c>
      <x:c r="V92" s="86"/>
    </x:row>
    <x:row r="93" ht="24" customHeight="1">
      <x:c r="A93" s="14" t="n">
        <x:v>46341</x:v>
      </x:c>
      <x:c r="B93" t="str">
        <x:v>Chủ Nhật</x:v>
      </x:c>
      <x:c r="C93" t="str">
        <x:v>Official</x:v>
      </x:c>
      <x:c r="D93" t="str">
        <x:v>00:30</x:v>
      </x:c>
      <x:c r="E93" s="160" t="n">
        <x:v>46366</x:v>
      </x:c>
      <x:c r="F93" s="160" t="n">
        <x:v>46368</x:v>
      </x:c>
      <x:c r="G93" s="160" t="n">
        <x:v>46343</x:v>
      </x:c>
      <x:c r="H93" s="160" t="n">
        <x:v>46347</x:v>
      </x:c>
      <x:c r="I93" s="160" t="n">
        <x:v>46351</x:v>
      </x:c>
      <x:c r="J93" s="160" t="n">
        <x:v>46355</x:v>
      </x:c>
      <x:c r="K93" s="160" t="n">
        <x:v>46358</x:v>
      </x:c>
      <x:c r="L93" s="160" t="n">
        <x:v>46361</x:v>
      </x:c>
      <x:c r="M93" s="160" t="n">
        <x:v>46363</x:v>
      </x:c>
      <x:c r="N93" s="161" t="n">
        <x:v>46362</x:v>
      </x:c>
      <x:c r="O93" s="161" t="n">
        <x:v>46344</x:v>
      </x:c>
      <x:c r="P93" s="161" t="n">
        <x:v>46388</x:v>
      </x:c>
      <x:c r="Q93" s="125" t="n">
        <x:v>2</x:v>
      </x:c>
      <x:c r="R93" s="125" t="n">
        <x:v>47</x:v>
      </x:c>
      <x:c r="S93" s="125" t="str">
        <x:v>PASS</x:v>
      </x:c>
      <x:c r="T93" s="125" t="str">
        <x:f>'CRAWL_LOG'!C93</x:f>
        <x:v>Chưa chạy</x:v>
      </x:c>
      <x:c r="U93" s="86" t="str">
        <x:v>Có Tết Dương lịch 01/01</x:v>
      </x:c>
      <x:c r="V93" s="86"/>
    </x:row>
    <x:row r="94" ht="24" customHeight="1">
      <x:c r="A94" s="14" t="n">
        <x:v>46342</x:v>
      </x:c>
      <x:c r="B94" t="str">
        <x:v>Thứ Hai</x:v>
      </x:c>
      <x:c r="C94" t="str">
        <x:v>Official</x:v>
      </x:c>
      <x:c r="D94" t="str">
        <x:v>00:30</x:v>
      </x:c>
      <x:c r="E94" s="160" t="n">
        <x:v>46366</x:v>
      </x:c>
      <x:c r="F94" s="160" t="n">
        <x:v>46368</x:v>
      </x:c>
      <x:c r="G94" s="160" t="n">
        <x:v>46343</x:v>
      </x:c>
      <x:c r="H94" s="160" t="n">
        <x:v>46347</x:v>
      </x:c>
      <x:c r="I94" s="160" t="n">
        <x:v>46351</x:v>
      </x:c>
      <x:c r="J94" s="160" t="n">
        <x:v>46355</x:v>
      </x:c>
      <x:c r="K94" s="160" t="n">
        <x:v>46358</x:v>
      </x:c>
      <x:c r="L94" s="160" t="n">
        <x:v>46361</x:v>
      </x:c>
      <x:c r="M94" s="160" t="n">
        <x:v>46363</x:v>
      </x:c>
      <x:c r="N94" s="161" t="n">
        <x:v>46362</x:v>
      </x:c>
      <x:c r="O94" s="161" t="n">
        <x:v>46344</x:v>
      </x:c>
      <x:c r="P94" s="161" t="n">
        <x:v>46388</x:v>
      </x:c>
      <x:c r="Q94" s="125" t="n">
        <x:v>1</x:v>
      </x:c>
      <x:c r="R94" s="125" t="n">
        <x:v>46</x:v>
      </x:c>
      <x:c r="S94" s="125" t="str">
        <x:v>PASS</x:v>
      </x:c>
      <x:c r="T94" s="125" t="str">
        <x:f>'CRAWL_LOG'!C94</x:f>
        <x:v>Chưa chạy</x:v>
      </x:c>
      <x:c r="U94" s="86" t="str">
        <x:v>Có Tết Dương lịch 01/01</x:v>
      </x:c>
      <x:c r="V94" s="86"/>
    </x:row>
    <x:row r="95" ht="24" customHeight="1">
      <x:c r="A95" s="14" t="n">
        <x:v>46343</x:v>
      </x:c>
      <x:c r="B95" t="str">
        <x:v>Thứ Ba</x:v>
      </x:c>
      <x:c r="C95" t="str">
        <x:v>Official</x:v>
      </x:c>
      <x:c r="D95" t="str">
        <x:v>00:30</x:v>
      </x:c>
      <x:c r="E95" s="160" t="n">
        <x:v>46366</x:v>
      </x:c>
      <x:c r="F95" s="160" t="n">
        <x:v>46368</x:v>
      </x:c>
      <x:c r="G95" s="160" t="n">
        <x:v>46343</x:v>
      </x:c>
      <x:c r="H95" s="160" t="n">
        <x:v>46347</x:v>
      </x:c>
      <x:c r="I95" s="160" t="n">
        <x:v>46351</x:v>
      </x:c>
      <x:c r="J95" s="160" t="n">
        <x:v>46355</x:v>
      </x:c>
      <x:c r="K95" s="160" t="n">
        <x:v>46358</x:v>
      </x:c>
      <x:c r="L95" s="160" t="n">
        <x:v>46361</x:v>
      </x:c>
      <x:c r="M95" s="160" t="n">
        <x:v>46363</x:v>
      </x:c>
      <x:c r="N95" s="161" t="n">
        <x:v>46362</x:v>
      </x:c>
      <x:c r="O95" s="161" t="n">
        <x:v>46344</x:v>
      </x:c>
      <x:c r="P95" s="161" t="n">
        <x:v>46388</x:v>
      </x:c>
      <x:c r="Q95" s="125" t="n">
        <x:v>0</x:v>
      </x:c>
      <x:c r="R95" s="125" t="n">
        <x:v>45</x:v>
      </x:c>
      <x:c r="S95" s="125" t="str">
        <x:v>PASS</x:v>
      </x:c>
      <x:c r="T95" s="125" t="str">
        <x:f>'CRAWL_LOG'!C95</x:f>
        <x:v>Chưa chạy</x:v>
      </x:c>
      <x:c r="U95" s="86" t="str">
        <x:v>Có Tết Dương lịch 01/01</x:v>
      </x:c>
      <x:c r="V95" s="86"/>
    </x:row>
    <x:row r="96" ht="24" customHeight="1">
      <x:c r="A96" s="14" t="n">
        <x:v>46344</x:v>
      </x:c>
      <x:c r="B96" t="str">
        <x:v>Thứ Tư</x:v>
      </x:c>
      <x:c r="C96" t="str">
        <x:v>Official</x:v>
      </x:c>
      <x:c r="D96" t="str">
        <x:v>00:30</x:v>
      </x:c>
      <x:c r="E96" s="160" t="n">
        <x:v>46366</x:v>
      </x:c>
      <x:c r="F96" s="160" t="n">
        <x:v>46368</x:v>
      </x:c>
      <x:c r="G96" s="160" t="n">
        <x:v>46371</x:v>
      </x:c>
      <x:c r="H96" s="160" t="n">
        <x:v>46347</x:v>
      </x:c>
      <x:c r="I96" s="160" t="n">
        <x:v>46351</x:v>
      </x:c>
      <x:c r="J96" s="160" t="n">
        <x:v>46355</x:v>
      </x:c>
      <x:c r="K96" s="160" t="n">
        <x:v>46358</x:v>
      </x:c>
      <x:c r="L96" s="160" t="n">
        <x:v>46361</x:v>
      </x:c>
      <x:c r="M96" s="160" t="n">
        <x:v>46363</x:v>
      </x:c>
      <x:c r="N96" s="161" t="n">
        <x:v>46362</x:v>
      </x:c>
      <x:c r="O96" s="161" t="n">
        <x:v>46344</x:v>
      </x:c>
      <x:c r="P96" s="161" t="n">
        <x:v>46388</x:v>
      </x:c>
      <x:c r="Q96" s="125" t="n">
        <x:v>0</x:v>
      </x:c>
      <x:c r="R96" s="125" t="n">
        <x:v>44</x:v>
      </x:c>
      <x:c r="S96" s="125" t="str">
        <x:v>PASS</x:v>
      </x:c>
      <x:c r="T96" s="125" t="str">
        <x:f>'CRAWL_LOG'!C96</x:f>
        <x:v>Chưa chạy</x:v>
      </x:c>
      <x:c r="U96" s="86" t="str">
        <x:v>Có Tết Dương lịch 01/01</x:v>
      </x:c>
      <x:c r="V96" s="86"/>
    </x:row>
    <x:row r="97" ht="24" customHeight="1">
      <x:c r="A97" s="14" t="n">
        <x:v>46345</x:v>
      </x:c>
      <x:c r="B97" t="str">
        <x:v>Thứ Năm</x:v>
      </x:c>
      <x:c r="C97" t="str">
        <x:v>Official</x:v>
      </x:c>
      <x:c r="D97" t="str">
        <x:v>00:30</x:v>
      </x:c>
      <x:c r="E97" s="160" t="n">
        <x:v>46366</x:v>
      </x:c>
      <x:c r="F97" s="160" t="n">
        <x:v>46368</x:v>
      </x:c>
      <x:c r="G97" s="160" t="n">
        <x:v>46371</x:v>
      </x:c>
      <x:c r="H97" s="160" t="n">
        <x:v>46347</x:v>
      </x:c>
      <x:c r="I97" s="160" t="n">
        <x:v>46351</x:v>
      </x:c>
      <x:c r="J97" s="160" t="n">
        <x:v>46355</x:v>
      </x:c>
      <x:c r="K97" s="160" t="n">
        <x:v>46358</x:v>
      </x:c>
      <x:c r="L97" s="160" t="n">
        <x:v>46361</x:v>
      </x:c>
      <x:c r="M97" s="160" t="n">
        <x:v>46363</x:v>
      </x:c>
      <x:c r="N97" s="161" t="n">
        <x:v>46362</x:v>
      </x:c>
      <x:c r="O97" s="161" t="n">
        <x:v>46428</x:v>
      </x:c>
      <x:c r="P97" s="161" t="n">
        <x:v>46388</x:v>
      </x:c>
      <x:c r="Q97" s="125" t="n">
        <x:v>2</x:v>
      </x:c>
      <x:c r="R97" s="125" t="n">
        <x:v>83</x:v>
      </x:c>
      <x:c r="S97" s="125" t="str">
        <x:v>PASS</x:v>
      </x:c>
      <x:c r="T97" s="125" t="str">
        <x:f>'CRAWL_LOG'!C97</x:f>
        <x:v>Chưa chạy</x:v>
      </x:c>
      <x:c r="U97" s="86" t="str">
        <x:v>Có Tết Dương lịch 01/01</x:v>
      </x:c>
      <x:c r="V97" s="86"/>
    </x:row>
    <x:row r="98" ht="24" customHeight="1">
      <x:c r="A98" s="14" t="n">
        <x:v>46346</x:v>
      </x:c>
      <x:c r="B98" t="str">
        <x:v>Thứ Sáu</x:v>
      </x:c>
      <x:c r="C98" t="str">
        <x:v>Official</x:v>
      </x:c>
      <x:c r="D98" t="str">
        <x:v>00:30</x:v>
      </x:c>
      <x:c r="E98" s="160" t="n">
        <x:v>46366</x:v>
      </x:c>
      <x:c r="F98" s="160" t="n">
        <x:v>46368</x:v>
      </x:c>
      <x:c r="G98" s="160" t="n">
        <x:v>46371</x:v>
      </x:c>
      <x:c r="H98" s="160" t="n">
        <x:v>46347</x:v>
      </x:c>
      <x:c r="I98" s="160" t="n">
        <x:v>46351</x:v>
      </x:c>
      <x:c r="J98" s="160" t="n">
        <x:v>46355</x:v>
      </x:c>
      <x:c r="K98" s="160" t="n">
        <x:v>46358</x:v>
      </x:c>
      <x:c r="L98" s="160" t="n">
        <x:v>46361</x:v>
      </x:c>
      <x:c r="M98" s="160" t="n">
        <x:v>46363</x:v>
      </x:c>
      <x:c r="N98" s="161" t="n">
        <x:v>46362</x:v>
      </x:c>
      <x:c r="O98" s="161" t="n">
        <x:v>46428</x:v>
      </x:c>
      <x:c r="P98" s="161" t="n">
        <x:v>46388</x:v>
      </x:c>
      <x:c r="Q98" s="125" t="n">
        <x:v>1</x:v>
      </x:c>
      <x:c r="R98" s="125" t="n">
        <x:v>82</x:v>
      </x:c>
      <x:c r="S98" s="125" t="str">
        <x:v>PASS</x:v>
      </x:c>
      <x:c r="T98" s="125" t="str">
        <x:f>'CRAWL_LOG'!C98</x:f>
        <x:v>Chưa chạy</x:v>
      </x:c>
      <x:c r="U98" s="86" t="str">
        <x:v>Có Tết Dương lịch 01/01</x:v>
      </x:c>
      <x:c r="V98" s="86"/>
    </x:row>
    <x:row r="99" ht="24" customHeight="1">
      <x:c r="A99" s="14" t="n">
        <x:v>46347</x:v>
      </x:c>
      <x:c r="B99" t="str">
        <x:v>Thứ Bảy</x:v>
      </x:c>
      <x:c r="C99" t="str">
        <x:v>Official</x:v>
      </x:c>
      <x:c r="D99" t="str">
        <x:v>00:30</x:v>
      </x:c>
      <x:c r="E99" s="160" t="n">
        <x:v>46366</x:v>
      </x:c>
      <x:c r="F99" s="160" t="n">
        <x:v>46368</x:v>
      </x:c>
      <x:c r="G99" s="160" t="n">
        <x:v>46371</x:v>
      </x:c>
      <x:c r="H99" s="160" t="n">
        <x:v>46347</x:v>
      </x:c>
      <x:c r="I99" s="160" t="n">
        <x:v>46351</x:v>
      </x:c>
      <x:c r="J99" s="160" t="n">
        <x:v>46355</x:v>
      </x:c>
      <x:c r="K99" s="160" t="n">
        <x:v>46358</x:v>
      </x:c>
      <x:c r="L99" s="160" t="n">
        <x:v>46361</x:v>
      </x:c>
      <x:c r="M99" s="160" t="n">
        <x:v>46363</x:v>
      </x:c>
      <x:c r="N99" s="161" t="n">
        <x:v>46362</x:v>
      </x:c>
      <x:c r="O99" s="161" t="n">
        <x:v>46428</x:v>
      </x:c>
      <x:c r="P99" s="161" t="n">
        <x:v>46388</x:v>
      </x:c>
      <x:c r="Q99" s="125" t="n">
        <x:v>0</x:v>
      </x:c>
      <x:c r="R99" s="125" t="n">
        <x:v>81</x:v>
      </x:c>
      <x:c r="S99" s="125" t="str">
        <x:v>PASS</x:v>
      </x:c>
      <x:c r="T99" s="125" t="str">
        <x:f>'CRAWL_LOG'!C99</x:f>
        <x:v>Chưa chạy</x:v>
      </x:c>
      <x:c r="U99" s="86" t="str">
        <x:v>Có Tết Dương lịch 01/01</x:v>
      </x:c>
      <x:c r="V99" s="86"/>
    </x:row>
    <x:row r="100" ht="24" customHeight="1">
      <x:c r="A100" s="14" t="n">
        <x:v>46348</x:v>
      </x:c>
      <x:c r="B100" t="str">
        <x:v>Chủ Nhật</x:v>
      </x:c>
      <x:c r="C100" t="str">
        <x:v>Official</x:v>
      </x:c>
      <x:c r="D100" t="str">
        <x:v>00:30</x:v>
      </x:c>
      <x:c r="E100" s="160" t="n">
        <x:v>46366</x:v>
      </x:c>
      <x:c r="F100" s="160" t="n">
        <x:v>46368</x:v>
      </x:c>
      <x:c r="G100" s="160" t="n">
        <x:v>46371</x:v>
      </x:c>
      <x:c r="H100" s="160" t="n">
        <x:v>46375</x:v>
      </x:c>
      <x:c r="I100" s="160" t="n">
        <x:v>46351</x:v>
      </x:c>
      <x:c r="J100" s="160" t="n">
        <x:v>46355</x:v>
      </x:c>
      <x:c r="K100" s="160" t="n">
        <x:v>46358</x:v>
      </x:c>
      <x:c r="L100" s="160" t="n">
        <x:v>46361</x:v>
      </x:c>
      <x:c r="M100" s="160" t="n">
        <x:v>46363</x:v>
      </x:c>
      <x:c r="N100" s="161" t="n">
        <x:v>46362</x:v>
      </x:c>
      <x:c r="O100" s="161" t="n">
        <x:v>46428</x:v>
      </x:c>
      <x:c r="P100" s="161" t="n">
        <x:v>46388</x:v>
      </x:c>
      <x:c r="Q100" s="125" t="n">
        <x:v>3</x:v>
      </x:c>
      <x:c r="R100" s="125" t="n">
        <x:v>80</x:v>
      </x:c>
      <x:c r="S100" s="125" t="str">
        <x:v>PASS</x:v>
      </x:c>
      <x:c r="T100" s="125" t="str">
        <x:f>'CRAWL_LOG'!C100</x:f>
        <x:v>Chưa chạy</x:v>
      </x:c>
      <x:c r="U100" s="86" t="str">
        <x:v>Có Tết Dương lịch 01/01</x:v>
      </x:c>
      <x:c r="V100" s="86"/>
    </x:row>
    <x:row r="101" ht="24" customHeight="1">
      <x:c r="A101" s="14" t="n">
        <x:v>46349</x:v>
      </x:c>
      <x:c r="B101" t="str">
        <x:v>Thứ Hai</x:v>
      </x:c>
      <x:c r="C101" t="str">
        <x:v>Official</x:v>
      </x:c>
      <x:c r="D101" t="str">
        <x:v>00:30</x:v>
      </x:c>
      <x:c r="E101" s="160" t="n">
        <x:v>46366</x:v>
      </x:c>
      <x:c r="F101" s="160" t="n">
        <x:v>46368</x:v>
      </x:c>
      <x:c r="G101" s="160" t="n">
        <x:v>46371</x:v>
      </x:c>
      <x:c r="H101" s="160" t="n">
        <x:v>46375</x:v>
      </x:c>
      <x:c r="I101" s="160" t="n">
        <x:v>46351</x:v>
      </x:c>
      <x:c r="J101" s="160" t="n">
        <x:v>46355</x:v>
      </x:c>
      <x:c r="K101" s="160" t="n">
        <x:v>46358</x:v>
      </x:c>
      <x:c r="L101" s="160" t="n">
        <x:v>46361</x:v>
      </x:c>
      <x:c r="M101" s="160" t="n">
        <x:v>46363</x:v>
      </x:c>
      <x:c r="N101" s="161" t="n">
        <x:v>46362</x:v>
      </x:c>
      <x:c r="O101" s="161" t="n">
        <x:v>46428</x:v>
      </x:c>
      <x:c r="P101" s="161" t="n">
        <x:v>46388</x:v>
      </x:c>
      <x:c r="Q101" s="125" t="n">
        <x:v>2</x:v>
      </x:c>
      <x:c r="R101" s="125" t="n">
        <x:v>79</x:v>
      </x:c>
      <x:c r="S101" s="125" t="str">
        <x:v>PASS</x:v>
      </x:c>
      <x:c r="T101" s="125" t="str">
        <x:f>'CRAWL_LOG'!C101</x:f>
        <x:v>Chưa chạy</x:v>
      </x:c>
      <x:c r="U101" s="86" t="str">
        <x:v>Có Tết Dương lịch 01/01</x:v>
      </x:c>
      <x:c r="V101" s="86"/>
    </x:row>
    <x:row r="102" ht="24" customHeight="1">
      <x:c r="A102" s="14" t="n">
        <x:v>46350</x:v>
      </x:c>
      <x:c r="B102" t="str">
        <x:v>Thứ Ba</x:v>
      </x:c>
      <x:c r="C102" t="str">
        <x:v>Official</x:v>
      </x:c>
      <x:c r="D102" t="str">
        <x:v>00:30</x:v>
      </x:c>
      <x:c r="E102" s="160" t="n">
        <x:v>46366</x:v>
      </x:c>
      <x:c r="F102" s="160" t="n">
        <x:v>46368</x:v>
      </x:c>
      <x:c r="G102" s="160" t="n">
        <x:v>46371</x:v>
      </x:c>
      <x:c r="H102" s="160" t="n">
        <x:v>46375</x:v>
      </x:c>
      <x:c r="I102" s="160" t="n">
        <x:v>46351</x:v>
      </x:c>
      <x:c r="J102" s="160" t="n">
        <x:v>46355</x:v>
      </x:c>
      <x:c r="K102" s="160" t="n">
        <x:v>46358</x:v>
      </x:c>
      <x:c r="L102" s="160" t="n">
        <x:v>46361</x:v>
      </x:c>
      <x:c r="M102" s="160" t="n">
        <x:v>46363</x:v>
      </x:c>
      <x:c r="N102" s="161" t="n">
        <x:v>46362</x:v>
      </x:c>
      <x:c r="O102" s="161" t="n">
        <x:v>46428</x:v>
      </x:c>
      <x:c r="P102" s="161" t="n">
        <x:v>46388</x:v>
      </x:c>
      <x:c r="Q102" s="125" t="n">
        <x:v>1</x:v>
      </x:c>
      <x:c r="R102" s="125" t="n">
        <x:v>78</x:v>
      </x:c>
      <x:c r="S102" s="125" t="str">
        <x:v>PASS</x:v>
      </x:c>
      <x:c r="T102" s="125" t="str">
        <x:f>'CRAWL_LOG'!C102</x:f>
        <x:v>Chưa chạy</x:v>
      </x:c>
      <x:c r="U102" s="86" t="str">
        <x:v>Có Tết Dương lịch 01/01</x:v>
      </x:c>
      <x:c r="V102" s="86"/>
    </x:row>
    <x:row r="103" ht="24" customHeight="1">
      <x:c r="A103" s="14" t="n">
        <x:v>46351</x:v>
      </x:c>
      <x:c r="B103" t="str">
        <x:v>Thứ Tư</x:v>
      </x:c>
      <x:c r="C103" t="str">
        <x:v>Official</x:v>
      </x:c>
      <x:c r="D103" t="str">
        <x:v>00:30</x:v>
      </x:c>
      <x:c r="E103" s="160" t="n">
        <x:v>46366</x:v>
      </x:c>
      <x:c r="F103" s="160" t="n">
        <x:v>46368</x:v>
      </x:c>
      <x:c r="G103" s="160" t="n">
        <x:v>46371</x:v>
      </x:c>
      <x:c r="H103" s="160" t="n">
        <x:v>46375</x:v>
      </x:c>
      <x:c r="I103" s="160" t="n">
        <x:v>46351</x:v>
      </x:c>
      <x:c r="J103" s="160" t="n">
        <x:v>46355</x:v>
      </x:c>
      <x:c r="K103" s="160" t="n">
        <x:v>46358</x:v>
      </x:c>
      <x:c r="L103" s="160" t="n">
        <x:v>46361</x:v>
      </x:c>
      <x:c r="M103" s="160" t="n">
        <x:v>46363</x:v>
      </x:c>
      <x:c r="N103" s="161" t="n">
        <x:v>46362</x:v>
      </x:c>
      <x:c r="O103" s="161" t="n">
        <x:v>46428</x:v>
      </x:c>
      <x:c r="P103" s="161" t="n">
        <x:v>46388</x:v>
      </x:c>
      <x:c r="Q103" s="125" t="n">
        <x:v>0</x:v>
      </x:c>
      <x:c r="R103" s="125" t="n">
        <x:v>77</x:v>
      </x:c>
      <x:c r="S103" s="125" t="str">
        <x:v>PASS</x:v>
      </x:c>
      <x:c r="T103" s="125" t="str">
        <x:f>'CRAWL_LOG'!C103</x:f>
        <x:v>Chưa chạy</x:v>
      </x:c>
      <x:c r="U103" s="86" t="str">
        <x:v>Có Tết Dương lịch 01/01</x:v>
      </x:c>
      <x:c r="V103" s="86"/>
    </x:row>
    <x:row r="104" ht="24" customHeight="1">
      <x:c r="A104" s="14" t="n">
        <x:v>46352</x:v>
      </x:c>
      <x:c r="B104" t="str">
        <x:v>Thứ Năm</x:v>
      </x:c>
      <x:c r="C104" t="str">
        <x:v>Official</x:v>
      </x:c>
      <x:c r="D104" t="str">
        <x:v>00:30</x:v>
      </x:c>
      <x:c r="E104" s="160" t="n">
        <x:v>46366</x:v>
      </x:c>
      <x:c r="F104" s="160" t="n">
        <x:v>46368</x:v>
      </x:c>
      <x:c r="G104" s="160" t="n">
        <x:v>46371</x:v>
      </x:c>
      <x:c r="H104" s="160" t="n">
        <x:v>46375</x:v>
      </x:c>
      <x:c r="I104" s="160" t="n">
        <x:v>46379</x:v>
      </x:c>
      <x:c r="J104" s="160" t="n">
        <x:v>46355</x:v>
      </x:c>
      <x:c r="K104" s="160" t="n">
        <x:v>46358</x:v>
      </x:c>
      <x:c r="L104" s="160" t="n">
        <x:v>46361</x:v>
      </x:c>
      <x:c r="M104" s="160" t="n">
        <x:v>46363</x:v>
      </x:c>
      <x:c r="N104" s="161" t="n">
        <x:v>46362</x:v>
      </x:c>
      <x:c r="O104" s="161" t="n">
        <x:v>46428</x:v>
      </x:c>
      <x:c r="P104" s="161" t="n">
        <x:v>46388</x:v>
      </x:c>
      <x:c r="Q104" s="125" t="n">
        <x:v>3</x:v>
      </x:c>
      <x:c r="R104" s="125" t="n">
        <x:v>76</x:v>
      </x:c>
      <x:c r="S104" s="125" t="str">
        <x:v>PASS</x:v>
      </x:c>
      <x:c r="T104" s="125" t="str">
        <x:f>'CRAWL_LOG'!C104</x:f>
        <x:v>Chưa chạy</x:v>
      </x:c>
      <x:c r="U104" s="86" t="str">
        <x:v>Có Tết Dương lịch 01/01</x:v>
      </x:c>
      <x:c r="V104" s="86"/>
    </x:row>
    <x:row r="105" ht="24" customHeight="1">
      <x:c r="A105" s="14" t="n">
        <x:v>46353</x:v>
      </x:c>
      <x:c r="B105" t="str">
        <x:v>Thứ Sáu</x:v>
      </x:c>
      <x:c r="C105" t="str">
        <x:v>Official</x:v>
      </x:c>
      <x:c r="D105" t="str">
        <x:v>00:30</x:v>
      </x:c>
      <x:c r="E105" s="160" t="n">
        <x:v>46366</x:v>
      </x:c>
      <x:c r="F105" s="160" t="n">
        <x:v>46368</x:v>
      </x:c>
      <x:c r="G105" s="160" t="n">
        <x:v>46371</x:v>
      </x:c>
      <x:c r="H105" s="160" t="n">
        <x:v>46375</x:v>
      </x:c>
      <x:c r="I105" s="160" t="n">
        <x:v>46379</x:v>
      </x:c>
      <x:c r="J105" s="160" t="n">
        <x:v>46355</x:v>
      </x:c>
      <x:c r="K105" s="160" t="n">
        <x:v>46358</x:v>
      </x:c>
      <x:c r="L105" s="160" t="n">
        <x:v>46361</x:v>
      </x:c>
      <x:c r="M105" s="160" t="n">
        <x:v>46363</x:v>
      </x:c>
      <x:c r="N105" s="161" t="n">
        <x:v>46362</x:v>
      </x:c>
      <x:c r="O105" s="161" t="n">
        <x:v>46428</x:v>
      </x:c>
      <x:c r="P105" s="161" t="n">
        <x:v>46388</x:v>
      </x:c>
      <x:c r="Q105" s="125" t="n">
        <x:v>2</x:v>
      </x:c>
      <x:c r="R105" s="125" t="n">
        <x:v>75</x:v>
      </x:c>
      <x:c r="S105" s="125" t="str">
        <x:v>PASS</x:v>
      </x:c>
      <x:c r="T105" s="125" t="str">
        <x:f>'CRAWL_LOG'!C105</x:f>
        <x:v>Chưa chạy</x:v>
      </x:c>
      <x:c r="U105" s="86" t="str">
        <x:v>Có Tết Dương lịch 01/01</x:v>
      </x:c>
      <x:c r="V105" s="86"/>
    </x:row>
    <x:row r="106" ht="24" customHeight="1">
      <x:c r="A106" s="14" t="n">
        <x:v>46354</x:v>
      </x:c>
      <x:c r="B106" t="str">
        <x:v>Thứ Bảy</x:v>
      </x:c>
      <x:c r="C106" t="str">
        <x:v>Official</x:v>
      </x:c>
      <x:c r="D106" t="str">
        <x:v>00:30</x:v>
      </x:c>
      <x:c r="E106" s="160" t="n">
        <x:v>46366</x:v>
      </x:c>
      <x:c r="F106" s="160" t="n">
        <x:v>46368</x:v>
      </x:c>
      <x:c r="G106" s="160" t="n">
        <x:v>46371</x:v>
      </x:c>
      <x:c r="H106" s="160" t="n">
        <x:v>46375</x:v>
      </x:c>
      <x:c r="I106" s="160" t="n">
        <x:v>46379</x:v>
      </x:c>
      <x:c r="J106" s="160" t="n">
        <x:v>46355</x:v>
      </x:c>
      <x:c r="K106" s="160" t="n">
        <x:v>46358</x:v>
      </x:c>
      <x:c r="L106" s="160" t="n">
        <x:v>46361</x:v>
      </x:c>
      <x:c r="M106" s="160" t="n">
        <x:v>46363</x:v>
      </x:c>
      <x:c r="N106" s="161" t="n">
        <x:v>46362</x:v>
      </x:c>
      <x:c r="O106" s="161" t="n">
        <x:v>46428</x:v>
      </x:c>
      <x:c r="P106" s="161" t="n">
        <x:v>46388</x:v>
      </x:c>
      <x:c r="Q106" s="125" t="n">
        <x:v>1</x:v>
      </x:c>
      <x:c r="R106" s="125" t="n">
        <x:v>74</x:v>
      </x:c>
      <x:c r="S106" s="125" t="str">
        <x:v>PASS</x:v>
      </x:c>
      <x:c r="T106" s="125" t="str">
        <x:f>'CRAWL_LOG'!C106</x:f>
        <x:v>Chưa chạy</x:v>
      </x:c>
      <x:c r="U106" s="86" t="str">
        <x:v>Có Tết Dương lịch 01/01</x:v>
      </x:c>
      <x:c r="V106" s="86"/>
    </x:row>
    <x:row r="107">
      <x:c r="A107" s="14" t="n">
        <x:v>46355</x:v>
      </x:c>
      <x:c r="B107" t="str">
        <x:v>Chủ Nhật</x:v>
      </x:c>
      <x:c r="C107" t="str">
        <x:v>Official</x:v>
      </x:c>
      <x:c r="D107" t="str">
        <x:v>00:30</x:v>
      </x:c>
      <x:c r="E107" s="160" t="n">
        <x:v>46366</x:v>
      </x:c>
      <x:c r="F107" s="160" t="n">
        <x:v>46368</x:v>
      </x:c>
      <x:c r="G107" s="160" t="n">
        <x:v>46371</x:v>
      </x:c>
      <x:c r="H107" s="160" t="n">
        <x:v>46375</x:v>
      </x:c>
      <x:c r="I107" s="160" t="n">
        <x:v>46379</x:v>
      </x:c>
      <x:c r="J107" s="160" t="n">
        <x:v>46355</x:v>
      </x:c>
      <x:c r="K107" s="160" t="n">
        <x:v>46358</x:v>
      </x:c>
      <x:c r="L107" s="160" t="n">
        <x:v>46361</x:v>
      </x:c>
      <x:c r="M107" s="160" t="n">
        <x:v>46363</x:v>
      </x:c>
      <x:c r="N107" s="161" t="n">
        <x:v>46362</x:v>
      </x:c>
      <x:c r="O107" s="161" t="n">
        <x:v>46428</x:v>
      </x:c>
      <x:c r="P107" s="161" t="n">
        <x:v>46388</x:v>
      </x:c>
      <x:c r="Q107" s="125" t="n">
        <x:v>0</x:v>
      </x:c>
      <x:c r="R107" s="125" t="n">
        <x:v>73</x:v>
      </x:c>
      <x:c r="S107" s="125" t="str">
        <x:v>PASS</x:v>
      </x:c>
      <x:c r="T107" s="125" t="str">
        <x:f>'CRAWL_LOG'!C107</x:f>
        <x:v>Chưa chạy</x:v>
      </x:c>
      <x:c r="U107" s="86" t="str">
        <x:v>Có Tết Dương lịch 01/01</x:v>
      </x:c>
      <x:c r="V107" s="86"/>
    </x:row>
    <x:row r="108">
      <x:c r="A108" s="14" t="n">
        <x:v>46356</x:v>
      </x:c>
      <x:c r="B108" t="str">
        <x:v>Thứ Hai</x:v>
      </x:c>
      <x:c r="C108" t="str">
        <x:v>Official</x:v>
      </x:c>
      <x:c r="D108" t="str">
        <x:v>00:30</x:v>
      </x:c>
      <x:c r="E108" s="160" t="n">
        <x:v>46366</x:v>
      </x:c>
      <x:c r="F108" s="160" t="n">
        <x:v>46368</x:v>
      </x:c>
      <x:c r="G108" s="160" t="n">
        <x:v>46371</x:v>
      </x:c>
      <x:c r="H108" s="160" t="n">
        <x:v>46375</x:v>
      </x:c>
      <x:c r="I108" s="160" t="n">
        <x:v>46379</x:v>
      </x:c>
      <x:c r="J108" s="160" t="n">
        <x:v>46383</x:v>
      </x:c>
      <x:c r="K108" s="160" t="n">
        <x:v>46358</x:v>
      </x:c>
      <x:c r="L108" s="160" t="n">
        <x:v>46361</x:v>
      </x:c>
      <x:c r="M108" s="160" t="n">
        <x:v>46363</x:v>
      </x:c>
      <x:c r="N108" s="161" t="n">
        <x:v>46362</x:v>
      </x:c>
      <x:c r="O108" s="161" t="n">
        <x:v>46428</x:v>
      </x:c>
      <x:c r="P108" s="161" t="n">
        <x:v>46388</x:v>
      </x:c>
      <x:c r="Q108" s="125" t="n">
        <x:v>2</x:v>
      </x:c>
      <x:c r="R108" s="125" t="n">
        <x:v>72</x:v>
      </x:c>
      <x:c r="S108" s="125" t="str">
        <x:v>PASS</x:v>
      </x:c>
      <x:c r="T108" s="125" t="str">
        <x:f>'CRAWL_LOG'!C108</x:f>
        <x:v>Chưa chạy</x:v>
      </x:c>
      <x:c r="U108" s="86" t="str">
        <x:v>Có Tết Dương lịch 01/01</x:v>
      </x:c>
      <x:c r="V108" s="86"/>
    </x:row>
  </x:sheetData>
  <x:mergeCells>
    <x:mergeCell ref="A1:V1"/>
    <x:mergeCell ref="A2:V2"/>
  </x:mergeCells>
  <x:conditionalFormatting sqref="Q4:Q106">
    <x:cfRule type="containsText" dxfId="0" priority="1" operator="containsText" text="Hoàn thành"/>
    <x:cfRule type="containsText" dxfId="1" priority="2" operator="containsText" text="Đang chạy"/>
    <x:cfRule type="containsText" dxfId="2" priority="3" operator="containsText" text="Thất bại"/>
  </x:conditionalFormatting>
  <x:pageMargins left="0.7" right="0.7" top="0.75" bottom="0.75" header="0.3" footer="0.3"/>
  <x:tableParts count="1">
    <x:tablePart xmlns:r="http://schemas.openxmlformats.org/officeDocument/2006/relationships" r:id="R1fa7cfd29f78429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21" hidden="0" customWidth="1"/>
    <x:col min="4" max="4" width="18" hidden="0" customWidth="1"/>
    <x:col min="5" max="5" width="19" hidden="0" customWidth="1"/>
    <x:col min="6" max="6" width="19" hidden="0" customWidth="1"/>
    <x:col min="7" max="7" width="16" hidden="0" customWidth="1"/>
    <x:col min="8" max="8" width="13" hidden="0" customWidth="1"/>
    <x:col min="9" max="9" width="12" hidden="0" customWidth="1"/>
    <x:col min="10" max="10" width="12" hidden="0" customWidth="1"/>
    <x:col min="11" max="11" width="12" hidden="0" customWidth="1"/>
    <x:col min="12" max="12" width="12" hidden="0" customWidth="1"/>
    <x:col min="13" max="13" width="15" hidden="0" customWidth="1"/>
    <x:col min="14" max="14" width="12" hidden="0" customWidth="1"/>
    <x:col min="15" max="15" width="15" hidden="0" customWidth="1"/>
    <x:col min="16" max="16" width="16" hidden="0" customWidth="1"/>
    <x:col min="17" max="17" width="42" hidden="0" customWidth="1"/>
  </x:cols>
  <x:sheetData>
    <x:row r="1" ht="28" customHeight="1">
      <x:c r="A1" s="143" t="str">
        <x:v>CRAWL LOG — MỖI NGÀY CÀO CHỈ MỘT DÒNG</x:v>
      </x:c>
      <x:c r="B1" s="143"/>
      <x:c r="C1" s="143"/>
      <x:c r="D1" s="143"/>
      <x:c r="E1" s="143"/>
      <x:c r="F1" s="143"/>
      <x:c r="G1" s="143"/>
      <x:c r="H1" s="143"/>
      <x:c r="I1" s="143"/>
      <x:c r="J1" s="143"/>
      <x:c r="K1" s="143"/>
      <x:c r="L1" s="143"/>
      <x:c r="M1" s="143"/>
      <x:c r="N1" s="143"/>
      <x:c r="O1" s="143"/>
      <x:c r="P1" s="143"/>
      <x:c r="Q1" s="143"/>
    </x:row>
    <x:row r="2" ht="24" customHeight="1">
      <x:c r="A2" s="159" t="str">
        <x:v>Nếu backend chia nhiều batch/run, ghi toàn bộ run ID vào cùng một ô Run IDs; không thêm dòng mới cho cùng crawl date.</x:v>
      </x:c>
      <x:c r="B2" s="159"/>
      <x:c r="C2" s="159"/>
      <x:c r="D2" s="159"/>
      <x:c r="E2" s="159"/>
      <x:c r="F2" s="159"/>
      <x:c r="G2" s="159"/>
      <x:c r="H2" s="159"/>
      <x:c r="I2" s="159"/>
      <x:c r="J2" s="159"/>
      <x:c r="K2" s="159"/>
      <x:c r="L2" s="159"/>
      <x:c r="M2" s="159"/>
      <x:c r="N2" s="159"/>
      <x:c r="O2" s="159"/>
      <x:c r="P2" s="159"/>
      <x:c r="Q2" s="159"/>
    </x:row>
    <x:row r="3" ht="30" customHeight="1">
      <x:c r="A3" s="148" t="str">
        <x:v>Crawl date</x:v>
      </x:c>
      <x:c r="B3" s="148" t="str">
        <x:v>Start time (ICT)</x:v>
      </x:c>
      <x:c r="C3" s="148" t="str">
        <x:v>Status</x:v>
      </x:c>
      <x:c r="D3" s="148" t="str">
        <x:v>Run IDs</x:v>
      </x:c>
      <x:c r="E3" s="148" t="str">
        <x:v>Started at</x:v>
      </x:c>
      <x:c r="F3" s="148" t="str">
        <x:v>Finished at</x:v>
      </x:c>
      <x:c r="G3" s="148" t="str">
        <x:v>Duration (hours)</x:v>
      </x:c>
      <x:c r="H3" s="148" t="str">
        <x:v>Total items</x:v>
      </x:c>
      <x:c r="I3" s="148" t="str">
        <x:v>Processed</x:v>
      </x:c>
      <x:c r="J3" s="148" t="str">
        <x:v>Success</x:v>
      </x:c>
      <x:c r="K3" s="148" t="str">
        <x:v>Partial</x:v>
      </x:c>
      <x:c r="L3" s="148" t="str">
        <x:v>Sold out</x:v>
      </x:c>
      <x:c r="M3" s="148" t="str">
        <x:v>Not bookable</x:v>
      </x:c>
      <x:c r="N3" s="148" t="str">
        <x:v>Error</x:v>
      </x:c>
      <x:c r="O3" s="148" t="str">
        <x:v>Valid records</x:v>
      </x:c>
      <x:c r="P3" s="148" t="str">
        <x:v>Check-in count</x:v>
      </x:c>
      <x:c r="Q3" s="148" t="str">
        <x:v>Notes</x:v>
      </x:c>
    </x:row>
    <x:row r="4" ht="24" customHeight="1">
      <x:c r="A4" s="14" t="n">
        <x:v>46252</x:v>
      </x:c>
      <x:c r="B4" t="str">
        <x:v>00:30</x:v>
      </x:c>
      <x:c r="C4" t="str">
        <x:v>Chưa chạy</x:v>
      </x:c>
      <x:c r="D4"/>
      <x:c r="E4" s="52"/>
      <x:c r="F4" s="52"/>
      <x:c r="G4" s="53" t="str">
        <x:f>IF(OR(E4="",F4=""),"",(F4-E4)*24)</x:f>
      </x:c>
      <x:c r="H4" s="126"/>
      <x:c r="I4" s="126"/>
      <x:c r="J4" s="126"/>
      <x:c r="K4" s="126"/>
      <x:c r="L4" s="126"/>
      <x:c r="M4" s="126"/>
      <x:c r="N4" s="126"/>
      <x:c r="O4" s="126"/>
      <x:c r="P4" s="126" t="n">
        <x:v>12</x:v>
      </x:c>
      <x:c r="Q4" s="86"/>
    </x:row>
    <x:row r="5" ht="24" customHeight="1">
      <x:c r="A5" s="14" t="n">
        <x:v>46253</x:v>
      </x:c>
      <x:c r="B5" t="str">
        <x:v>00:30</x:v>
      </x:c>
      <x:c r="C5" t="str">
        <x:v>Chưa chạy</x:v>
      </x:c>
      <x:c r="D5"/>
      <x:c r="E5" s="52"/>
      <x:c r="F5" s="52"/>
      <x:c r="G5" s="53" t="str">
        <x:f>IF(OR(E5="",F5=""),"",(F5-E5)*24)</x:f>
      </x:c>
      <x:c r="H5" s="126"/>
      <x:c r="I5" s="126"/>
      <x:c r="J5" s="126"/>
      <x:c r="K5" s="126"/>
      <x:c r="L5" s="126"/>
      <x:c r="M5" s="126"/>
      <x:c r="N5" s="126"/>
      <x:c r="O5" s="126"/>
      <x:c r="P5" s="126" t="n">
        <x:v>12</x:v>
      </x:c>
      <x:c r="Q5" s="86"/>
    </x:row>
    <x:row r="6" ht="24" customHeight="1">
      <x:c r="A6" s="14" t="n">
        <x:v>46254</x:v>
      </x:c>
      <x:c r="B6" t="str">
        <x:v>00:30</x:v>
      </x:c>
      <x:c r="C6" t="str">
        <x:v>Chưa chạy</x:v>
      </x:c>
      <x:c r="D6"/>
      <x:c r="E6" s="52"/>
      <x:c r="F6" s="52"/>
      <x:c r="G6" s="53" t="str">
        <x:f>IF(OR(E6="",F6=""),"",(F6-E6)*24)</x:f>
      </x:c>
      <x:c r="H6" s="126"/>
      <x:c r="I6" s="126"/>
      <x:c r="J6" s="126"/>
      <x:c r="K6" s="126"/>
      <x:c r="L6" s="126"/>
      <x:c r="M6" s="126"/>
      <x:c r="N6" s="126"/>
      <x:c r="O6" s="126"/>
      <x:c r="P6" s="126" t="n">
        <x:v>12</x:v>
      </x:c>
      <x:c r="Q6" s="86"/>
    </x:row>
    <x:row r="7" ht="24" customHeight="1">
      <x:c r="A7" s="14" t="n">
        <x:v>46255</x:v>
      </x:c>
      <x:c r="B7" t="str">
        <x:v>00:30</x:v>
      </x:c>
      <x:c r="C7" t="str">
        <x:v>Chưa chạy</x:v>
      </x:c>
      <x:c r="D7"/>
      <x:c r="E7" s="52"/>
      <x:c r="F7" s="52"/>
      <x:c r="G7" s="53" t="str">
        <x:f>IF(OR(E7="",F7=""),"",(F7-E7)*24)</x:f>
      </x:c>
      <x:c r="H7" s="126"/>
      <x:c r="I7" s="126"/>
      <x:c r="J7" s="126"/>
      <x:c r="K7" s="126"/>
      <x:c r="L7" s="126"/>
      <x:c r="M7" s="126"/>
      <x:c r="N7" s="126"/>
      <x:c r="O7" s="126"/>
      <x:c r="P7" s="126" t="n">
        <x:v>12</x:v>
      </x:c>
      <x:c r="Q7" s="86"/>
    </x:row>
    <x:row r="8" ht="24" customHeight="1">
      <x:c r="A8" s="14" t="n">
        <x:v>46256</x:v>
      </x:c>
      <x:c r="B8" t="str">
        <x:v>00:30</x:v>
      </x:c>
      <x:c r="C8" t="str">
        <x:v>Chưa chạy</x:v>
      </x:c>
      <x:c r="D8"/>
      <x:c r="E8" s="52"/>
      <x:c r="F8" s="52"/>
      <x:c r="G8" s="53" t="str">
        <x:f>IF(OR(E8="",F8=""),"",(F8-E8)*24)</x:f>
      </x:c>
      <x:c r="H8" s="126"/>
      <x:c r="I8" s="126"/>
      <x:c r="J8" s="126"/>
      <x:c r="K8" s="126"/>
      <x:c r="L8" s="126"/>
      <x:c r="M8" s="126"/>
      <x:c r="N8" s="126"/>
      <x:c r="O8" s="126"/>
      <x:c r="P8" s="126" t="n">
        <x:v>12</x:v>
      </x:c>
      <x:c r="Q8" s="86"/>
    </x:row>
    <x:row r="9" ht="24" customHeight="1">
      <x:c r="A9" s="14" t="n">
        <x:v>46257</x:v>
      </x:c>
      <x:c r="B9" t="str">
        <x:v>00:30</x:v>
      </x:c>
      <x:c r="C9" t="str">
        <x:v>Chưa chạy</x:v>
      </x:c>
      <x:c r="D9"/>
      <x:c r="E9" s="52"/>
      <x:c r="F9" s="52"/>
      <x:c r="G9" s="53" t="str">
        <x:f>IF(OR(E9="",F9=""),"",(F9-E9)*24)</x:f>
      </x:c>
      <x:c r="H9" s="126"/>
      <x:c r="I9" s="126"/>
      <x:c r="J9" s="126"/>
      <x:c r="K9" s="126"/>
      <x:c r="L9" s="126"/>
      <x:c r="M9" s="126"/>
      <x:c r="N9" s="126"/>
      <x:c r="O9" s="126"/>
      <x:c r="P9" s="126" t="n">
        <x:v>12</x:v>
      </x:c>
      <x:c r="Q9" s="86"/>
    </x:row>
    <x:row r="10" ht="24" customHeight="1">
      <x:c r="A10" s="14" t="n">
        <x:v>46258</x:v>
      </x:c>
      <x:c r="B10" t="str">
        <x:v>00:30</x:v>
      </x:c>
      <x:c r="C10" t="str">
        <x:v>Chưa chạy</x:v>
      </x:c>
      <x:c r="D10"/>
      <x:c r="E10" s="52"/>
      <x:c r="F10" s="52"/>
      <x:c r="G10" s="53" t="str">
        <x:f>IF(OR(E10="",F10=""),"",(F10-E10)*24)</x:f>
      </x:c>
      <x:c r="H10" s="126"/>
      <x:c r="I10" s="126"/>
      <x:c r="J10" s="126"/>
      <x:c r="K10" s="126"/>
      <x:c r="L10" s="126"/>
      <x:c r="M10" s="126"/>
      <x:c r="N10" s="126"/>
      <x:c r="O10" s="126"/>
      <x:c r="P10" s="126" t="n">
        <x:v>12</x:v>
      </x:c>
      <x:c r="Q10" s="86"/>
    </x:row>
    <x:row r="11" ht="24" customHeight="1">
      <x:c r="A11" s="14" t="n">
        <x:v>46259</x:v>
      </x:c>
      <x:c r="B11" t="str">
        <x:v>00:30</x:v>
      </x:c>
      <x:c r="C11" t="str">
        <x:v>Chưa chạy</x:v>
      </x:c>
      <x:c r="D11"/>
      <x:c r="E11" s="52"/>
      <x:c r="F11" s="52"/>
      <x:c r="G11" s="53" t="str">
        <x:f>IF(OR(E11="",F11=""),"",(F11-E11)*24)</x:f>
      </x:c>
      <x:c r="H11" s="126"/>
      <x:c r="I11" s="126"/>
      <x:c r="J11" s="126"/>
      <x:c r="K11" s="126"/>
      <x:c r="L11" s="126"/>
      <x:c r="M11" s="126"/>
      <x:c r="N11" s="126"/>
      <x:c r="O11" s="126"/>
      <x:c r="P11" s="126" t="n">
        <x:v>12</x:v>
      </x:c>
      <x:c r="Q11" s="86"/>
    </x:row>
    <x:row r="12" ht="24" customHeight="1">
      <x:c r="A12" s="14" t="n">
        <x:v>46260</x:v>
      </x:c>
      <x:c r="B12" t="str">
        <x:v>00:30</x:v>
      </x:c>
      <x:c r="C12" t="str">
        <x:v>Chưa chạy</x:v>
      </x:c>
      <x:c r="D12"/>
      <x:c r="E12" s="52"/>
      <x:c r="F12" s="52"/>
      <x:c r="G12" s="53" t="str">
        <x:f>IF(OR(E12="",F12=""),"",(F12-E12)*24)</x:f>
      </x:c>
      <x:c r="H12" s="126"/>
      <x:c r="I12" s="126"/>
      <x:c r="J12" s="126"/>
      <x:c r="K12" s="126"/>
      <x:c r="L12" s="126"/>
      <x:c r="M12" s="126"/>
      <x:c r="N12" s="126"/>
      <x:c r="O12" s="126"/>
      <x:c r="P12" s="126" t="n">
        <x:v>12</x:v>
      </x:c>
      <x:c r="Q12" s="86"/>
    </x:row>
    <x:row r="13" ht="24" customHeight="1">
      <x:c r="A13" s="14" t="n">
        <x:v>46261</x:v>
      </x:c>
      <x:c r="B13" t="str">
        <x:v>00:30</x:v>
      </x:c>
      <x:c r="C13" t="str">
        <x:v>Chưa chạy</x:v>
      </x:c>
      <x:c r="D13"/>
      <x:c r="E13" s="52"/>
      <x:c r="F13" s="52"/>
      <x:c r="G13" s="53" t="str">
        <x:f>IF(OR(E13="",F13=""),"",(F13-E13)*24)</x:f>
      </x:c>
      <x:c r="H13" s="126"/>
      <x:c r="I13" s="126"/>
      <x:c r="J13" s="126"/>
      <x:c r="K13" s="126"/>
      <x:c r="L13" s="126"/>
      <x:c r="M13" s="126"/>
      <x:c r="N13" s="126"/>
      <x:c r="O13" s="126"/>
      <x:c r="P13" s="126" t="n">
        <x:v>12</x:v>
      </x:c>
      <x:c r="Q13" s="86"/>
    </x:row>
    <x:row r="14" ht="24" customHeight="1">
      <x:c r="A14" s="14" t="n">
        <x:v>46262</x:v>
      </x:c>
      <x:c r="B14" t="str">
        <x:v>00:30</x:v>
      </x:c>
      <x:c r="C14" t="str">
        <x:v>Chưa chạy</x:v>
      </x:c>
      <x:c r="D14"/>
      <x:c r="E14" s="52"/>
      <x:c r="F14" s="52"/>
      <x:c r="G14" s="53" t="str">
        <x:f>IF(OR(E14="",F14=""),"",(F14-E14)*24)</x:f>
      </x:c>
      <x:c r="H14" s="126"/>
      <x:c r="I14" s="126"/>
      <x:c r="J14" s="126"/>
      <x:c r="K14" s="126"/>
      <x:c r="L14" s="126"/>
      <x:c r="M14" s="126"/>
      <x:c r="N14" s="126"/>
      <x:c r="O14" s="126"/>
      <x:c r="P14" s="126" t="n">
        <x:v>12</x:v>
      </x:c>
      <x:c r="Q14" s="86"/>
    </x:row>
    <x:row r="15" ht="24" customHeight="1">
      <x:c r="A15" s="14" t="n">
        <x:v>46263</x:v>
      </x:c>
      <x:c r="B15" t="str">
        <x:v>00:30</x:v>
      </x:c>
      <x:c r="C15" t="str">
        <x:v>Chưa chạy</x:v>
      </x:c>
      <x:c r="D15"/>
      <x:c r="E15" s="52"/>
      <x:c r="F15" s="52"/>
      <x:c r="G15" s="53" t="str">
        <x:f>IF(OR(E15="",F15=""),"",(F15-E15)*24)</x:f>
      </x:c>
      <x:c r="H15" s="126"/>
      <x:c r="I15" s="126"/>
      <x:c r="J15" s="126"/>
      <x:c r="K15" s="126"/>
      <x:c r="L15" s="126"/>
      <x:c r="M15" s="126"/>
      <x:c r="N15" s="126"/>
      <x:c r="O15" s="126"/>
      <x:c r="P15" s="126" t="n">
        <x:v>12</x:v>
      </x:c>
      <x:c r="Q15" s="86"/>
    </x:row>
    <x:row r="16" ht="24" customHeight="1">
      <x:c r="A16" s="14" t="n">
        <x:v>46264</x:v>
      </x:c>
      <x:c r="B16" t="str">
        <x:v>00:30</x:v>
      </x:c>
      <x:c r="C16" t="str">
        <x:v>Chưa chạy</x:v>
      </x:c>
      <x:c r="D16"/>
      <x:c r="E16" s="52"/>
      <x:c r="F16" s="52"/>
      <x:c r="G16" s="53" t="str">
        <x:f>IF(OR(E16="",F16=""),"",(F16-E16)*24)</x:f>
      </x:c>
      <x:c r="H16" s="126"/>
      <x:c r="I16" s="126"/>
      <x:c r="J16" s="126"/>
      <x:c r="K16" s="126"/>
      <x:c r="L16" s="126"/>
      <x:c r="M16" s="126"/>
      <x:c r="N16" s="126"/>
      <x:c r="O16" s="126"/>
      <x:c r="P16" s="126" t="n">
        <x:v>12</x:v>
      </x:c>
      <x:c r="Q16" s="86"/>
    </x:row>
    <x:row r="17" ht="24" customHeight="1">
      <x:c r="A17" s="14" t="n">
        <x:v>46265</x:v>
      </x:c>
      <x:c r="B17" t="str">
        <x:v>00:30</x:v>
      </x:c>
      <x:c r="C17" t="str">
        <x:v>Chưa chạy</x:v>
      </x:c>
      <x:c r="D17"/>
      <x:c r="E17" s="52"/>
      <x:c r="F17" s="52"/>
      <x:c r="G17" s="53" t="str">
        <x:f>IF(OR(E17="",F17=""),"",(F17-E17)*24)</x:f>
      </x:c>
      <x:c r="H17" s="126"/>
      <x:c r="I17" s="126"/>
      <x:c r="J17" s="126"/>
      <x:c r="K17" s="126"/>
      <x:c r="L17" s="126"/>
      <x:c r="M17" s="126"/>
      <x:c r="N17" s="126"/>
      <x:c r="O17" s="126"/>
      <x:c r="P17" s="126" t="n">
        <x:v>12</x:v>
      </x:c>
      <x:c r="Q17" s="86"/>
    </x:row>
    <x:row r="18" ht="24" customHeight="1">
      <x:c r="A18" s="14" t="n">
        <x:v>46266</x:v>
      </x:c>
      <x:c r="B18" t="str">
        <x:v>00:30</x:v>
      </x:c>
      <x:c r="C18" t="str">
        <x:v>Chưa chạy</x:v>
      </x:c>
      <x:c r="D18"/>
      <x:c r="E18" s="52"/>
      <x:c r="F18" s="52"/>
      <x:c r="G18" s="53" t="str">
        <x:f>IF(OR(E18="",F18=""),"",(F18-E18)*24)</x:f>
      </x:c>
      <x:c r="H18" s="126"/>
      <x:c r="I18" s="126"/>
      <x:c r="J18" s="126"/>
      <x:c r="K18" s="126"/>
      <x:c r="L18" s="126"/>
      <x:c r="M18" s="126"/>
      <x:c r="N18" s="126"/>
      <x:c r="O18" s="126"/>
      <x:c r="P18" s="126" t="n">
        <x:v>12</x:v>
      </x:c>
      <x:c r="Q18" s="86"/>
    </x:row>
    <x:row r="19" ht="24" customHeight="1">
      <x:c r="A19" s="14" t="n">
        <x:v>46267</x:v>
      </x:c>
      <x:c r="B19" t="str">
        <x:v>00:30</x:v>
      </x:c>
      <x:c r="C19" t="str">
        <x:v>Chưa chạy</x:v>
      </x:c>
      <x:c r="D19"/>
      <x:c r="E19" s="52"/>
      <x:c r="F19" s="52"/>
      <x:c r="G19" s="53" t="str">
        <x:f>IF(OR(E19="",F19=""),"",(F19-E19)*24)</x:f>
      </x:c>
      <x:c r="H19" s="126"/>
      <x:c r="I19" s="126"/>
      <x:c r="J19" s="126"/>
      <x:c r="K19" s="126"/>
      <x:c r="L19" s="126"/>
      <x:c r="M19" s="126"/>
      <x:c r="N19" s="126"/>
      <x:c r="O19" s="126"/>
      <x:c r="P19" s="126" t="n">
        <x:v>12</x:v>
      </x:c>
      <x:c r="Q19" s="86"/>
    </x:row>
    <x:row r="20" ht="24" customHeight="1">
      <x:c r="A20" s="14" t="n">
        <x:v>46268</x:v>
      </x:c>
      <x:c r="B20" t="str">
        <x:v>00:30</x:v>
      </x:c>
      <x:c r="C20" t="str">
        <x:v>Chưa chạy</x:v>
      </x:c>
      <x:c r="D20"/>
      <x:c r="E20" s="52"/>
      <x:c r="F20" s="52"/>
      <x:c r="G20" s="53" t="str">
        <x:f>IF(OR(E20="",F20=""),"",(F20-E20)*24)</x:f>
      </x:c>
      <x:c r="H20" s="126"/>
      <x:c r="I20" s="126"/>
      <x:c r="J20" s="126"/>
      <x:c r="K20" s="126"/>
      <x:c r="L20" s="126"/>
      <x:c r="M20" s="126"/>
      <x:c r="N20" s="126"/>
      <x:c r="O20" s="126"/>
      <x:c r="P20" s="126" t="n">
        <x:v>12</x:v>
      </x:c>
      <x:c r="Q20" s="86"/>
    </x:row>
    <x:row r="21" ht="24" customHeight="1">
      <x:c r="A21" s="14" t="n">
        <x:v>46269</x:v>
      </x:c>
      <x:c r="B21" t="str">
        <x:v>00:30</x:v>
      </x:c>
      <x:c r="C21" t="str">
        <x:v>Chưa chạy</x:v>
      </x:c>
      <x:c r="D21"/>
      <x:c r="E21" s="52"/>
      <x:c r="F21" s="52"/>
      <x:c r="G21" s="53" t="str">
        <x:f>IF(OR(E21="",F21=""),"",(F21-E21)*24)</x:f>
      </x:c>
      <x:c r="H21" s="126"/>
      <x:c r="I21" s="126"/>
      <x:c r="J21" s="126"/>
      <x:c r="K21" s="126"/>
      <x:c r="L21" s="126"/>
      <x:c r="M21" s="126"/>
      <x:c r="N21" s="126"/>
      <x:c r="O21" s="126"/>
      <x:c r="P21" s="126" t="n">
        <x:v>12</x:v>
      </x:c>
      <x:c r="Q21" s="86"/>
    </x:row>
    <x:row r="22" ht="24" customHeight="1">
      <x:c r="A22" s="14" t="n">
        <x:v>46270</x:v>
      </x:c>
      <x:c r="B22" t="str">
        <x:v>00:30</x:v>
      </x:c>
      <x:c r="C22" t="str">
        <x:v>Chưa chạy</x:v>
      </x:c>
      <x:c r="D22"/>
      <x:c r="E22" s="52"/>
      <x:c r="F22" s="52"/>
      <x:c r="G22" s="53" t="str">
        <x:f>IF(OR(E22="",F22=""),"",(F22-E22)*24)</x:f>
      </x:c>
      <x:c r="H22" s="126"/>
      <x:c r="I22" s="126"/>
      <x:c r="J22" s="126"/>
      <x:c r="K22" s="126"/>
      <x:c r="L22" s="126"/>
      <x:c r="M22" s="126"/>
      <x:c r="N22" s="126"/>
      <x:c r="O22" s="126"/>
      <x:c r="P22" s="126" t="n">
        <x:v>12</x:v>
      </x:c>
      <x:c r="Q22" s="86"/>
    </x:row>
    <x:row r="23" ht="24" customHeight="1">
      <x:c r="A23" s="14" t="n">
        <x:v>46271</x:v>
      </x:c>
      <x:c r="B23" t="str">
        <x:v>00:30</x:v>
      </x:c>
      <x:c r="C23" t="str">
        <x:v>Chưa chạy</x:v>
      </x:c>
      <x:c r="D23"/>
      <x:c r="E23" s="52"/>
      <x:c r="F23" s="52"/>
      <x:c r="G23" s="53" t="str">
        <x:f>IF(OR(E23="",F23=""),"",(F23-E23)*24)</x:f>
      </x:c>
      <x:c r="H23" s="126"/>
      <x:c r="I23" s="126"/>
      <x:c r="J23" s="126"/>
      <x:c r="K23" s="126"/>
      <x:c r="L23" s="126"/>
      <x:c r="M23" s="126"/>
      <x:c r="N23" s="126"/>
      <x:c r="O23" s="126"/>
      <x:c r="P23" s="126" t="n">
        <x:v>12</x:v>
      </x:c>
      <x:c r="Q23" s="86"/>
    </x:row>
    <x:row r="24" ht="24" customHeight="1">
      <x:c r="A24" s="14" t="n">
        <x:v>46272</x:v>
      </x:c>
      <x:c r="B24" t="str">
        <x:v>00:30</x:v>
      </x:c>
      <x:c r="C24" t="str">
        <x:v>Chưa chạy</x:v>
      </x:c>
      <x:c r="D24"/>
      <x:c r="E24" s="52"/>
      <x:c r="F24" s="52"/>
      <x:c r="G24" s="53" t="str">
        <x:f>IF(OR(E24="",F24=""),"",(F24-E24)*24)</x:f>
      </x:c>
      <x:c r="H24" s="126"/>
      <x:c r="I24" s="126"/>
      <x:c r="J24" s="126"/>
      <x:c r="K24" s="126"/>
      <x:c r="L24" s="126"/>
      <x:c r="M24" s="126"/>
      <x:c r="N24" s="126"/>
      <x:c r="O24" s="126"/>
      <x:c r="P24" s="126" t="n">
        <x:v>12</x:v>
      </x:c>
      <x:c r="Q24" s="86"/>
    </x:row>
    <x:row r="25" ht="24" customHeight="1">
      <x:c r="A25" s="14" t="n">
        <x:v>46273</x:v>
      </x:c>
      <x:c r="B25" t="str">
        <x:v>00:30</x:v>
      </x:c>
      <x:c r="C25" t="str">
        <x:v>Chưa chạy</x:v>
      </x:c>
      <x:c r="D25"/>
      <x:c r="E25" s="52"/>
      <x:c r="F25" s="52"/>
      <x:c r="G25" s="53" t="str">
        <x:f>IF(OR(E25="",F25=""),"",(F25-E25)*24)</x:f>
      </x:c>
      <x:c r="H25" s="126"/>
      <x:c r="I25" s="126"/>
      <x:c r="J25" s="126"/>
      <x:c r="K25" s="126"/>
      <x:c r="L25" s="126"/>
      <x:c r="M25" s="126"/>
      <x:c r="N25" s="126"/>
      <x:c r="O25" s="126"/>
      <x:c r="P25" s="126" t="n">
        <x:v>12</x:v>
      </x:c>
      <x:c r="Q25" s="86"/>
    </x:row>
    <x:row r="26" ht="24" customHeight="1">
      <x:c r="A26" s="14" t="n">
        <x:v>46274</x:v>
      </x:c>
      <x:c r="B26" t="str">
        <x:v>00:30</x:v>
      </x:c>
      <x:c r="C26" t="str">
        <x:v>Chưa chạy</x:v>
      </x:c>
      <x:c r="D26"/>
      <x:c r="E26" s="52"/>
      <x:c r="F26" s="52"/>
      <x:c r="G26" s="53" t="str">
        <x:f>IF(OR(E26="",F26=""),"",(F26-E26)*24)</x:f>
      </x:c>
      <x:c r="H26" s="126"/>
      <x:c r="I26" s="126"/>
      <x:c r="J26" s="126"/>
      <x:c r="K26" s="126"/>
      <x:c r="L26" s="126"/>
      <x:c r="M26" s="126"/>
      <x:c r="N26" s="126"/>
      <x:c r="O26" s="126"/>
      <x:c r="P26" s="126" t="n">
        <x:v>12</x:v>
      </x:c>
      <x:c r="Q26" s="86"/>
    </x:row>
    <x:row r="27" ht="24" customHeight="1">
      <x:c r="A27" s="14" t="n">
        <x:v>46275</x:v>
      </x:c>
      <x:c r="B27" t="str">
        <x:v>00:30</x:v>
      </x:c>
      <x:c r="C27" t="str">
        <x:v>Chưa chạy</x:v>
      </x:c>
      <x:c r="D27"/>
      <x:c r="E27" s="52"/>
      <x:c r="F27" s="52"/>
      <x:c r="G27" s="53" t="str">
        <x:f>IF(OR(E27="",F27=""),"",(F27-E27)*24)</x:f>
      </x:c>
      <x:c r="H27" s="126"/>
      <x:c r="I27" s="126"/>
      <x:c r="J27" s="126"/>
      <x:c r="K27" s="126"/>
      <x:c r="L27" s="126"/>
      <x:c r="M27" s="126"/>
      <x:c r="N27" s="126"/>
      <x:c r="O27" s="126"/>
      <x:c r="P27" s="126" t="n">
        <x:v>12</x:v>
      </x:c>
      <x:c r="Q27" s="86"/>
    </x:row>
    <x:row r="28" ht="24" customHeight="1">
      <x:c r="A28" s="14" t="n">
        <x:v>46276</x:v>
      </x:c>
      <x:c r="B28" t="str">
        <x:v>00:30</x:v>
      </x:c>
      <x:c r="C28" t="str">
        <x:v>Chưa chạy</x:v>
      </x:c>
      <x:c r="D28"/>
      <x:c r="E28" s="52"/>
      <x:c r="F28" s="52"/>
      <x:c r="G28" s="53" t="str">
        <x:f>IF(OR(E28="",F28=""),"",(F28-E28)*24)</x:f>
      </x:c>
      <x:c r="H28" s="126"/>
      <x:c r="I28" s="126"/>
      <x:c r="J28" s="126"/>
      <x:c r="K28" s="126"/>
      <x:c r="L28" s="126"/>
      <x:c r="M28" s="126"/>
      <x:c r="N28" s="126"/>
      <x:c r="O28" s="126"/>
      <x:c r="P28" s="126" t="n">
        <x:v>12</x:v>
      </x:c>
      <x:c r="Q28" s="86"/>
    </x:row>
    <x:row r="29" ht="24" customHeight="1">
      <x:c r="A29" s="14" t="n">
        <x:v>46277</x:v>
      </x:c>
      <x:c r="B29" t="str">
        <x:v>00:30</x:v>
      </x:c>
      <x:c r="C29" t="str">
        <x:v>Chưa chạy</x:v>
      </x:c>
      <x:c r="D29"/>
      <x:c r="E29" s="52"/>
      <x:c r="F29" s="52"/>
      <x:c r="G29" s="53" t="str">
        <x:f>IF(OR(E29="",F29=""),"",(F29-E29)*24)</x:f>
      </x:c>
      <x:c r="H29" s="126"/>
      <x:c r="I29" s="126"/>
      <x:c r="J29" s="126"/>
      <x:c r="K29" s="126"/>
      <x:c r="L29" s="126"/>
      <x:c r="M29" s="126"/>
      <x:c r="N29" s="126"/>
      <x:c r="O29" s="126"/>
      <x:c r="P29" s="126" t="n">
        <x:v>12</x:v>
      </x:c>
      <x:c r="Q29" s="86"/>
    </x:row>
    <x:row r="30" ht="24" customHeight="1">
      <x:c r="A30" s="14" t="n">
        <x:v>46278</x:v>
      </x:c>
      <x:c r="B30" t="str">
        <x:v>00:30</x:v>
      </x:c>
      <x:c r="C30" t="str">
        <x:v>Chưa chạy</x:v>
      </x:c>
      <x:c r="D30"/>
      <x:c r="E30" s="52"/>
      <x:c r="F30" s="52"/>
      <x:c r="G30" s="53" t="str">
        <x:f>IF(OR(E30="",F30=""),"",(F30-E30)*24)</x:f>
      </x:c>
      <x:c r="H30" s="126"/>
      <x:c r="I30" s="126"/>
      <x:c r="J30" s="126"/>
      <x:c r="K30" s="126"/>
      <x:c r="L30" s="126"/>
      <x:c r="M30" s="126"/>
      <x:c r="N30" s="126"/>
      <x:c r="O30" s="126"/>
      <x:c r="P30" s="126" t="n">
        <x:v>12</x:v>
      </x:c>
      <x:c r="Q30" s="86"/>
    </x:row>
    <x:row r="31" ht="24" customHeight="1">
      <x:c r="A31" s="14" t="n">
        <x:v>46279</x:v>
      </x:c>
      <x:c r="B31" t="str">
        <x:v>00:30</x:v>
      </x:c>
      <x:c r="C31" t="str">
        <x:v>Chưa chạy</x:v>
      </x:c>
      <x:c r="D31"/>
      <x:c r="E31" s="52"/>
      <x:c r="F31" s="52"/>
      <x:c r="G31" s="53" t="str">
        <x:f>IF(OR(E31="",F31=""),"",(F31-E31)*24)</x:f>
      </x:c>
      <x:c r="H31" s="126"/>
      <x:c r="I31" s="126"/>
      <x:c r="J31" s="126"/>
      <x:c r="K31" s="126"/>
      <x:c r="L31" s="126"/>
      <x:c r="M31" s="126"/>
      <x:c r="N31" s="126"/>
      <x:c r="O31" s="126"/>
      <x:c r="P31" s="126" t="n">
        <x:v>12</x:v>
      </x:c>
      <x:c r="Q31" s="86"/>
    </x:row>
    <x:row r="32" ht="24" customHeight="1">
      <x:c r="A32" s="14" t="n">
        <x:v>46280</x:v>
      </x:c>
      <x:c r="B32" t="str">
        <x:v>00:30</x:v>
      </x:c>
      <x:c r="C32" t="str">
        <x:v>Chưa chạy</x:v>
      </x:c>
      <x:c r="D32"/>
      <x:c r="E32" s="52"/>
      <x:c r="F32" s="52"/>
      <x:c r="G32" s="53" t="str">
        <x:f>IF(OR(E32="",F32=""),"",(F32-E32)*24)</x:f>
      </x:c>
      <x:c r="H32" s="126"/>
      <x:c r="I32" s="126"/>
      <x:c r="J32" s="126"/>
      <x:c r="K32" s="126"/>
      <x:c r="L32" s="126"/>
      <x:c r="M32" s="126"/>
      <x:c r="N32" s="126"/>
      <x:c r="O32" s="126"/>
      <x:c r="P32" s="126" t="n">
        <x:v>12</x:v>
      </x:c>
      <x:c r="Q32" s="86"/>
    </x:row>
    <x:row r="33" ht="24" customHeight="1">
      <x:c r="A33" s="14" t="n">
        <x:v>46281</x:v>
      </x:c>
      <x:c r="B33" t="str">
        <x:v>00:30</x:v>
      </x:c>
      <x:c r="C33" t="str">
        <x:v>Chưa chạy</x:v>
      </x:c>
      <x:c r="D33"/>
      <x:c r="E33" s="52"/>
      <x:c r="F33" s="52"/>
      <x:c r="G33" s="53" t="str">
        <x:f>IF(OR(E33="",F33=""),"",(F33-E33)*24)</x:f>
      </x:c>
      <x:c r="H33" s="126"/>
      <x:c r="I33" s="126"/>
      <x:c r="J33" s="126"/>
      <x:c r="K33" s="126"/>
      <x:c r="L33" s="126"/>
      <x:c r="M33" s="126"/>
      <x:c r="N33" s="126"/>
      <x:c r="O33" s="126"/>
      <x:c r="P33" s="126" t="n">
        <x:v>12</x:v>
      </x:c>
      <x:c r="Q33" s="86"/>
    </x:row>
    <x:row r="34" ht="24" customHeight="1">
      <x:c r="A34" s="14" t="n">
        <x:v>46282</x:v>
      </x:c>
      <x:c r="B34" t="str">
        <x:v>00:30</x:v>
      </x:c>
      <x:c r="C34" t="str">
        <x:v>Chưa chạy</x:v>
      </x:c>
      <x:c r="D34"/>
      <x:c r="E34" s="52"/>
      <x:c r="F34" s="52"/>
      <x:c r="G34" s="53" t="str">
        <x:f>IF(OR(E34="",F34=""),"",(F34-E34)*24)</x:f>
      </x:c>
      <x:c r="H34" s="126"/>
      <x:c r="I34" s="126"/>
      <x:c r="J34" s="126"/>
      <x:c r="K34" s="126"/>
      <x:c r="L34" s="126"/>
      <x:c r="M34" s="126"/>
      <x:c r="N34" s="126"/>
      <x:c r="O34" s="126"/>
      <x:c r="P34" s="126" t="n">
        <x:v>12</x:v>
      </x:c>
      <x:c r="Q34" s="86"/>
    </x:row>
    <x:row r="35" ht="24" customHeight="1">
      <x:c r="A35" s="14" t="n">
        <x:v>46283</x:v>
      </x:c>
      <x:c r="B35" t="str">
        <x:v>00:30</x:v>
      </x:c>
      <x:c r="C35" t="str">
        <x:v>Chưa chạy</x:v>
      </x:c>
      <x:c r="D35"/>
      <x:c r="E35" s="52"/>
      <x:c r="F35" s="52"/>
      <x:c r="G35" s="53" t="str">
        <x:f>IF(OR(E35="",F35=""),"",(F35-E35)*24)</x:f>
      </x:c>
      <x:c r="H35" s="126"/>
      <x:c r="I35" s="126"/>
      <x:c r="J35" s="126"/>
      <x:c r="K35" s="126"/>
      <x:c r="L35" s="126"/>
      <x:c r="M35" s="126"/>
      <x:c r="N35" s="126"/>
      <x:c r="O35" s="126"/>
      <x:c r="P35" s="126" t="n">
        <x:v>12</x:v>
      </x:c>
      <x:c r="Q35" s="86"/>
    </x:row>
    <x:row r="36" ht="24" customHeight="1">
      <x:c r="A36" s="14" t="n">
        <x:v>46284</x:v>
      </x:c>
      <x:c r="B36" t="str">
        <x:v>00:30</x:v>
      </x:c>
      <x:c r="C36" t="str">
        <x:v>Chưa chạy</x:v>
      </x:c>
      <x:c r="D36"/>
      <x:c r="E36" s="52"/>
      <x:c r="F36" s="52"/>
      <x:c r="G36" s="53" t="str">
        <x:f>IF(OR(E36="",F36=""),"",(F36-E36)*24)</x:f>
      </x:c>
      <x:c r="H36" s="126"/>
      <x:c r="I36" s="126"/>
      <x:c r="J36" s="126"/>
      <x:c r="K36" s="126"/>
      <x:c r="L36" s="126"/>
      <x:c r="M36" s="126"/>
      <x:c r="N36" s="126"/>
      <x:c r="O36" s="126"/>
      <x:c r="P36" s="126" t="n">
        <x:v>12</x:v>
      </x:c>
      <x:c r="Q36" s="86"/>
    </x:row>
    <x:row r="37" ht="24" customHeight="1">
      <x:c r="A37" s="14" t="n">
        <x:v>46285</x:v>
      </x:c>
      <x:c r="B37" t="str">
        <x:v>00:30</x:v>
      </x:c>
      <x:c r="C37" t="str">
        <x:v>Chưa chạy</x:v>
      </x:c>
      <x:c r="D37"/>
      <x:c r="E37" s="52"/>
      <x:c r="F37" s="52"/>
      <x:c r="G37" s="53" t="str">
        <x:f>IF(OR(E37="",F37=""),"",(F37-E37)*24)</x:f>
      </x:c>
      <x:c r="H37" s="126"/>
      <x:c r="I37" s="126"/>
      <x:c r="J37" s="126"/>
      <x:c r="K37" s="126"/>
      <x:c r="L37" s="126"/>
      <x:c r="M37" s="126"/>
      <x:c r="N37" s="126"/>
      <x:c r="O37" s="126"/>
      <x:c r="P37" s="126" t="n">
        <x:v>12</x:v>
      </x:c>
      <x:c r="Q37" s="86"/>
    </x:row>
    <x:row r="38" ht="24" customHeight="1">
      <x:c r="A38" s="14" t="n">
        <x:v>46286</x:v>
      </x:c>
      <x:c r="B38" t="str">
        <x:v>00:30</x:v>
      </x:c>
      <x:c r="C38" t="str">
        <x:v>Chưa chạy</x:v>
      </x:c>
      <x:c r="D38"/>
      <x:c r="E38" s="52"/>
      <x:c r="F38" s="52"/>
      <x:c r="G38" s="53" t="str">
        <x:f>IF(OR(E38="",F38=""),"",(F38-E38)*24)</x:f>
      </x:c>
      <x:c r="H38" s="126"/>
      <x:c r="I38" s="126"/>
      <x:c r="J38" s="126"/>
      <x:c r="K38" s="126"/>
      <x:c r="L38" s="126"/>
      <x:c r="M38" s="126"/>
      <x:c r="N38" s="126"/>
      <x:c r="O38" s="126"/>
      <x:c r="P38" s="126" t="n">
        <x:v>12</x:v>
      </x:c>
      <x:c r="Q38" s="86"/>
    </x:row>
    <x:row r="39" ht="24" customHeight="1">
      <x:c r="A39" s="14" t="n">
        <x:v>46287</x:v>
      </x:c>
      <x:c r="B39" t="str">
        <x:v>00:30</x:v>
      </x:c>
      <x:c r="C39" t="str">
        <x:v>Chưa chạy</x:v>
      </x:c>
      <x:c r="D39"/>
      <x:c r="E39" s="52"/>
      <x:c r="F39" s="52"/>
      <x:c r="G39" s="53" t="str">
        <x:f>IF(OR(E39="",F39=""),"",(F39-E39)*24)</x:f>
      </x:c>
      <x:c r="H39" s="126"/>
      <x:c r="I39" s="126"/>
      <x:c r="J39" s="126"/>
      <x:c r="K39" s="126"/>
      <x:c r="L39" s="126"/>
      <x:c r="M39" s="126"/>
      <x:c r="N39" s="126"/>
      <x:c r="O39" s="126"/>
      <x:c r="P39" s="126" t="n">
        <x:v>12</x:v>
      </x:c>
      <x:c r="Q39" s="86"/>
    </x:row>
    <x:row r="40" ht="24" customHeight="1">
      <x:c r="A40" s="14" t="n">
        <x:v>46288</x:v>
      </x:c>
      <x:c r="B40" t="str">
        <x:v>00:30</x:v>
      </x:c>
      <x:c r="C40" t="str">
        <x:v>Chưa chạy</x:v>
      </x:c>
      <x:c r="D40"/>
      <x:c r="E40" s="52"/>
      <x:c r="F40" s="52"/>
      <x:c r="G40" s="53" t="str">
        <x:f>IF(OR(E40="",F40=""),"",(F40-E40)*24)</x:f>
      </x:c>
      <x:c r="H40" s="126"/>
      <x:c r="I40" s="126"/>
      <x:c r="J40" s="126"/>
      <x:c r="K40" s="126"/>
      <x:c r="L40" s="126"/>
      <x:c r="M40" s="126"/>
      <x:c r="N40" s="126"/>
      <x:c r="O40" s="126"/>
      <x:c r="P40" s="126" t="n">
        <x:v>12</x:v>
      </x:c>
      <x:c r="Q40" s="86"/>
    </x:row>
    <x:row r="41" ht="24" customHeight="1">
      <x:c r="A41" s="14" t="n">
        <x:v>46289</x:v>
      </x:c>
      <x:c r="B41" t="str">
        <x:v>00:30</x:v>
      </x:c>
      <x:c r="C41" t="str">
        <x:v>Chưa chạy</x:v>
      </x:c>
      <x:c r="D41"/>
      <x:c r="E41" s="52"/>
      <x:c r="F41" s="52"/>
      <x:c r="G41" s="53" t="str">
        <x:f>IF(OR(E41="",F41=""),"",(F41-E41)*24)</x:f>
      </x:c>
      <x:c r="H41" s="126"/>
      <x:c r="I41" s="126"/>
      <x:c r="J41" s="126"/>
      <x:c r="K41" s="126"/>
      <x:c r="L41" s="126"/>
      <x:c r="M41" s="126"/>
      <x:c r="N41" s="126"/>
      <x:c r="O41" s="126"/>
      <x:c r="P41" s="126" t="n">
        <x:v>12</x:v>
      </x:c>
      <x:c r="Q41" s="86"/>
    </x:row>
    <x:row r="42" ht="24" customHeight="1">
      <x:c r="A42" s="14" t="n">
        <x:v>46290</x:v>
      </x:c>
      <x:c r="B42" t="str">
        <x:v>00:30</x:v>
      </x:c>
      <x:c r="C42" t="str">
        <x:v>Chưa chạy</x:v>
      </x:c>
      <x:c r="D42"/>
      <x:c r="E42" s="52"/>
      <x:c r="F42" s="52"/>
      <x:c r="G42" s="53" t="str">
        <x:f>IF(OR(E42="",F42=""),"",(F42-E42)*24)</x:f>
      </x:c>
      <x:c r="H42" s="126"/>
      <x:c r="I42" s="126"/>
      <x:c r="J42" s="126"/>
      <x:c r="K42" s="126"/>
      <x:c r="L42" s="126"/>
      <x:c r="M42" s="126"/>
      <x:c r="N42" s="126"/>
      <x:c r="O42" s="126"/>
      <x:c r="P42" s="126" t="n">
        <x:v>12</x:v>
      </x:c>
      <x:c r="Q42" s="86"/>
    </x:row>
    <x:row r="43" ht="24" customHeight="1">
      <x:c r="A43" s="14" t="n">
        <x:v>46291</x:v>
      </x:c>
      <x:c r="B43" t="str">
        <x:v>00:30</x:v>
      </x:c>
      <x:c r="C43" t="str">
        <x:v>Chưa chạy</x:v>
      </x:c>
      <x:c r="D43"/>
      <x:c r="E43" s="52"/>
      <x:c r="F43" s="52"/>
      <x:c r="G43" s="53" t="str">
        <x:f>IF(OR(E43="",F43=""),"",(F43-E43)*24)</x:f>
      </x:c>
      <x:c r="H43" s="126"/>
      <x:c r="I43" s="126"/>
      <x:c r="J43" s="126"/>
      <x:c r="K43" s="126"/>
      <x:c r="L43" s="126"/>
      <x:c r="M43" s="126"/>
      <x:c r="N43" s="126"/>
      <x:c r="O43" s="126"/>
      <x:c r="P43" s="126" t="n">
        <x:v>12</x:v>
      </x:c>
      <x:c r="Q43" s="86"/>
    </x:row>
    <x:row r="44" ht="24" customHeight="1">
      <x:c r="A44" s="14" t="n">
        <x:v>46292</x:v>
      </x:c>
      <x:c r="B44" t="str">
        <x:v>00:30</x:v>
      </x:c>
      <x:c r="C44" t="str">
        <x:v>Chưa chạy</x:v>
      </x:c>
      <x:c r="D44"/>
      <x:c r="E44" s="52"/>
      <x:c r="F44" s="52"/>
      <x:c r="G44" s="53" t="str">
        <x:f>IF(OR(E44="",F44=""),"",(F44-E44)*24)</x:f>
      </x:c>
      <x:c r="H44" s="126"/>
      <x:c r="I44" s="126"/>
      <x:c r="J44" s="126"/>
      <x:c r="K44" s="126"/>
      <x:c r="L44" s="126"/>
      <x:c r="M44" s="126"/>
      <x:c r="N44" s="126"/>
      <x:c r="O44" s="126"/>
      <x:c r="P44" s="126" t="n">
        <x:v>12</x:v>
      </x:c>
      <x:c r="Q44" s="86"/>
    </x:row>
    <x:row r="45" ht="24" customHeight="1">
      <x:c r="A45" s="14" t="n">
        <x:v>46293</x:v>
      </x:c>
      <x:c r="B45" t="str">
        <x:v>00:30</x:v>
      </x:c>
      <x:c r="C45" t="str">
        <x:v>Chưa chạy</x:v>
      </x:c>
      <x:c r="D45"/>
      <x:c r="E45" s="52"/>
      <x:c r="F45" s="52"/>
      <x:c r="G45" s="53" t="str">
        <x:f>IF(OR(E45="",F45=""),"",(F45-E45)*24)</x:f>
      </x:c>
      <x:c r="H45" s="126"/>
      <x:c r="I45" s="126"/>
      <x:c r="J45" s="126"/>
      <x:c r="K45" s="126"/>
      <x:c r="L45" s="126"/>
      <x:c r="M45" s="126"/>
      <x:c r="N45" s="126"/>
      <x:c r="O45" s="126"/>
      <x:c r="P45" s="126" t="n">
        <x:v>12</x:v>
      </x:c>
      <x:c r="Q45" s="86"/>
    </x:row>
    <x:row r="46" ht="24" customHeight="1">
      <x:c r="A46" s="14" t="n">
        <x:v>46294</x:v>
      </x:c>
      <x:c r="B46" t="str">
        <x:v>00:30</x:v>
      </x:c>
      <x:c r="C46" t="str">
        <x:v>Chưa chạy</x:v>
      </x:c>
      <x:c r="D46"/>
      <x:c r="E46" s="52"/>
      <x:c r="F46" s="52"/>
      <x:c r="G46" s="53" t="str">
        <x:f>IF(OR(E46="",F46=""),"",(F46-E46)*24)</x:f>
      </x:c>
      <x:c r="H46" s="126"/>
      <x:c r="I46" s="126"/>
      <x:c r="J46" s="126"/>
      <x:c r="K46" s="126"/>
      <x:c r="L46" s="126"/>
      <x:c r="M46" s="126"/>
      <x:c r="N46" s="126"/>
      <x:c r="O46" s="126"/>
      <x:c r="P46" s="126" t="n">
        <x:v>12</x:v>
      </x:c>
      <x:c r="Q46" s="86"/>
    </x:row>
    <x:row r="47" ht="24" customHeight="1">
      <x:c r="A47" s="14" t="n">
        <x:v>46295</x:v>
      </x:c>
      <x:c r="B47" t="str">
        <x:v>00:30</x:v>
      </x:c>
      <x:c r="C47" t="str">
        <x:v>Chưa chạy</x:v>
      </x:c>
      <x:c r="D47"/>
      <x:c r="E47" s="52"/>
      <x:c r="F47" s="52"/>
      <x:c r="G47" s="53" t="str">
        <x:f>IF(OR(E47="",F47=""),"",(F47-E47)*24)</x:f>
      </x:c>
      <x:c r="H47" s="126"/>
      <x:c r="I47" s="126"/>
      <x:c r="J47" s="126"/>
      <x:c r="K47" s="126"/>
      <x:c r="L47" s="126"/>
      <x:c r="M47" s="126"/>
      <x:c r="N47" s="126"/>
      <x:c r="O47" s="126"/>
      <x:c r="P47" s="126" t="n">
        <x:v>12</x:v>
      </x:c>
      <x:c r="Q47" s="86"/>
    </x:row>
    <x:row r="48" ht="24" customHeight="1">
      <x:c r="A48" s="14" t="n">
        <x:v>46296</x:v>
      </x:c>
      <x:c r="B48" t="str">
        <x:v>00:30</x:v>
      </x:c>
      <x:c r="C48" t="str">
        <x:v>Chưa chạy</x:v>
      </x:c>
      <x:c r="D48"/>
      <x:c r="E48" s="52"/>
      <x:c r="F48" s="52"/>
      <x:c r="G48" s="53" t="str">
        <x:f>IF(OR(E48="",F48=""),"",(F48-E48)*24)</x:f>
      </x:c>
      <x:c r="H48" s="126"/>
      <x:c r="I48" s="126"/>
      <x:c r="J48" s="126"/>
      <x:c r="K48" s="126"/>
      <x:c r="L48" s="126"/>
      <x:c r="M48" s="126"/>
      <x:c r="N48" s="126"/>
      <x:c r="O48" s="126"/>
      <x:c r="P48" s="126" t="n">
        <x:v>12</x:v>
      </x:c>
      <x:c r="Q48" s="86"/>
    </x:row>
    <x:row r="49" ht="24" customHeight="1">
      <x:c r="A49" s="14" t="n">
        <x:v>46297</x:v>
      </x:c>
      <x:c r="B49" t="str">
        <x:v>00:30</x:v>
      </x:c>
      <x:c r="C49" t="str">
        <x:v>Chưa chạy</x:v>
      </x:c>
      <x:c r="D49"/>
      <x:c r="E49" s="52"/>
      <x:c r="F49" s="52"/>
      <x:c r="G49" s="53" t="str">
        <x:f>IF(OR(E49="",F49=""),"",(F49-E49)*24)</x:f>
      </x:c>
      <x:c r="H49" s="126"/>
      <x:c r="I49" s="126"/>
      <x:c r="J49" s="126"/>
      <x:c r="K49" s="126"/>
      <x:c r="L49" s="126"/>
      <x:c r="M49" s="126"/>
      <x:c r="N49" s="126"/>
      <x:c r="O49" s="126"/>
      <x:c r="P49" s="126" t="n">
        <x:v>12</x:v>
      </x:c>
      <x:c r="Q49" s="86"/>
    </x:row>
    <x:row r="50" ht="24" customHeight="1">
      <x:c r="A50" s="14" t="n">
        <x:v>46298</x:v>
      </x:c>
      <x:c r="B50" t="str">
        <x:v>00:30</x:v>
      </x:c>
      <x:c r="C50" t="str">
        <x:v>Chưa chạy</x:v>
      </x:c>
      <x:c r="D50"/>
      <x:c r="E50" s="52"/>
      <x:c r="F50" s="52"/>
      <x:c r="G50" s="53" t="str">
        <x:f>IF(OR(E50="",F50=""),"",(F50-E50)*24)</x:f>
      </x:c>
      <x:c r="H50" s="126"/>
      <x:c r="I50" s="126"/>
      <x:c r="J50" s="126"/>
      <x:c r="K50" s="126"/>
      <x:c r="L50" s="126"/>
      <x:c r="M50" s="126"/>
      <x:c r="N50" s="126"/>
      <x:c r="O50" s="126"/>
      <x:c r="P50" s="126" t="n">
        <x:v>12</x:v>
      </x:c>
      <x:c r="Q50" s="86"/>
    </x:row>
    <x:row r="51" ht="24" customHeight="1">
      <x:c r="A51" s="14" t="n">
        <x:v>46299</x:v>
      </x:c>
      <x:c r="B51" t="str">
        <x:v>00:30</x:v>
      </x:c>
      <x:c r="C51" t="str">
        <x:v>Chưa chạy</x:v>
      </x:c>
      <x:c r="D51"/>
      <x:c r="E51" s="52"/>
      <x:c r="F51" s="52"/>
      <x:c r="G51" s="53" t="str">
        <x:f>IF(OR(E51="",F51=""),"",(F51-E51)*24)</x:f>
      </x:c>
      <x:c r="H51" s="126"/>
      <x:c r="I51" s="126"/>
      <x:c r="J51" s="126"/>
      <x:c r="K51" s="126"/>
      <x:c r="L51" s="126"/>
      <x:c r="M51" s="126"/>
      <x:c r="N51" s="126"/>
      <x:c r="O51" s="126"/>
      <x:c r="P51" s="126" t="n">
        <x:v>12</x:v>
      </x:c>
      <x:c r="Q51" s="86"/>
    </x:row>
    <x:row r="52" ht="24" customHeight="1">
      <x:c r="A52" s="14" t="n">
        <x:v>46300</x:v>
      </x:c>
      <x:c r="B52" t="str">
        <x:v>00:30</x:v>
      </x:c>
      <x:c r="C52" t="str">
        <x:v>Chưa chạy</x:v>
      </x:c>
      <x:c r="D52"/>
      <x:c r="E52" s="52"/>
      <x:c r="F52" s="52"/>
      <x:c r="G52" s="53" t="str">
        <x:f>IF(OR(E52="",F52=""),"",(F52-E52)*24)</x:f>
      </x:c>
      <x:c r="H52" s="126"/>
      <x:c r="I52" s="126"/>
      <x:c r="J52" s="126"/>
      <x:c r="K52" s="126"/>
      <x:c r="L52" s="126"/>
      <x:c r="M52" s="126"/>
      <x:c r="N52" s="126"/>
      <x:c r="O52" s="126"/>
      <x:c r="P52" s="126" t="n">
        <x:v>12</x:v>
      </x:c>
      <x:c r="Q52" s="86"/>
    </x:row>
    <x:row r="53" ht="24" customHeight="1">
      <x:c r="A53" s="14" t="n">
        <x:v>46301</x:v>
      </x:c>
      <x:c r="B53" t="str">
        <x:v>00:30</x:v>
      </x:c>
      <x:c r="C53" t="str">
        <x:v>Chưa chạy</x:v>
      </x:c>
      <x:c r="D53"/>
      <x:c r="E53" s="52"/>
      <x:c r="F53" s="52"/>
      <x:c r="G53" s="53" t="str">
        <x:f>IF(OR(E53="",F53=""),"",(F53-E53)*24)</x:f>
      </x:c>
      <x:c r="H53" s="126"/>
      <x:c r="I53" s="126"/>
      <x:c r="J53" s="126"/>
      <x:c r="K53" s="126"/>
      <x:c r="L53" s="126"/>
      <x:c r="M53" s="126"/>
      <x:c r="N53" s="126"/>
      <x:c r="O53" s="126"/>
      <x:c r="P53" s="126" t="n">
        <x:v>12</x:v>
      </x:c>
      <x:c r="Q53" s="86"/>
    </x:row>
    <x:row r="54" ht="24" customHeight="1">
      <x:c r="A54" s="14" t="n">
        <x:v>46302</x:v>
      </x:c>
      <x:c r="B54" t="str">
        <x:v>00:30</x:v>
      </x:c>
      <x:c r="C54" t="str">
        <x:v>Chưa chạy</x:v>
      </x:c>
      <x:c r="D54"/>
      <x:c r="E54" s="52"/>
      <x:c r="F54" s="52"/>
      <x:c r="G54" s="53" t="str">
        <x:f>IF(OR(E54="",F54=""),"",(F54-E54)*24)</x:f>
      </x:c>
      <x:c r="H54" s="126"/>
      <x:c r="I54" s="126"/>
      <x:c r="J54" s="126"/>
      <x:c r="K54" s="126"/>
      <x:c r="L54" s="126"/>
      <x:c r="M54" s="126"/>
      <x:c r="N54" s="126"/>
      <x:c r="O54" s="126"/>
      <x:c r="P54" s="126" t="n">
        <x:v>12</x:v>
      </x:c>
      <x:c r="Q54" s="86"/>
    </x:row>
    <x:row r="55" ht="24" customHeight="1">
      <x:c r="A55" s="14" t="n">
        <x:v>46303</x:v>
      </x:c>
      <x:c r="B55" t="str">
        <x:v>00:30</x:v>
      </x:c>
      <x:c r="C55" t="str">
        <x:v>Chưa chạy</x:v>
      </x:c>
      <x:c r="D55"/>
      <x:c r="E55" s="52"/>
      <x:c r="F55" s="52"/>
      <x:c r="G55" s="53" t="str">
        <x:f>IF(OR(E55="",F55=""),"",(F55-E55)*24)</x:f>
      </x:c>
      <x:c r="H55" s="126"/>
      <x:c r="I55" s="126"/>
      <x:c r="J55" s="126"/>
      <x:c r="K55" s="126"/>
      <x:c r="L55" s="126"/>
      <x:c r="M55" s="126"/>
      <x:c r="N55" s="126"/>
      <x:c r="O55" s="126"/>
      <x:c r="P55" s="126" t="n">
        <x:v>12</x:v>
      </x:c>
      <x:c r="Q55" s="86"/>
    </x:row>
    <x:row r="56" ht="24" customHeight="1">
      <x:c r="A56" s="14" t="n">
        <x:v>46304</x:v>
      </x:c>
      <x:c r="B56" t="str">
        <x:v>00:30</x:v>
      </x:c>
      <x:c r="C56" t="str">
        <x:v>Chưa chạy</x:v>
      </x:c>
      <x:c r="D56"/>
      <x:c r="E56" s="52"/>
      <x:c r="F56" s="52"/>
      <x:c r="G56" s="53" t="str">
        <x:f>IF(OR(E56="",F56=""),"",(F56-E56)*24)</x:f>
      </x:c>
      <x:c r="H56" s="126"/>
      <x:c r="I56" s="126"/>
      <x:c r="J56" s="126"/>
      <x:c r="K56" s="126"/>
      <x:c r="L56" s="126"/>
      <x:c r="M56" s="126"/>
      <x:c r="N56" s="126"/>
      <x:c r="O56" s="126"/>
      <x:c r="P56" s="126" t="n">
        <x:v>12</x:v>
      </x:c>
      <x:c r="Q56" s="86"/>
    </x:row>
    <x:row r="57" ht="24" customHeight="1">
      <x:c r="A57" s="14" t="n">
        <x:v>46305</x:v>
      </x:c>
      <x:c r="B57" t="str">
        <x:v>00:30</x:v>
      </x:c>
      <x:c r="C57" t="str">
        <x:v>Chưa chạy</x:v>
      </x:c>
      <x:c r="D57"/>
      <x:c r="E57" s="52"/>
      <x:c r="F57" s="52"/>
      <x:c r="G57" s="53" t="str">
        <x:f>IF(OR(E57="",F57=""),"",(F57-E57)*24)</x:f>
      </x:c>
      <x:c r="H57" s="126"/>
      <x:c r="I57" s="126"/>
      <x:c r="J57" s="126"/>
      <x:c r="K57" s="126"/>
      <x:c r="L57" s="126"/>
      <x:c r="M57" s="126"/>
      <x:c r="N57" s="126"/>
      <x:c r="O57" s="126"/>
      <x:c r="P57" s="126" t="n">
        <x:v>12</x:v>
      </x:c>
      <x:c r="Q57" s="86"/>
    </x:row>
    <x:row r="58" ht="24" customHeight="1">
      <x:c r="A58" s="14" t="n">
        <x:v>46306</x:v>
      </x:c>
      <x:c r="B58" t="str">
        <x:v>00:30</x:v>
      </x:c>
      <x:c r="C58" t="str">
        <x:v>Chưa chạy</x:v>
      </x:c>
      <x:c r="D58"/>
      <x:c r="E58" s="52"/>
      <x:c r="F58" s="52"/>
      <x:c r="G58" s="53" t="str">
        <x:f>IF(OR(E58="",F58=""),"",(F58-E58)*24)</x:f>
      </x:c>
      <x:c r="H58" s="126"/>
      <x:c r="I58" s="126"/>
      <x:c r="J58" s="126"/>
      <x:c r="K58" s="126"/>
      <x:c r="L58" s="126"/>
      <x:c r="M58" s="126"/>
      <x:c r="N58" s="126"/>
      <x:c r="O58" s="126"/>
      <x:c r="P58" s="126" t="n">
        <x:v>12</x:v>
      </x:c>
      <x:c r="Q58" s="86"/>
    </x:row>
    <x:row r="59" ht="24" customHeight="1">
      <x:c r="A59" s="14" t="n">
        <x:v>46307</x:v>
      </x:c>
      <x:c r="B59" t="str">
        <x:v>00:30</x:v>
      </x:c>
      <x:c r="C59" t="str">
        <x:v>Chưa chạy</x:v>
      </x:c>
      <x:c r="D59"/>
      <x:c r="E59" s="52"/>
      <x:c r="F59" s="52"/>
      <x:c r="G59" s="53" t="str">
        <x:f>IF(OR(E59="",F59=""),"",(F59-E59)*24)</x:f>
      </x:c>
      <x:c r="H59" s="126"/>
      <x:c r="I59" s="126"/>
      <x:c r="J59" s="126"/>
      <x:c r="K59" s="126"/>
      <x:c r="L59" s="126"/>
      <x:c r="M59" s="126"/>
      <x:c r="N59" s="126"/>
      <x:c r="O59" s="126"/>
      <x:c r="P59" s="126" t="n">
        <x:v>12</x:v>
      </x:c>
      <x:c r="Q59" s="86"/>
    </x:row>
    <x:row r="60" ht="24" customHeight="1">
      <x:c r="A60" s="14" t="n">
        <x:v>46308</x:v>
      </x:c>
      <x:c r="B60" t="str">
        <x:v>00:30</x:v>
      </x:c>
      <x:c r="C60" t="str">
        <x:v>Chưa chạy</x:v>
      </x:c>
      <x:c r="D60"/>
      <x:c r="E60" s="52"/>
      <x:c r="F60" s="52"/>
      <x:c r="G60" s="53" t="str">
        <x:f>IF(OR(E60="",F60=""),"",(F60-E60)*24)</x:f>
      </x:c>
      <x:c r="H60" s="126"/>
      <x:c r="I60" s="126"/>
      <x:c r="J60" s="126"/>
      <x:c r="K60" s="126"/>
      <x:c r="L60" s="126"/>
      <x:c r="M60" s="126"/>
      <x:c r="N60" s="126"/>
      <x:c r="O60" s="126"/>
      <x:c r="P60" s="126" t="n">
        <x:v>12</x:v>
      </x:c>
      <x:c r="Q60" s="86"/>
    </x:row>
    <x:row r="61" ht="24" customHeight="1">
      <x:c r="A61" s="14" t="n">
        <x:v>46309</x:v>
      </x:c>
      <x:c r="B61" t="str">
        <x:v>00:30</x:v>
      </x:c>
      <x:c r="C61" t="str">
        <x:v>Chưa chạy</x:v>
      </x:c>
      <x:c r="D61"/>
      <x:c r="E61" s="52"/>
      <x:c r="F61" s="52"/>
      <x:c r="G61" s="53" t="str">
        <x:f>IF(OR(E61="",F61=""),"",(F61-E61)*24)</x:f>
      </x:c>
      <x:c r="H61" s="126"/>
      <x:c r="I61" s="126"/>
      <x:c r="J61" s="126"/>
      <x:c r="K61" s="126"/>
      <x:c r="L61" s="126"/>
      <x:c r="M61" s="126"/>
      <x:c r="N61" s="126"/>
      <x:c r="O61" s="126"/>
      <x:c r="P61" s="126" t="n">
        <x:v>12</x:v>
      </x:c>
      <x:c r="Q61" s="86"/>
    </x:row>
    <x:row r="62" ht="24" customHeight="1">
      <x:c r="A62" s="14" t="n">
        <x:v>46310</x:v>
      </x:c>
      <x:c r="B62" t="str">
        <x:v>00:30</x:v>
      </x:c>
      <x:c r="C62" t="str">
        <x:v>Chưa chạy</x:v>
      </x:c>
      <x:c r="D62"/>
      <x:c r="E62" s="52"/>
      <x:c r="F62" s="52"/>
      <x:c r="G62" s="53" t="str">
        <x:f>IF(OR(E62="",F62=""),"",(F62-E62)*24)</x:f>
      </x:c>
      <x:c r="H62" s="126"/>
      <x:c r="I62" s="126"/>
      <x:c r="J62" s="126"/>
      <x:c r="K62" s="126"/>
      <x:c r="L62" s="126"/>
      <x:c r="M62" s="126"/>
      <x:c r="N62" s="126"/>
      <x:c r="O62" s="126"/>
      <x:c r="P62" s="126" t="n">
        <x:v>12</x:v>
      </x:c>
      <x:c r="Q62" s="86"/>
    </x:row>
    <x:row r="63" ht="24" customHeight="1">
      <x:c r="A63" s="14" t="n">
        <x:v>46311</x:v>
      </x:c>
      <x:c r="B63" t="str">
        <x:v>00:30</x:v>
      </x:c>
      <x:c r="C63" t="str">
        <x:v>Chưa chạy</x:v>
      </x:c>
      <x:c r="D63"/>
      <x:c r="E63" s="52"/>
      <x:c r="F63" s="52"/>
      <x:c r="G63" s="53" t="str">
        <x:f>IF(OR(E63="",F63=""),"",(F63-E63)*24)</x:f>
      </x:c>
      <x:c r="H63" s="126"/>
      <x:c r="I63" s="126"/>
      <x:c r="J63" s="126"/>
      <x:c r="K63" s="126"/>
      <x:c r="L63" s="126"/>
      <x:c r="M63" s="126"/>
      <x:c r="N63" s="126"/>
      <x:c r="O63" s="126"/>
      <x:c r="P63" s="126" t="n">
        <x:v>12</x:v>
      </x:c>
      <x:c r="Q63" s="86"/>
    </x:row>
    <x:row r="64" ht="24" customHeight="1">
      <x:c r="A64" s="14" t="n">
        <x:v>46312</x:v>
      </x:c>
      <x:c r="B64" t="str">
        <x:v>00:30</x:v>
      </x:c>
      <x:c r="C64" t="str">
        <x:v>Chưa chạy</x:v>
      </x:c>
      <x:c r="D64"/>
      <x:c r="E64" s="52"/>
      <x:c r="F64" s="52"/>
      <x:c r="G64" s="53" t="str">
        <x:f>IF(OR(E64="",F64=""),"",(F64-E64)*24)</x:f>
      </x:c>
      <x:c r="H64" s="126"/>
      <x:c r="I64" s="126"/>
      <x:c r="J64" s="126"/>
      <x:c r="K64" s="126"/>
      <x:c r="L64" s="126"/>
      <x:c r="M64" s="126"/>
      <x:c r="N64" s="126"/>
      <x:c r="O64" s="126"/>
      <x:c r="P64" s="126" t="n">
        <x:v>12</x:v>
      </x:c>
      <x:c r="Q64" s="86"/>
    </x:row>
    <x:row r="65" ht="24" customHeight="1">
      <x:c r="A65" s="14" t="n">
        <x:v>46313</x:v>
      </x:c>
      <x:c r="B65" t="str">
        <x:v>00:30</x:v>
      </x:c>
      <x:c r="C65" t="str">
        <x:v>Chưa chạy</x:v>
      </x:c>
      <x:c r="D65"/>
      <x:c r="E65" s="52"/>
      <x:c r="F65" s="52"/>
      <x:c r="G65" s="53" t="str">
        <x:f>IF(OR(E65="",F65=""),"",(F65-E65)*24)</x:f>
      </x:c>
      <x:c r="H65" s="126"/>
      <x:c r="I65" s="126"/>
      <x:c r="J65" s="126"/>
      <x:c r="K65" s="126"/>
      <x:c r="L65" s="126"/>
      <x:c r="M65" s="126"/>
      <x:c r="N65" s="126"/>
      <x:c r="O65" s="126"/>
      <x:c r="P65" s="126" t="n">
        <x:v>12</x:v>
      </x:c>
      <x:c r="Q65" s="86"/>
    </x:row>
    <x:row r="66" ht="24" customHeight="1">
      <x:c r="A66" s="14" t="n">
        <x:v>46314</x:v>
      </x:c>
      <x:c r="B66" t="str">
        <x:v>00:30</x:v>
      </x:c>
      <x:c r="C66" t="str">
        <x:v>Chưa chạy</x:v>
      </x:c>
      <x:c r="D66"/>
      <x:c r="E66" s="52"/>
      <x:c r="F66" s="52"/>
      <x:c r="G66" s="53" t="str">
        <x:f>IF(OR(E66="",F66=""),"",(F66-E66)*24)</x:f>
      </x:c>
      <x:c r="H66" s="126"/>
      <x:c r="I66" s="126"/>
      <x:c r="J66" s="126"/>
      <x:c r="K66" s="126"/>
      <x:c r="L66" s="126"/>
      <x:c r="M66" s="126"/>
      <x:c r="N66" s="126"/>
      <x:c r="O66" s="126"/>
      <x:c r="P66" s="126" t="n">
        <x:v>12</x:v>
      </x:c>
      <x:c r="Q66" s="86"/>
    </x:row>
    <x:row r="67" ht="24" customHeight="1">
      <x:c r="A67" s="14" t="n">
        <x:v>46315</x:v>
      </x:c>
      <x:c r="B67" t="str">
        <x:v>00:30</x:v>
      </x:c>
      <x:c r="C67" t="str">
        <x:v>Chưa chạy</x:v>
      </x:c>
      <x:c r="D67"/>
      <x:c r="E67" s="52"/>
      <x:c r="F67" s="52"/>
      <x:c r="G67" s="53" t="str">
        <x:f>IF(OR(E67="",F67=""),"",(F67-E67)*24)</x:f>
      </x:c>
      <x:c r="H67" s="126"/>
      <x:c r="I67" s="126"/>
      <x:c r="J67" s="126"/>
      <x:c r="K67" s="126"/>
      <x:c r="L67" s="126"/>
      <x:c r="M67" s="126"/>
      <x:c r="N67" s="126"/>
      <x:c r="O67" s="126"/>
      <x:c r="P67" s="126" t="n">
        <x:v>12</x:v>
      </x:c>
      <x:c r="Q67" s="86"/>
    </x:row>
    <x:row r="68" ht="24" customHeight="1">
      <x:c r="A68" s="14" t="n">
        <x:v>46316</x:v>
      </x:c>
      <x:c r="B68" t="str">
        <x:v>00:30</x:v>
      </x:c>
      <x:c r="C68" t="str">
        <x:v>Chưa chạy</x:v>
      </x:c>
      <x:c r="D68"/>
      <x:c r="E68" s="52"/>
      <x:c r="F68" s="52"/>
      <x:c r="G68" s="53" t="str">
        <x:f>IF(OR(E68="",F68=""),"",(F68-E68)*24)</x:f>
      </x:c>
      <x:c r="H68" s="126"/>
      <x:c r="I68" s="126"/>
      <x:c r="J68" s="126"/>
      <x:c r="K68" s="126"/>
      <x:c r="L68" s="126"/>
      <x:c r="M68" s="126"/>
      <x:c r="N68" s="126"/>
      <x:c r="O68" s="126"/>
      <x:c r="P68" s="126" t="n">
        <x:v>12</x:v>
      </x:c>
      <x:c r="Q68" s="86"/>
    </x:row>
    <x:row r="69" ht="24" customHeight="1">
      <x:c r="A69" s="14" t="n">
        <x:v>46317</x:v>
      </x:c>
      <x:c r="B69" t="str">
        <x:v>00:30</x:v>
      </x:c>
      <x:c r="C69" t="str">
        <x:v>Chưa chạy</x:v>
      </x:c>
      <x:c r="D69"/>
      <x:c r="E69" s="52"/>
      <x:c r="F69" s="52"/>
      <x:c r="G69" s="53" t="str">
        <x:f>IF(OR(E69="",F69=""),"",(F69-E69)*24)</x:f>
      </x:c>
      <x:c r="H69" s="126"/>
      <x:c r="I69" s="126"/>
      <x:c r="J69" s="126"/>
      <x:c r="K69" s="126"/>
      <x:c r="L69" s="126"/>
      <x:c r="M69" s="126"/>
      <x:c r="N69" s="126"/>
      <x:c r="O69" s="126"/>
      <x:c r="P69" s="126" t="n">
        <x:v>12</x:v>
      </x:c>
      <x:c r="Q69" s="86"/>
    </x:row>
    <x:row r="70" ht="24" customHeight="1">
      <x:c r="A70" s="14" t="n">
        <x:v>46318</x:v>
      </x:c>
      <x:c r="B70" t="str">
        <x:v>00:30</x:v>
      </x:c>
      <x:c r="C70" t="str">
        <x:v>Chưa chạy</x:v>
      </x:c>
      <x:c r="D70"/>
      <x:c r="E70" s="52"/>
      <x:c r="F70" s="52"/>
      <x:c r="G70" s="53" t="str">
        <x:f>IF(OR(E70="",F70=""),"",(F70-E70)*24)</x:f>
      </x:c>
      <x:c r="H70" s="126"/>
      <x:c r="I70" s="126"/>
      <x:c r="J70" s="126"/>
      <x:c r="K70" s="126"/>
      <x:c r="L70" s="126"/>
      <x:c r="M70" s="126"/>
      <x:c r="N70" s="126"/>
      <x:c r="O70" s="126"/>
      <x:c r="P70" s="126" t="n">
        <x:v>12</x:v>
      </x:c>
      <x:c r="Q70" s="86"/>
    </x:row>
    <x:row r="71" ht="24" customHeight="1">
      <x:c r="A71" s="14" t="n">
        <x:v>46319</x:v>
      </x:c>
      <x:c r="B71" t="str">
        <x:v>00:30</x:v>
      </x:c>
      <x:c r="C71" t="str">
        <x:v>Chưa chạy</x:v>
      </x:c>
      <x:c r="D71"/>
      <x:c r="E71" s="52"/>
      <x:c r="F71" s="52"/>
      <x:c r="G71" s="53" t="str">
        <x:f>IF(OR(E71="",F71=""),"",(F71-E71)*24)</x:f>
      </x:c>
      <x:c r="H71" s="126"/>
      <x:c r="I71" s="126"/>
      <x:c r="J71" s="126"/>
      <x:c r="K71" s="126"/>
      <x:c r="L71" s="126"/>
      <x:c r="M71" s="126"/>
      <x:c r="N71" s="126"/>
      <x:c r="O71" s="126"/>
      <x:c r="P71" s="126" t="n">
        <x:v>12</x:v>
      </x:c>
      <x:c r="Q71" s="86"/>
    </x:row>
    <x:row r="72" ht="24" customHeight="1">
      <x:c r="A72" s="14" t="n">
        <x:v>46320</x:v>
      </x:c>
      <x:c r="B72" t="str">
        <x:v>00:30</x:v>
      </x:c>
      <x:c r="C72" t="str">
        <x:v>Chưa chạy</x:v>
      </x:c>
      <x:c r="D72"/>
      <x:c r="E72" s="52"/>
      <x:c r="F72" s="52"/>
      <x:c r="G72" s="53" t="str">
        <x:f>IF(OR(E72="",F72=""),"",(F72-E72)*24)</x:f>
      </x:c>
      <x:c r="H72" s="126"/>
      <x:c r="I72" s="126"/>
      <x:c r="J72" s="126"/>
      <x:c r="K72" s="126"/>
      <x:c r="L72" s="126"/>
      <x:c r="M72" s="126"/>
      <x:c r="N72" s="126"/>
      <x:c r="O72" s="126"/>
      <x:c r="P72" s="126" t="n">
        <x:v>12</x:v>
      </x:c>
      <x:c r="Q72" s="86"/>
    </x:row>
    <x:row r="73" ht="24" customHeight="1">
      <x:c r="A73" s="14" t="n">
        <x:v>46321</x:v>
      </x:c>
      <x:c r="B73" t="str">
        <x:v>00:30</x:v>
      </x:c>
      <x:c r="C73" t="str">
        <x:v>Chưa chạy</x:v>
      </x:c>
      <x:c r="D73"/>
      <x:c r="E73" s="52"/>
      <x:c r="F73" s="52"/>
      <x:c r="G73" s="53" t="str">
        <x:f>IF(OR(E73="",F73=""),"",(F73-E73)*24)</x:f>
      </x:c>
      <x:c r="H73" s="126"/>
      <x:c r="I73" s="126"/>
      <x:c r="J73" s="126"/>
      <x:c r="K73" s="126"/>
      <x:c r="L73" s="126"/>
      <x:c r="M73" s="126"/>
      <x:c r="N73" s="126"/>
      <x:c r="O73" s="126"/>
      <x:c r="P73" s="126" t="n">
        <x:v>12</x:v>
      </x:c>
      <x:c r="Q73" s="86"/>
    </x:row>
    <x:row r="74" ht="24" customHeight="1">
      <x:c r="A74" s="14" t="n">
        <x:v>46322</x:v>
      </x:c>
      <x:c r="B74" t="str">
        <x:v>00:30</x:v>
      </x:c>
      <x:c r="C74" t="str">
        <x:v>Chưa chạy</x:v>
      </x:c>
      <x:c r="D74"/>
      <x:c r="E74" s="52"/>
      <x:c r="F74" s="52"/>
      <x:c r="G74" s="53" t="str">
        <x:f>IF(OR(E74="",F74=""),"",(F74-E74)*24)</x:f>
      </x:c>
      <x:c r="H74" s="126"/>
      <x:c r="I74" s="126"/>
      <x:c r="J74" s="126"/>
      <x:c r="K74" s="126"/>
      <x:c r="L74" s="126"/>
      <x:c r="M74" s="126"/>
      <x:c r="N74" s="126"/>
      <x:c r="O74" s="126"/>
      <x:c r="P74" s="126" t="n">
        <x:v>12</x:v>
      </x:c>
      <x:c r="Q74" s="86"/>
    </x:row>
    <x:row r="75" ht="24" customHeight="1">
      <x:c r="A75" s="14" t="n">
        <x:v>46323</x:v>
      </x:c>
      <x:c r="B75" t="str">
        <x:v>00:30</x:v>
      </x:c>
      <x:c r="C75" t="str">
        <x:v>Chưa chạy</x:v>
      </x:c>
      <x:c r="D75"/>
      <x:c r="E75" s="52"/>
      <x:c r="F75" s="52"/>
      <x:c r="G75" s="53" t="str">
        <x:f>IF(OR(E75="",F75=""),"",(F75-E75)*24)</x:f>
      </x:c>
      <x:c r="H75" s="126"/>
      <x:c r="I75" s="126"/>
      <x:c r="J75" s="126"/>
      <x:c r="K75" s="126"/>
      <x:c r="L75" s="126"/>
      <x:c r="M75" s="126"/>
      <x:c r="N75" s="126"/>
      <x:c r="O75" s="126"/>
      <x:c r="P75" s="126" t="n">
        <x:v>12</x:v>
      </x:c>
      <x:c r="Q75" s="86"/>
    </x:row>
    <x:row r="76" ht="24" customHeight="1">
      <x:c r="A76" s="14" t="n">
        <x:v>46324</x:v>
      </x:c>
      <x:c r="B76" t="str">
        <x:v>00:30</x:v>
      </x:c>
      <x:c r="C76" t="str">
        <x:v>Chưa chạy</x:v>
      </x:c>
      <x:c r="D76"/>
      <x:c r="E76" s="52"/>
      <x:c r="F76" s="52"/>
      <x:c r="G76" s="53" t="str">
        <x:f>IF(OR(E76="",F76=""),"",(F76-E76)*24)</x:f>
      </x:c>
      <x:c r="H76" s="126"/>
      <x:c r="I76" s="126"/>
      <x:c r="J76" s="126"/>
      <x:c r="K76" s="126"/>
      <x:c r="L76" s="126"/>
      <x:c r="M76" s="126"/>
      <x:c r="N76" s="126"/>
      <x:c r="O76" s="126"/>
      <x:c r="P76" s="126" t="n">
        <x:v>12</x:v>
      </x:c>
      <x:c r="Q76" s="86"/>
    </x:row>
    <x:row r="77" ht="24" customHeight="1">
      <x:c r="A77" s="14" t="n">
        <x:v>46325</x:v>
      </x:c>
      <x:c r="B77" t="str">
        <x:v>00:30</x:v>
      </x:c>
      <x:c r="C77" t="str">
        <x:v>Chưa chạy</x:v>
      </x:c>
      <x:c r="D77"/>
      <x:c r="E77" s="52"/>
      <x:c r="F77" s="52"/>
      <x:c r="G77" s="53" t="str">
        <x:f>IF(OR(E77="",F77=""),"",(F77-E77)*24)</x:f>
      </x:c>
      <x:c r="H77" s="126"/>
      <x:c r="I77" s="126"/>
      <x:c r="J77" s="126"/>
      <x:c r="K77" s="126"/>
      <x:c r="L77" s="126"/>
      <x:c r="M77" s="126"/>
      <x:c r="N77" s="126"/>
      <x:c r="O77" s="126"/>
      <x:c r="P77" s="126" t="n">
        <x:v>12</x:v>
      </x:c>
      <x:c r="Q77" s="86"/>
    </x:row>
    <x:row r="78" ht="24" customHeight="1">
      <x:c r="A78" s="14" t="n">
        <x:v>46326</x:v>
      </x:c>
      <x:c r="B78" t="str">
        <x:v>00:30</x:v>
      </x:c>
      <x:c r="C78" t="str">
        <x:v>Chưa chạy</x:v>
      </x:c>
      <x:c r="D78"/>
      <x:c r="E78" s="52"/>
      <x:c r="F78" s="52"/>
      <x:c r="G78" s="53" t="str">
        <x:f>IF(OR(E78="",F78=""),"",(F78-E78)*24)</x:f>
      </x:c>
      <x:c r="H78" s="126"/>
      <x:c r="I78" s="126"/>
      <x:c r="J78" s="126"/>
      <x:c r="K78" s="126"/>
      <x:c r="L78" s="126"/>
      <x:c r="M78" s="126"/>
      <x:c r="N78" s="126"/>
      <x:c r="O78" s="126"/>
      <x:c r="P78" s="126" t="n">
        <x:v>12</x:v>
      </x:c>
      <x:c r="Q78" s="86"/>
    </x:row>
    <x:row r="79" ht="24" customHeight="1">
      <x:c r="A79" s="14" t="n">
        <x:v>46327</x:v>
      </x:c>
      <x:c r="B79" t="str">
        <x:v>00:30</x:v>
      </x:c>
      <x:c r="C79" t="str">
        <x:v>Chưa chạy</x:v>
      </x:c>
      <x:c r="D79"/>
      <x:c r="E79" s="52"/>
      <x:c r="F79" s="52"/>
      <x:c r="G79" s="53" t="str">
        <x:f>IF(OR(E79="",F79=""),"",(F79-E79)*24)</x:f>
      </x:c>
      <x:c r="H79" s="126"/>
      <x:c r="I79" s="126"/>
      <x:c r="J79" s="126"/>
      <x:c r="K79" s="126"/>
      <x:c r="L79" s="126"/>
      <x:c r="M79" s="126"/>
      <x:c r="N79" s="126"/>
      <x:c r="O79" s="126"/>
      <x:c r="P79" s="126" t="n">
        <x:v>12</x:v>
      </x:c>
      <x:c r="Q79" s="86"/>
    </x:row>
    <x:row r="80" ht="24" customHeight="1">
      <x:c r="A80" s="14" t="n">
        <x:v>46328</x:v>
      </x:c>
      <x:c r="B80" t="str">
        <x:v>00:30</x:v>
      </x:c>
      <x:c r="C80" t="str">
        <x:v>Chưa chạy</x:v>
      </x:c>
      <x:c r="D80"/>
      <x:c r="E80" s="52"/>
      <x:c r="F80" s="52"/>
      <x:c r="G80" s="53" t="str">
        <x:f>IF(OR(E80="",F80=""),"",(F80-E80)*24)</x:f>
      </x:c>
      <x:c r="H80" s="126"/>
      <x:c r="I80" s="126"/>
      <x:c r="J80" s="126"/>
      <x:c r="K80" s="126"/>
      <x:c r="L80" s="126"/>
      <x:c r="M80" s="126"/>
      <x:c r="N80" s="126"/>
      <x:c r="O80" s="126"/>
      <x:c r="P80" s="126" t="n">
        <x:v>12</x:v>
      </x:c>
      <x:c r="Q80" s="86"/>
    </x:row>
    <x:row r="81" ht="24" customHeight="1">
      <x:c r="A81" s="14" t="n">
        <x:v>46329</x:v>
      </x:c>
      <x:c r="B81" t="str">
        <x:v>00:30</x:v>
      </x:c>
      <x:c r="C81" t="str">
        <x:v>Chưa chạy</x:v>
      </x:c>
      <x:c r="D81"/>
      <x:c r="E81" s="52"/>
      <x:c r="F81" s="52"/>
      <x:c r="G81" s="53" t="str">
        <x:f>IF(OR(E81="",F81=""),"",(F81-E81)*24)</x:f>
      </x:c>
      <x:c r="H81" s="126"/>
      <x:c r="I81" s="126"/>
      <x:c r="J81" s="126"/>
      <x:c r="K81" s="126"/>
      <x:c r="L81" s="126"/>
      <x:c r="M81" s="126"/>
      <x:c r="N81" s="126"/>
      <x:c r="O81" s="126"/>
      <x:c r="P81" s="126" t="n">
        <x:v>12</x:v>
      </x:c>
      <x:c r="Q81" s="86"/>
    </x:row>
    <x:row r="82" ht="24" customHeight="1">
      <x:c r="A82" s="14" t="n">
        <x:v>46330</x:v>
      </x:c>
      <x:c r="B82" t="str">
        <x:v>00:30</x:v>
      </x:c>
      <x:c r="C82" t="str">
        <x:v>Chưa chạy</x:v>
      </x:c>
      <x:c r="D82"/>
      <x:c r="E82" s="52"/>
      <x:c r="F82" s="52"/>
      <x:c r="G82" s="53" t="str">
        <x:f>IF(OR(E82="",F82=""),"",(F82-E82)*24)</x:f>
      </x:c>
      <x:c r="H82" s="126"/>
      <x:c r="I82" s="126"/>
      <x:c r="J82" s="126"/>
      <x:c r="K82" s="126"/>
      <x:c r="L82" s="126"/>
      <x:c r="M82" s="126"/>
      <x:c r="N82" s="126"/>
      <x:c r="O82" s="126"/>
      <x:c r="P82" s="126" t="n">
        <x:v>12</x:v>
      </x:c>
      <x:c r="Q82" s="86"/>
    </x:row>
    <x:row r="83" ht="24" customHeight="1">
      <x:c r="A83" s="14" t="n">
        <x:v>46331</x:v>
      </x:c>
      <x:c r="B83" t="str">
        <x:v>00:30</x:v>
      </x:c>
      <x:c r="C83" t="str">
        <x:v>Chưa chạy</x:v>
      </x:c>
      <x:c r="D83"/>
      <x:c r="E83" s="52"/>
      <x:c r="F83" s="52"/>
      <x:c r="G83" s="53" t="str">
        <x:f>IF(OR(E83="",F83=""),"",(F83-E83)*24)</x:f>
      </x:c>
      <x:c r="H83" s="126"/>
      <x:c r="I83" s="126"/>
      <x:c r="J83" s="126"/>
      <x:c r="K83" s="126"/>
      <x:c r="L83" s="126"/>
      <x:c r="M83" s="126"/>
      <x:c r="N83" s="126"/>
      <x:c r="O83" s="126"/>
      <x:c r="P83" s="126" t="n">
        <x:v>12</x:v>
      </x:c>
      <x:c r="Q83" s="86"/>
    </x:row>
    <x:row r="84" ht="24" customHeight="1">
      <x:c r="A84" s="14" t="n">
        <x:v>46332</x:v>
      </x:c>
      <x:c r="B84" t="str">
        <x:v>00:30</x:v>
      </x:c>
      <x:c r="C84" t="str">
        <x:v>Chưa chạy</x:v>
      </x:c>
      <x:c r="D84"/>
      <x:c r="E84" s="52"/>
      <x:c r="F84" s="52"/>
      <x:c r="G84" s="53" t="str">
        <x:f>IF(OR(E84="",F84=""),"",(F84-E84)*24)</x:f>
      </x:c>
      <x:c r="H84" s="126"/>
      <x:c r="I84" s="126"/>
      <x:c r="J84" s="126"/>
      <x:c r="K84" s="126"/>
      <x:c r="L84" s="126"/>
      <x:c r="M84" s="126"/>
      <x:c r="N84" s="126"/>
      <x:c r="O84" s="126"/>
      <x:c r="P84" s="126" t="n">
        <x:v>12</x:v>
      </x:c>
      <x:c r="Q84" s="86"/>
    </x:row>
    <x:row r="85" ht="24" customHeight="1">
      <x:c r="A85" s="14" t="n">
        <x:v>46333</x:v>
      </x:c>
      <x:c r="B85" t="str">
        <x:v>00:30</x:v>
      </x:c>
      <x:c r="C85" t="str">
        <x:v>Chưa chạy</x:v>
      </x:c>
      <x:c r="D85"/>
      <x:c r="E85" s="52"/>
      <x:c r="F85" s="52"/>
      <x:c r="G85" s="53" t="str">
        <x:f>IF(OR(E85="",F85=""),"",(F85-E85)*24)</x:f>
      </x:c>
      <x:c r="H85" s="126"/>
      <x:c r="I85" s="126"/>
      <x:c r="J85" s="126"/>
      <x:c r="K85" s="126"/>
      <x:c r="L85" s="126"/>
      <x:c r="M85" s="126"/>
      <x:c r="N85" s="126"/>
      <x:c r="O85" s="126"/>
      <x:c r="P85" s="126" t="n">
        <x:v>12</x:v>
      </x:c>
      <x:c r="Q85" s="86"/>
    </x:row>
    <x:row r="86" ht="24" customHeight="1">
      <x:c r="A86" s="14" t="n">
        <x:v>46334</x:v>
      </x:c>
      <x:c r="B86" t="str">
        <x:v>00:30</x:v>
      </x:c>
      <x:c r="C86" t="str">
        <x:v>Chưa chạy</x:v>
      </x:c>
      <x:c r="D86"/>
      <x:c r="E86" s="52"/>
      <x:c r="F86" s="52"/>
      <x:c r="G86" s="53" t="str">
        <x:f>IF(OR(E86="",F86=""),"",(F86-E86)*24)</x:f>
      </x:c>
      <x:c r="H86" s="126"/>
      <x:c r="I86" s="126"/>
      <x:c r="J86" s="126"/>
      <x:c r="K86" s="126"/>
      <x:c r="L86" s="126"/>
      <x:c r="M86" s="126"/>
      <x:c r="N86" s="126"/>
      <x:c r="O86" s="126"/>
      <x:c r="P86" s="126" t="n">
        <x:v>12</x:v>
      </x:c>
      <x:c r="Q86" s="86"/>
    </x:row>
    <x:row r="87" ht="24" customHeight="1">
      <x:c r="A87" s="14" t="n">
        <x:v>46335</x:v>
      </x:c>
      <x:c r="B87" t="str">
        <x:v>00:30</x:v>
      </x:c>
      <x:c r="C87" t="str">
        <x:v>Chưa chạy</x:v>
      </x:c>
      <x:c r="D87"/>
      <x:c r="E87" s="52"/>
      <x:c r="F87" s="52"/>
      <x:c r="G87" s="53" t="str">
        <x:f>IF(OR(E87="",F87=""),"",(F87-E87)*24)</x:f>
      </x:c>
      <x:c r="H87" s="126"/>
      <x:c r="I87" s="126"/>
      <x:c r="J87" s="126"/>
      <x:c r="K87" s="126"/>
      <x:c r="L87" s="126"/>
      <x:c r="M87" s="126"/>
      <x:c r="N87" s="126"/>
      <x:c r="O87" s="126"/>
      <x:c r="P87" s="126" t="n">
        <x:v>12</x:v>
      </x:c>
      <x:c r="Q87" s="86"/>
    </x:row>
    <x:row r="88" ht="24" customHeight="1">
      <x:c r="A88" s="14" t="n">
        <x:v>46336</x:v>
      </x:c>
      <x:c r="B88" t="str">
        <x:v>00:30</x:v>
      </x:c>
      <x:c r="C88" t="str">
        <x:v>Chưa chạy</x:v>
      </x:c>
      <x:c r="D88"/>
      <x:c r="E88" s="52"/>
      <x:c r="F88" s="52"/>
      <x:c r="G88" s="53" t="str">
        <x:f>IF(OR(E88="",F88=""),"",(F88-E88)*24)</x:f>
      </x:c>
      <x:c r="H88" s="126"/>
      <x:c r="I88" s="126"/>
      <x:c r="J88" s="126"/>
      <x:c r="K88" s="126"/>
      <x:c r="L88" s="126"/>
      <x:c r="M88" s="126"/>
      <x:c r="N88" s="126"/>
      <x:c r="O88" s="126"/>
      <x:c r="P88" s="126" t="n">
        <x:v>12</x:v>
      </x:c>
      <x:c r="Q88" s="86"/>
    </x:row>
    <x:row r="89" ht="24" customHeight="1">
      <x:c r="A89" s="14" t="n">
        <x:v>46337</x:v>
      </x:c>
      <x:c r="B89" t="str">
        <x:v>00:30</x:v>
      </x:c>
      <x:c r="C89" t="str">
        <x:v>Chưa chạy</x:v>
      </x:c>
      <x:c r="D89"/>
      <x:c r="E89" s="52"/>
      <x:c r="F89" s="52"/>
      <x:c r="G89" s="53" t="str">
        <x:f>IF(OR(E89="",F89=""),"",(F89-E89)*24)</x:f>
      </x:c>
      <x:c r="H89" s="126"/>
      <x:c r="I89" s="126"/>
      <x:c r="J89" s="126"/>
      <x:c r="K89" s="126"/>
      <x:c r="L89" s="126"/>
      <x:c r="M89" s="126"/>
      <x:c r="N89" s="126"/>
      <x:c r="O89" s="126"/>
      <x:c r="P89" s="126" t="n">
        <x:v>12</x:v>
      </x:c>
      <x:c r="Q89" s="86"/>
    </x:row>
    <x:row r="90" ht="24" customHeight="1">
      <x:c r="A90" s="14" t="n">
        <x:v>46338</x:v>
      </x:c>
      <x:c r="B90" t="str">
        <x:v>00:30</x:v>
      </x:c>
      <x:c r="C90" t="str">
        <x:v>Chưa chạy</x:v>
      </x:c>
      <x:c r="D90"/>
      <x:c r="E90" s="52"/>
      <x:c r="F90" s="52"/>
      <x:c r="G90" s="53" t="str">
        <x:f>IF(OR(E90="",F90=""),"",(F90-E90)*24)</x:f>
      </x:c>
      <x:c r="H90" s="126"/>
      <x:c r="I90" s="126"/>
      <x:c r="J90" s="126"/>
      <x:c r="K90" s="126"/>
      <x:c r="L90" s="126"/>
      <x:c r="M90" s="126"/>
      <x:c r="N90" s="126"/>
      <x:c r="O90" s="126"/>
      <x:c r="P90" s="126" t="n">
        <x:v>12</x:v>
      </x:c>
      <x:c r="Q90" s="86"/>
    </x:row>
    <x:row r="91" ht="24" customHeight="1">
      <x:c r="A91" s="14" t="n">
        <x:v>46339</x:v>
      </x:c>
      <x:c r="B91" t="str">
        <x:v>00:30</x:v>
      </x:c>
      <x:c r="C91" t="str">
        <x:v>Chưa chạy</x:v>
      </x:c>
      <x:c r="D91"/>
      <x:c r="E91" s="52"/>
      <x:c r="F91" s="52"/>
      <x:c r="G91" s="53" t="str">
        <x:f>IF(OR(E91="",F91=""),"",(F91-E91)*24)</x:f>
      </x:c>
      <x:c r="H91" s="126"/>
      <x:c r="I91" s="126"/>
      <x:c r="J91" s="126"/>
      <x:c r="K91" s="126"/>
      <x:c r="L91" s="126"/>
      <x:c r="M91" s="126"/>
      <x:c r="N91" s="126"/>
      <x:c r="O91" s="126"/>
      <x:c r="P91" s="126" t="n">
        <x:v>12</x:v>
      </x:c>
      <x:c r="Q91" s="86"/>
    </x:row>
    <x:row r="92" ht="24" customHeight="1">
      <x:c r="A92" s="14" t="n">
        <x:v>46340</x:v>
      </x:c>
      <x:c r="B92" t="str">
        <x:v>00:30</x:v>
      </x:c>
      <x:c r="C92" t="str">
        <x:v>Chưa chạy</x:v>
      </x:c>
      <x:c r="D92"/>
      <x:c r="E92" s="52"/>
      <x:c r="F92" s="52"/>
      <x:c r="G92" s="53" t="str">
        <x:f>IF(OR(E92="",F92=""),"",(F92-E92)*24)</x:f>
      </x:c>
      <x:c r="H92" s="126"/>
      <x:c r="I92" s="126"/>
      <x:c r="J92" s="126"/>
      <x:c r="K92" s="126"/>
      <x:c r="L92" s="126"/>
      <x:c r="M92" s="126"/>
      <x:c r="N92" s="126"/>
      <x:c r="O92" s="126"/>
      <x:c r="P92" s="126" t="n">
        <x:v>12</x:v>
      </x:c>
      <x:c r="Q92" s="86"/>
    </x:row>
    <x:row r="93" ht="24" customHeight="1">
      <x:c r="A93" s="14" t="n">
        <x:v>46341</x:v>
      </x:c>
      <x:c r="B93" t="str">
        <x:v>00:30</x:v>
      </x:c>
      <x:c r="C93" t="str">
        <x:v>Chưa chạy</x:v>
      </x:c>
      <x:c r="D93"/>
      <x:c r="E93" s="52"/>
      <x:c r="F93" s="52"/>
      <x:c r="G93" s="53" t="str">
        <x:f>IF(OR(E93="",F93=""),"",(F93-E93)*24)</x:f>
      </x:c>
      <x:c r="H93" s="126"/>
      <x:c r="I93" s="126"/>
      <x:c r="J93" s="126"/>
      <x:c r="K93" s="126"/>
      <x:c r="L93" s="126"/>
      <x:c r="M93" s="126"/>
      <x:c r="N93" s="126"/>
      <x:c r="O93" s="126"/>
      <x:c r="P93" s="126" t="n">
        <x:v>12</x:v>
      </x:c>
      <x:c r="Q93" s="86"/>
    </x:row>
    <x:row r="94" ht="24" customHeight="1">
      <x:c r="A94" s="14" t="n">
        <x:v>46342</x:v>
      </x:c>
      <x:c r="B94" t="str">
        <x:v>00:30</x:v>
      </x:c>
      <x:c r="C94" t="str">
        <x:v>Chưa chạy</x:v>
      </x:c>
      <x:c r="D94"/>
      <x:c r="E94" s="52"/>
      <x:c r="F94" s="52"/>
      <x:c r="G94" s="53" t="str">
        <x:f>IF(OR(E94="",F94=""),"",(F94-E94)*24)</x:f>
      </x:c>
      <x:c r="H94" s="126"/>
      <x:c r="I94" s="126"/>
      <x:c r="J94" s="126"/>
      <x:c r="K94" s="126"/>
      <x:c r="L94" s="126"/>
      <x:c r="M94" s="126"/>
      <x:c r="N94" s="126"/>
      <x:c r="O94" s="126"/>
      <x:c r="P94" s="126" t="n">
        <x:v>12</x:v>
      </x:c>
      <x:c r="Q94" s="86"/>
    </x:row>
    <x:row r="95" ht="24" customHeight="1">
      <x:c r="A95" s="14" t="n">
        <x:v>46343</x:v>
      </x:c>
      <x:c r="B95" t="str">
        <x:v>00:30</x:v>
      </x:c>
      <x:c r="C95" t="str">
        <x:v>Chưa chạy</x:v>
      </x:c>
      <x:c r="D95"/>
      <x:c r="E95" s="52"/>
      <x:c r="F95" s="52"/>
      <x:c r="G95" s="53" t="str">
        <x:f>IF(OR(E95="",F95=""),"",(F95-E95)*24)</x:f>
      </x:c>
      <x:c r="H95" s="126"/>
      <x:c r="I95" s="126"/>
      <x:c r="J95" s="126"/>
      <x:c r="K95" s="126"/>
      <x:c r="L95" s="126"/>
      <x:c r="M95" s="126"/>
      <x:c r="N95" s="126"/>
      <x:c r="O95" s="126"/>
      <x:c r="P95" s="126" t="n">
        <x:v>12</x:v>
      </x:c>
      <x:c r="Q95" s="86"/>
    </x:row>
    <x:row r="96" ht="24" customHeight="1">
      <x:c r="A96" s="14" t="n">
        <x:v>46344</x:v>
      </x:c>
      <x:c r="B96" t="str">
        <x:v>00:30</x:v>
      </x:c>
      <x:c r="C96" t="str">
        <x:v>Chưa chạy</x:v>
      </x:c>
      <x:c r="D96"/>
      <x:c r="E96" s="52"/>
      <x:c r="F96" s="52"/>
      <x:c r="G96" s="53" t="str">
        <x:f>IF(OR(E96="",F96=""),"",(F96-E96)*24)</x:f>
      </x:c>
      <x:c r="H96" s="126"/>
      <x:c r="I96" s="126"/>
      <x:c r="J96" s="126"/>
      <x:c r="K96" s="126"/>
      <x:c r="L96" s="126"/>
      <x:c r="M96" s="126"/>
      <x:c r="N96" s="126"/>
      <x:c r="O96" s="126"/>
      <x:c r="P96" s="126" t="n">
        <x:v>12</x:v>
      </x:c>
      <x:c r="Q96" s="86"/>
    </x:row>
    <x:row r="97" ht="24" customHeight="1">
      <x:c r="A97" s="14" t="n">
        <x:v>46345</x:v>
      </x:c>
      <x:c r="B97" t="str">
        <x:v>00:30</x:v>
      </x:c>
      <x:c r="C97" t="str">
        <x:v>Chưa chạy</x:v>
      </x:c>
      <x:c r="D97"/>
      <x:c r="E97" s="52"/>
      <x:c r="F97" s="52"/>
      <x:c r="G97" s="53" t="str">
        <x:f>IF(OR(E97="",F97=""),"",(F97-E97)*24)</x:f>
      </x:c>
      <x:c r="H97" s="126"/>
      <x:c r="I97" s="126"/>
      <x:c r="J97" s="126"/>
      <x:c r="K97" s="126"/>
      <x:c r="L97" s="126"/>
      <x:c r="M97" s="126"/>
      <x:c r="N97" s="126"/>
      <x:c r="O97" s="126"/>
      <x:c r="P97" s="126" t="n">
        <x:v>12</x:v>
      </x:c>
      <x:c r="Q97" s="86"/>
    </x:row>
    <x:row r="98" ht="24" customHeight="1">
      <x:c r="A98" s="14" t="n">
        <x:v>46346</x:v>
      </x:c>
      <x:c r="B98" t="str">
        <x:v>00:30</x:v>
      </x:c>
      <x:c r="C98" t="str">
        <x:v>Chưa chạy</x:v>
      </x:c>
      <x:c r="D98"/>
      <x:c r="E98" s="52"/>
      <x:c r="F98" s="52"/>
      <x:c r="G98" s="53" t="str">
        <x:f>IF(OR(E98="",F98=""),"",(F98-E98)*24)</x:f>
      </x:c>
      <x:c r="H98" s="126"/>
      <x:c r="I98" s="126"/>
      <x:c r="J98" s="126"/>
      <x:c r="K98" s="126"/>
      <x:c r="L98" s="126"/>
      <x:c r="M98" s="126"/>
      <x:c r="N98" s="126"/>
      <x:c r="O98" s="126"/>
      <x:c r="P98" s="126" t="n">
        <x:v>12</x:v>
      </x:c>
      <x:c r="Q98" s="86"/>
    </x:row>
    <x:row r="99" ht="24" customHeight="1">
      <x:c r="A99" s="14" t="n">
        <x:v>46347</x:v>
      </x:c>
      <x:c r="B99" t="str">
        <x:v>00:30</x:v>
      </x:c>
      <x:c r="C99" t="str">
        <x:v>Chưa chạy</x:v>
      </x:c>
      <x:c r="D99"/>
      <x:c r="E99" s="52"/>
      <x:c r="F99" s="52"/>
      <x:c r="G99" s="53" t="str">
        <x:f>IF(OR(E99="",F99=""),"",(F99-E99)*24)</x:f>
      </x:c>
      <x:c r="H99" s="126"/>
      <x:c r="I99" s="126"/>
      <x:c r="J99" s="126"/>
      <x:c r="K99" s="126"/>
      <x:c r="L99" s="126"/>
      <x:c r="M99" s="126"/>
      <x:c r="N99" s="126"/>
      <x:c r="O99" s="126"/>
      <x:c r="P99" s="126" t="n">
        <x:v>12</x:v>
      </x:c>
      <x:c r="Q99" s="86"/>
    </x:row>
    <x:row r="100" ht="24" customHeight="1">
      <x:c r="A100" s="14" t="n">
        <x:v>46348</x:v>
      </x:c>
      <x:c r="B100" t="str">
        <x:v>00:30</x:v>
      </x:c>
      <x:c r="C100" t="str">
        <x:v>Chưa chạy</x:v>
      </x:c>
      <x:c r="D100"/>
      <x:c r="E100" s="52"/>
      <x:c r="F100" s="52"/>
      <x:c r="G100" s="53" t="str">
        <x:f>IF(OR(E100="",F100=""),"",(F100-E100)*24)</x:f>
      </x:c>
      <x:c r="H100" s="126"/>
      <x:c r="I100" s="126"/>
      <x:c r="J100" s="126"/>
      <x:c r="K100" s="126"/>
      <x:c r="L100" s="126"/>
      <x:c r="M100" s="126"/>
      <x:c r="N100" s="126"/>
      <x:c r="O100" s="126"/>
      <x:c r="P100" s="126" t="n">
        <x:v>12</x:v>
      </x:c>
      <x:c r="Q100" s="86"/>
    </x:row>
    <x:row r="101" ht="24" customHeight="1">
      <x:c r="A101" s="14" t="n">
        <x:v>46349</x:v>
      </x:c>
      <x:c r="B101" t="str">
        <x:v>00:30</x:v>
      </x:c>
      <x:c r="C101" t="str">
        <x:v>Chưa chạy</x:v>
      </x:c>
      <x:c r="D101"/>
      <x:c r="E101" s="52"/>
      <x:c r="F101" s="52"/>
      <x:c r="G101" s="53" t="str">
        <x:f>IF(OR(E101="",F101=""),"",(F101-E101)*24)</x:f>
      </x:c>
      <x:c r="H101" s="126"/>
      <x:c r="I101" s="126"/>
      <x:c r="J101" s="126"/>
      <x:c r="K101" s="126"/>
      <x:c r="L101" s="126"/>
      <x:c r="M101" s="126"/>
      <x:c r="N101" s="126"/>
      <x:c r="O101" s="126"/>
      <x:c r="P101" s="126" t="n">
        <x:v>12</x:v>
      </x:c>
      <x:c r="Q101" s="86"/>
    </x:row>
    <x:row r="102" ht="24" customHeight="1">
      <x:c r="A102" s="14" t="n">
        <x:v>46350</x:v>
      </x:c>
      <x:c r="B102" t="str">
        <x:v>00:30</x:v>
      </x:c>
      <x:c r="C102" t="str">
        <x:v>Chưa chạy</x:v>
      </x:c>
      <x:c r="D102"/>
      <x:c r="E102" s="52"/>
      <x:c r="F102" s="52"/>
      <x:c r="G102" s="53" t="str">
        <x:f>IF(OR(E102="",F102=""),"",(F102-E102)*24)</x:f>
      </x:c>
      <x:c r="H102" s="126"/>
      <x:c r="I102" s="126"/>
      <x:c r="J102" s="126"/>
      <x:c r="K102" s="126"/>
      <x:c r="L102" s="126"/>
      <x:c r="M102" s="126"/>
      <x:c r="N102" s="126"/>
      <x:c r="O102" s="126"/>
      <x:c r="P102" s="126" t="n">
        <x:v>12</x:v>
      </x:c>
      <x:c r="Q102" s="86"/>
    </x:row>
    <x:row r="103" ht="24" customHeight="1">
      <x:c r="A103" s="14" t="n">
        <x:v>46351</x:v>
      </x:c>
      <x:c r="B103" t="str">
        <x:v>00:30</x:v>
      </x:c>
      <x:c r="C103" t="str">
        <x:v>Chưa chạy</x:v>
      </x:c>
      <x:c r="D103"/>
      <x:c r="E103" s="52"/>
      <x:c r="F103" s="52"/>
      <x:c r="G103" s="53" t="str">
        <x:f>IF(OR(E103="",F103=""),"",(F103-E103)*24)</x:f>
      </x:c>
      <x:c r="H103" s="126"/>
      <x:c r="I103" s="126"/>
      <x:c r="J103" s="126"/>
      <x:c r="K103" s="126"/>
      <x:c r="L103" s="126"/>
      <x:c r="M103" s="126"/>
      <x:c r="N103" s="126"/>
      <x:c r="O103" s="126"/>
      <x:c r="P103" s="126" t="n">
        <x:v>12</x:v>
      </x:c>
      <x:c r="Q103" s="86"/>
    </x:row>
    <x:row r="104" ht="24" customHeight="1">
      <x:c r="A104" s="14" t="n">
        <x:v>46352</x:v>
      </x:c>
      <x:c r="B104" t="str">
        <x:v>00:30</x:v>
      </x:c>
      <x:c r="C104" t="str">
        <x:v>Chưa chạy</x:v>
      </x:c>
      <x:c r="D104"/>
      <x:c r="E104" s="52"/>
      <x:c r="F104" s="52"/>
      <x:c r="G104" s="53" t="str">
        <x:f>IF(OR(E104="",F104=""),"",(F104-E104)*24)</x:f>
      </x:c>
      <x:c r="H104" s="126"/>
      <x:c r="I104" s="126"/>
      <x:c r="J104" s="126"/>
      <x:c r="K104" s="126"/>
      <x:c r="L104" s="126"/>
      <x:c r="M104" s="126"/>
      <x:c r="N104" s="126"/>
      <x:c r="O104" s="126"/>
      <x:c r="P104" s="126" t="n">
        <x:v>12</x:v>
      </x:c>
      <x:c r="Q104" s="86"/>
    </x:row>
    <x:row r="105" ht="24" customHeight="1">
      <x:c r="A105" s="14" t="n">
        <x:v>46353</x:v>
      </x:c>
      <x:c r="B105" t="str">
        <x:v>00:30</x:v>
      </x:c>
      <x:c r="C105" t="str">
        <x:v>Chưa chạy</x:v>
      </x:c>
      <x:c r="D105"/>
      <x:c r="E105" s="52"/>
      <x:c r="F105" s="52"/>
      <x:c r="G105" s="53" t="str">
        <x:f>IF(OR(E105="",F105=""),"",(F105-E105)*24)</x:f>
      </x:c>
      <x:c r="H105" s="126"/>
      <x:c r="I105" s="126"/>
      <x:c r="J105" s="126"/>
      <x:c r="K105" s="126"/>
      <x:c r="L105" s="126"/>
      <x:c r="M105" s="126"/>
      <x:c r="N105" s="126"/>
      <x:c r="O105" s="126"/>
      <x:c r="P105" s="126" t="n">
        <x:v>12</x:v>
      </x:c>
      <x:c r="Q105" s="86"/>
    </x:row>
    <x:row r="106" ht="24" customHeight="1">
      <x:c r="A106" s="14" t="n">
        <x:v>46354</x:v>
      </x:c>
      <x:c r="B106" t="str">
        <x:v>00:30</x:v>
      </x:c>
      <x:c r="C106" t="str">
        <x:v>Chưa chạy</x:v>
      </x:c>
      <x:c r="D106"/>
      <x:c r="E106" s="52"/>
      <x:c r="F106" s="52"/>
      <x:c r="G106" s="53" t="str">
        <x:f>IF(OR(E106="",F106=""),"",(F106-E106)*24)</x:f>
      </x:c>
      <x:c r="H106" s="126"/>
      <x:c r="I106" s="126"/>
      <x:c r="J106" s="126"/>
      <x:c r="K106" s="126"/>
      <x:c r="L106" s="126"/>
      <x:c r="M106" s="126"/>
      <x:c r="N106" s="126"/>
      <x:c r="O106" s="126"/>
      <x:c r="P106" s="126" t="n">
        <x:v>12</x:v>
      </x:c>
      <x:c r="Q106" s="86"/>
    </x:row>
    <x:row r="107">
      <x:c r="A107" s="14" t="n">
        <x:v>46355</x:v>
      </x:c>
      <x:c r="B107" t="str">
        <x:v>00:30</x:v>
      </x:c>
      <x:c r="C107" t="str">
        <x:v>Chưa chạy</x:v>
      </x:c>
      <x:c r="D107"/>
      <x:c r="E107" s="52"/>
      <x:c r="F107" s="52"/>
      <x:c r="G107" s="53" t="str">
        <x:f>IF(OR(E107="",F107=""),"",(F107-E107)*24)</x:f>
      </x:c>
      <x:c r="H107" s="126"/>
      <x:c r="I107" s="126"/>
      <x:c r="J107" s="126"/>
      <x:c r="K107" s="126"/>
      <x:c r="L107" s="126"/>
      <x:c r="M107" s="126"/>
      <x:c r="N107" s="126"/>
      <x:c r="O107" s="126"/>
      <x:c r="P107" s="126" t="n">
        <x:v>12</x:v>
      </x:c>
      <x:c r="Q107" s="86"/>
    </x:row>
    <x:row r="108">
      <x:c r="A108" s="14" t="n">
        <x:v>46356</x:v>
      </x:c>
      <x:c r="B108" t="str">
        <x:v>00:30</x:v>
      </x:c>
      <x:c r="C108" t="str">
        <x:v>Chưa chạy</x:v>
      </x:c>
      <x:c r="D108"/>
      <x:c r="E108" s="52"/>
      <x:c r="F108" s="52"/>
      <x:c r="G108" s="53" t="str">
        <x:f>IF(OR(E108="",F108=""),"",(F108-E108)*24)</x:f>
      </x:c>
      <x:c r="H108" s="126"/>
      <x:c r="I108" s="126"/>
      <x:c r="J108" s="126"/>
      <x:c r="K108" s="126"/>
      <x:c r="L108" s="126"/>
      <x:c r="M108" s="126"/>
      <x:c r="N108" s="126"/>
      <x:c r="O108" s="126"/>
      <x:c r="P108" s="126" t="n">
        <x:v>12</x:v>
      </x:c>
      <x:c r="Q108" s="86"/>
    </x:row>
  </x:sheetData>
  <x:mergeCells>
    <x:mergeCell ref="A1:Q1"/>
    <x:mergeCell ref="A2:Q2"/>
  </x:mergeCells>
  <x:conditionalFormatting sqref="C4:C106">
    <x:cfRule type="containsText" dxfId="3" priority="1" operator="containsText" text="Hoàn thành"/>
    <x:cfRule type="containsText" dxfId="4" priority="2" operator="containsText" text="Đang chạy"/>
    <x:cfRule type="containsText" dxfId="5" priority="3" operator="containsText" text="Thất bại"/>
  </x:conditionalFormatting>
  <x:dataValidations count="2">
    <x:dataValidation type="list" sqref="C4:C106">
      <x:formula1>"Chưa chạy,Đang chạy,Hoàn thành,Hoàn thành có lỗi,Thất bại,Bỏ qua"</x:formula1>
    </x:dataValidation>
    <x:dataValidation type="list" sqref="C4:C108">
      <x:formula1>"Chưa chạy,Đang chạy,Hoàn thành,Hoàn thành có lỗi,Thất bại"</x:formula1>
    </x:dataValidation>
  </x:dataValidations>
  <x:pageMargins left="0.7" right="0.7" top="0.75" bottom="0.75" header="0.3" footer="0.3"/>
  <x:tableParts count="1">
    <x:tablePart xmlns:r="http://schemas.openxmlformats.org/officeDocument/2006/relationships" r:id="Rc3dde79f604c46c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16" hidden="0" customWidth="1"/>
    <x:col min="4" max="4" width="15" hidden="0" customWidth="1"/>
    <x:col min="5" max="5" width="29" hidden="0" customWidth="1"/>
    <x:col min="6" max="6" width="30" hidden="0" customWidth="1"/>
    <x:col min="7" max="7" width="21" hidden="0" customWidth="1"/>
    <x:col min="8" max="8" width="38" hidden="0" customWidth="1"/>
  </x:cols>
  <x:sheetData>
    <x:row r="1" ht="28" customHeight="1">
      <x:c r="A1" s="143" t="str">
        <x:v>QUY TẮC CỐ ĐỊNH CHO 12 SLOT CHECK-IN</x:v>
      </x:c>
      <x:c r="B1" s="143"/>
      <x:c r="C1" s="143"/>
      <x:c r="D1" s="143"/>
      <x:c r="E1" s="143"/>
      <x:c r="F1" s="143"/>
      <x:c r="G1" s="143"/>
      <x:c r="H1" s="143"/>
    </x:row>
    <x:row r="3" ht="30" customHeight="1">
      <x:c r="A3" s="148" t="str">
        <x:v>Slot</x:v>
      </x:c>
      <x:c r="B3" s="148" t="str">
        <x:v>Nhóm</x:v>
      </x:c>
      <x:c r="C3" s="148" t="str">
        <x:v>Mốc đầu tiên</x:v>
      </x:c>
      <x:c r="D3" s="148" t="str">
        <x:v>Chu kỳ thay</x:v>
      </x:c>
      <x:c r="E3" s="148" t="str">
        <x:v>Vai trò</x:v>
      </x:c>
      <x:c r="F3" s="148" t="str">
        <x:v>Điều kiện đổi</x:v>
      </x:c>
      <x:c r="G3" s="148" t="str">
        <x:v>Checkout</x:v>
      </x:c>
      <x:c r="H3" s="148" t="str">
        <x:v>Ghi chú</x:v>
      </x:c>
    </x:row>
    <x:row r="4" ht="38" customHeight="1">
      <x:c r="A4" s="164" t="str">
        <x:v>N1</x:v>
      </x:c>
      <x:c r="B4" s="164" t="str">
        <x:v>Gần</x:v>
      </x:c>
      <x:c r="C4" s="165" t="n">
        <x:v>46254</x:v>
      </x:c>
      <x:c r="D4" s="164" t="str">
        <x:v>28 ngày</x:v>
      </x:c>
      <x:c r="E4" s="164" t="str">
        <x:v>Rất gần — ngày thường</x:v>
      </x:c>
      <x:c r="F4" s="164" t="str">
        <x:v>Khi check-in &lt; crawl date</x:v>
      </x:c>
      <x:c r="G4" s="164" t="str">
        <x:v>Check-in + 1 ngày</x:v>
      </x:c>
      <x:c r="H4" s="164" t="str">
        <x:v>Giữ cả ngày nhận phòng (lead time 0), roll từ hôm sau</x:v>
      </x:c>
    </x:row>
    <x:row r="5" ht="38" customHeight="1">
      <x:c r="A5" s="164" t="str">
        <x:v>N2</x:v>
      </x:c>
      <x:c r="B5" s="164" t="str">
        <x:v>Gần</x:v>
      </x:c>
      <x:c r="C5" s="165" t="n">
        <x:v>46256</x:v>
      </x:c>
      <x:c r="D5" s="164" t="str">
        <x:v>28 ngày</x:v>
      </x:c>
      <x:c r="E5" s="164" t="str">
        <x:v>Rất gần — cuối tuần</x:v>
      </x:c>
      <x:c r="F5" s="164" t="str">
        <x:v>Khi check-in &lt; crawl date</x:v>
      </x:c>
      <x:c r="G5" s="164" t="str">
        <x:v>Check-in + 1 ngày</x:v>
      </x:c>
      <x:c r="H5" s="164" t="str">
        <x:v>Giữ cả ngày nhận phòng (lead time 0), roll từ hôm sau</x:v>
      </x:c>
    </x:row>
    <x:row r="6" ht="38" customHeight="1">
      <x:c r="A6" s="164" t="str">
        <x:v>N3</x:v>
      </x:c>
      <x:c r="B6" s="164" t="str">
        <x:v>Gần</x:v>
      </x:c>
      <x:c r="C6" s="165" t="n">
        <x:v>46259</x:v>
      </x:c>
      <x:c r="D6" s="164" t="str">
        <x:v>28 ngày</x:v>
      </x:c>
      <x:c r="E6" s="164" t="str">
        <x:v>Gần — ngày thường</x:v>
      </x:c>
      <x:c r="F6" s="164" t="str">
        <x:v>Khi check-in &lt; crawl date</x:v>
      </x:c>
      <x:c r="G6" s="164" t="str">
        <x:v>Check-in + 1 ngày</x:v>
      </x:c>
      <x:c r="H6" s="164" t="str">
        <x:v>Giữ cả ngày nhận phòng (lead time 0), roll từ hôm sau</x:v>
      </x:c>
    </x:row>
    <x:row r="7" ht="38" customHeight="1">
      <x:c r="A7" s="164" t="str">
        <x:v>N4</x:v>
      </x:c>
      <x:c r="B7" s="164" t="str">
        <x:v>Gần</x:v>
      </x:c>
      <x:c r="C7" s="165" t="n">
        <x:v>46263</x:v>
      </x:c>
      <x:c r="D7" s="164" t="str">
        <x:v>28 ngày</x:v>
      </x:c>
      <x:c r="E7" s="164" t="str">
        <x:v>Gần — cuối tuần</x:v>
      </x:c>
      <x:c r="F7" s="164" t="str">
        <x:v>Khi check-in &lt; crawl date</x:v>
      </x:c>
      <x:c r="G7" s="164" t="str">
        <x:v>Check-in + 1 ngày</x:v>
      </x:c>
      <x:c r="H7" s="164" t="str">
        <x:v>Giữ cả ngày nhận phòng (lead time 0), roll từ hôm sau</x:v>
      </x:c>
    </x:row>
    <x:row r="8" ht="38" customHeight="1">
      <x:c r="A8" s="164" t="str">
        <x:v>N5</x:v>
      </x:c>
      <x:c r="B8" s="164" t="str">
        <x:v>Gần</x:v>
      </x:c>
      <x:c r="C8" s="165" t="n">
        <x:v>46267</x:v>
      </x:c>
      <x:c r="D8" s="164" t="str">
        <x:v>28 ngày</x:v>
      </x:c>
      <x:c r="E8" s="164" t="str">
        <x:v>Gần — lễ/đối chứng</x:v>
      </x:c>
      <x:c r="F8" s="164" t="str">
        <x:v>Khi check-in &lt; crawl date</x:v>
      </x:c>
      <x:c r="G8" s="164" t="str">
        <x:v>Check-in + 1 ngày</x:v>
      </x:c>
      <x:c r="H8" s="164" t="str">
        <x:v>Giữ cả ngày nhận phòng (lead time 0), roll từ hôm sau</x:v>
      </x:c>
    </x:row>
    <x:row r="9" ht="38" customHeight="1">
      <x:c r="A9" s="164" t="str">
        <x:v>N6</x:v>
      </x:c>
      <x:c r="B9" s="164" t="str">
        <x:v>Gần</x:v>
      </x:c>
      <x:c r="C9" s="165" t="n">
        <x:v>46271</x:v>
      </x:c>
      <x:c r="D9" s="164" t="str">
        <x:v>28 ngày</x:v>
      </x:c>
      <x:c r="E9" s="164" t="str">
        <x:v>Gần — cuối tuần</x:v>
      </x:c>
      <x:c r="F9" s="164" t="str">
        <x:v>Khi check-in &lt; crawl date</x:v>
      </x:c>
      <x:c r="G9" s="164" t="str">
        <x:v>Check-in + 1 ngày</x:v>
      </x:c>
      <x:c r="H9" s="164" t="str">
        <x:v>Giữ cả ngày nhận phòng (lead time 0), roll từ hôm sau</x:v>
      </x:c>
    </x:row>
    <x:row r="10" ht="38" customHeight="1">
      <x:c r="A10" s="164" t="str">
        <x:v>N7</x:v>
      </x:c>
      <x:c r="B10" s="164" t="str">
        <x:v>Gần</x:v>
      </x:c>
      <x:c r="C10" s="165" t="n">
        <x:v>46274</x:v>
      </x:c>
      <x:c r="D10" s="164" t="str">
        <x:v>28 ngày</x:v>
      </x:c>
      <x:c r="E10" s="164" t="str">
        <x:v>Gần — ngày thường</x:v>
      </x:c>
      <x:c r="F10" s="164" t="str">
        <x:v>Khi check-in &lt; crawl date</x:v>
      </x:c>
      <x:c r="G10" s="164" t="str">
        <x:v>Check-in + 1 ngày</x:v>
      </x:c>
      <x:c r="H10" s="164" t="str">
        <x:v>Giữ cả ngày nhận phòng (lead time 0), roll từ hôm sau</x:v>
      </x:c>
    </x:row>
    <x:row r="11" ht="38" customHeight="1">
      <x:c r="A11" s="164" t="str">
        <x:v>N8</x:v>
      </x:c>
      <x:c r="B11" s="164" t="str">
        <x:v>Gần</x:v>
      </x:c>
      <x:c r="C11" s="165" t="n">
        <x:v>46277</x:v>
      </x:c>
      <x:c r="D11" s="164" t="str">
        <x:v>28 ngày</x:v>
      </x:c>
      <x:c r="E11" s="164" t="str">
        <x:v>Gần — cuối tuần</x:v>
      </x:c>
      <x:c r="F11" s="164" t="str">
        <x:v>Khi check-in &lt; crawl date</x:v>
      </x:c>
      <x:c r="G11" s="164" t="str">
        <x:v>Check-in + 1 ngày</x:v>
      </x:c>
      <x:c r="H11" s="164" t="str">
        <x:v>Giữ cả ngày nhận phòng (lead time 0), roll từ hôm sau</x:v>
      </x:c>
    </x:row>
    <x:row r="12" ht="38" customHeight="1">
      <x:c r="A12" s="164" t="str">
        <x:v>N9</x:v>
      </x:c>
      <x:c r="B12" s="164" t="str">
        <x:v>Gần</x:v>
      </x:c>
      <x:c r="C12" s="165" t="n">
        <x:v>46279</x:v>
      </x:c>
      <x:c r="D12" s="164" t="str">
        <x:v>28 ngày</x:v>
      </x:c>
      <x:c r="E12" s="164" t="str">
        <x:v>Gần — ngày thường</x:v>
      </x:c>
      <x:c r="F12" s="164" t="str">
        <x:v>Khi check-in &lt; crawl date</x:v>
      </x:c>
      <x:c r="G12" s="164" t="str">
        <x:v>Check-in + 1 ngày</x:v>
      </x:c>
      <x:c r="H12" s="164" t="str">
        <x:v>Giữ cả ngày nhận phòng (lead time 0), roll từ hôm sau</x:v>
      </x:c>
    </x:row>
    <x:row r="13">
      <x:c r="A13" s="166" t="str">
        <x:v>F1</x:v>
      </x:c>
      <x:c r="B13" s="166" t="str">
        <x:v>Xa</x:v>
      </x:c>
      <x:c r="C13" s="167" t="n">
        <x:v>46306</x:v>
      </x:c>
      <x:c r="D13" s="166" t="str">
        <x:v>56 ngày</x:v>
      </x:c>
      <x:c r="E13" s="166" t="str">
        <x:v>Xa gần — cuối tuần</x:v>
      </x:c>
      <x:c r="F13" s="166" t="str">
        <x:v>Khi check-in &lt; crawl date</x:v>
      </x:c>
      <x:c r="G13" s="166" t="str">
        <x:v>Check-in + 1 ngày</x:v>
      </x:c>
      <x:c r="H13" s="166" t="str">
        <x:v>Giữ cả ngày nhận phòng; anchor xa tạo chuỗi quan sát dài</x:v>
      </x:c>
    </x:row>
    <x:row r="14">
      <x:c r="A14" s="166" t="str">
        <x:v>F2</x:v>
      </x:c>
      <x:c r="B14" s="166" t="str">
        <x:v>Xa</x:v>
      </x:c>
      <x:c r="C14" s="167" t="n">
        <x:v>46344</x:v>
      </x:c>
      <x:c r="D14" s="166" t="str">
        <x:v>84 ngày</x:v>
      </x:c>
      <x:c r="E14" s="166" t="str">
        <x:v>Xa trung bình — ngày thường</x:v>
      </x:c>
      <x:c r="F14" s="166" t="str">
        <x:v>Khi check-in &lt; crawl date</x:v>
      </x:c>
      <x:c r="G14" s="166" t="str">
        <x:v>Check-in + 1 ngày</x:v>
      </x:c>
      <x:c r="H14" s="166" t="str">
        <x:v>Giữ cả ngày nhận phòng; anchor xa tạo chuỗi quan sát dài</x:v>
      </x:c>
    </x:row>
    <x:row r="15">
      <x:c r="A15" s="166" t="str">
        <x:v>F3</x:v>
      </x:c>
      <x:c r="B15" s="166" t="str">
        <x:v>Xa</x:v>
      </x:c>
      <x:c r="C15" s="167" t="n">
        <x:v>46388</x:v>
      </x:c>
      <x:c r="D15" s="166" t="str">
        <x:v>168 ngày</x:v>
      </x:c>
      <x:c r="E15" s="166" t="str">
        <x:v>Xa dài — ngày lễ</x:v>
      </x:c>
      <x:c r="F15" s="166" t="str">
        <x:v>Khi check-in &lt; crawl date</x:v>
      </x:c>
      <x:c r="G15" s="166" t="str">
        <x:v>Check-in + 1 ngày</x:v>
      </x:c>
      <x:c r="H15" s="166" t="str">
        <x:v>Giữ cả ngày nhận phòng; anchor xa tạo chuỗi quan sát dài</x:v>
      </x:c>
    </x:row>
  </x:sheetData>
  <x:mergeCells>
    <x:mergeCell ref="A1:H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1" hidden="0" customWidth="1"/>
    <x:col min="2" max="2" width="86" hidden="0" customWidth="1"/>
    <x:col min="3" max="3" width="22" hidden="0" customWidth="1"/>
    <x:col min="4" max="4" width="22" hidden="0" customWidth="1"/>
    <x:col min="5" max="5" width="22" hidden="0" customWidth="1"/>
    <x:col min="6" max="6" width="22" hidden="0" customWidth="1"/>
  </x:cols>
  <x:sheetData>
    <x:row r="1" ht="28" customHeight="1">
      <x:c r="A1" s="143" t="str">
        <x:v>CẤU HÌNH AUTOMATION CỐ ĐỊNH</x:v>
      </x:c>
      <x:c r="B1" s="143"/>
    </x:row>
    <x:row r="3" ht="30" customHeight="1">
      <x:c r="A3" s="148" t="str">
        <x:v>Setting</x:v>
      </x:c>
      <x:c r="B3" s="148" t="str">
        <x:v>Value</x:v>
      </x:c>
    </x:row>
    <x:row r="4">
      <x:c r="A4" s="150" t="str">
        <x:v>Schedule</x:v>
      </x:c>
      <x:c r="B4" t="str">
        <x:v>Mỗi ngày lúc 00:30</x:v>
      </x:c>
    </x:row>
    <x:row r="5">
      <x:c r="A5" s="150" t="str">
        <x:v>Timezone</x:v>
      </x:c>
      <x:c r="B5" t="str">
        <x:v>Asia/Ho_Chi_Minh</x:v>
      </x:c>
    </x:row>
    <x:row r="6">
      <x:c r="A6" s="150" t="str">
        <x:v>Active from</x:v>
      </x:c>
      <x:c r="B6" s="14" t="n">
        <x:v>46252</x:v>
      </x:c>
    </x:row>
    <x:row r="7">
      <x:c r="A7" s="150" t="str">
        <x:v>Active through</x:v>
      </x:c>
      <x:c r="B7" s="14" t="n">
        <x:v>46356</x:v>
      </x:c>
    </x:row>
    <x:row r="8">
      <x:c r="A8" s="150" t="str">
        <x:v>Project root</x:v>
      </x:c>
      <x:c r="B8" t="str">
        <x:v>D:/MSE/CAPSTONE/hotel-price-intelligence</x:v>
      </x:c>
    </x:row>
    <x:row r="9">
      <x:c r="A9" s="150" t="str">
        <x:v>Hotel source</x:v>
      </x:c>
      <x:c r="B9" t="str">
        <x:v>D:/MSE/CAPSTONE/link_hotel_data_expanded.xlsx</x:v>
      </x:c>
    </x:row>
    <x:row r="10">
      <x:c r="A10" s="150" t="str">
        <x:v>Calendar workbook</x:v>
      </x:c>
      <x:c r="B10" t="str">
        <x:v>D:/MSE/CAPSTONE/outputs/crawl-data-planner-20260816/crawl_sampling_master.xlsx</x:v>
      </x:c>
    </x:row>
    <x:row r="11">
      <x:c r="A11" s="150" t="str">
        <x:v>Runner</x:v>
      </x:c>
      <x:c r="B11" t="str">
        <x:v>backend/scripts/run_scheduled_calendar.py</x:v>
      </x:c>
    </x:row>
    <x:row r="12">
      <x:c r="A12" s="150" t="str">
        <x:v>Plan sheet</x:v>
      </x:c>
      <x:c r="B12" t="str">
        <x:v>DAILY_CRAWL_PLAN</x:v>
      </x:c>
    </x:row>
    <x:row r="13">
      <x:c r="A13" s="150" t="str">
        <x:v>Log sheet</x:v>
      </x:c>
      <x:c r="B13" t="str">
        <x:v>CRAWL_LOG</x:v>
      </x:c>
    </x:row>
    <x:row r="14">
      <x:c r="A14" s="150" t="str">
        <x:v>Save screenshots/HTML</x:v>
      </x:c>
      <x:c r="B14" s="80" t="b">
        <x:v>0</x:v>
      </x:c>
    </x:row>
    <x:row r="15">
      <x:c r="A15" s="145" t="str">
        <x:v>Runbook của recurring automation</x:v>
      </x:c>
      <x:c r="B15" s="145"/>
    </x:row>
    <x:row r="16" ht="220" customHeight="1">
      <x:c r="A16" s="170" t="str">
        <x:v>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x:v>
      </x:c>
      <x:c r="B16" s="170"/>
    </x:row>
  </x:sheetData>
  <x:mergeCells>
    <x:mergeCell ref="A1:B1"/>
    <x:mergeCell ref="A15:B15"/>
    <x:mergeCell ref="A16:B16"/>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9" hidden="0" customWidth="1"/>
    <x:col min="2" max="2" width="20" hidden="0" customWidth="1"/>
    <x:col min="3" max="3" width="40" hidden="0" customWidth="1"/>
    <x:col min="4" max="4" width="30" hidden="0" customWidth="1"/>
    <x:col min="5" max="5" width="30" hidden="0" customWidth="1"/>
    <x:col min="6" max="6" width="45" hidden="0" customWidth="1"/>
  </x:cols>
  <x:sheetData>
    <x:row r="1" ht="28" customHeight="1">
      <x:c r="A1" s="143" t="str">
        <x:v>CÁCH WORKBOOK VẬN HÀNH</x:v>
      </x:c>
      <x:c r="B1" s="143"/>
      <x:c r="C1" s="143"/>
      <x:c r="D1" s="143"/>
      <x:c r="E1" s="143"/>
      <x:c r="F1" s="143"/>
    </x:row>
    <x:row r="3" ht="30" customHeight="1">
      <x:c r="A3" s="148" t="str">
        <x:v>Bước</x:v>
      </x:c>
      <x:c r="B3" s="148" t="str">
        <x:v>Thời điểm</x:v>
      </x:c>
      <x:c r="C3" s="148" t="str">
        <x:v>Automation làm gì</x:v>
      </x:c>
      <x:c r="D3" s="148" t="str">
        <x:v>Đọc từ</x:v>
      </x:c>
      <x:c r="E3" s="148" t="str">
        <x:v>Ghi vào</x:v>
      </x:c>
      <x:c r="F3" s="148" t="str">
        <x:v>Lưu ý</x:v>
      </x:c>
    </x:row>
    <x:row r="4" ht="48" customHeight="1">
      <x:c r="A4" s="136" t="n">
        <x:v>1</x:v>
      </x:c>
      <x:c r="B4" s="86" t="str">
        <x:v>00:30 mỗi ngày</x:v>
      </x:c>
      <x:c r="C4" s="86" t="str">
        <x:v>Xác định ngày Asia/Ho_Chi_Minh</x:v>
      </x:c>
      <x:c r="D4" s="86" t="str">
        <x:v>Ngày hệ thống</x:v>
      </x:c>
      <x:c r="E4" s="86" t="str">
        <x:v>—</x:v>
      </x:c>
      <x:c r="F4" s="86" t="str">
        <x:v>Chạy từ 18/08 đến hết 30/11/2026</x:v>
      </x:c>
    </x:row>
    <x:row r="5" ht="48" customHeight="1">
      <x:c r="A5" s="136" t="n">
        <x:v>2</x:v>
      </x:c>
      <x:c r="B5" s="86" t="str">
        <x:v>Ngay sau đó</x:v>
      </x:c>
      <x:c r="C5" s="86" t="str">
        <x:v>Tìm đúng một dòng lịch hôm nay</x:v>
      </x:c>
      <x:c r="D5" s="86" t="str">
        <x:v>DAILY_CRAWL_PLAN</x:v>
      </x:c>
      <x:c r="E5" s="86" t="str">
        <x:v>—</x:v>
      </x:c>
      <x:c r="F5" s="86" t="str">
        <x:v>Đọc 9 ngày gần và 3 ngày xa</x:v>
      </x:c>
    </x:row>
    <x:row r="6" ht="48" customHeight="1">
      <x:c r="A6" s="136" t="n">
        <x:v>3</x:v>
      </x:c>
      <x:c r="B6" s="86" t="str">
        <x:v>Trước khi tạo job</x:v>
      </x:c>
      <x:c r="C6" s="86" t="str">
        <x:v>Kiểm tra status chống tạo trùng</x:v>
      </x:c>
      <x:c r="D6" s="86" t="str">
        <x:v>CRAWL_LOG</x:v>
      </x:c>
      <x:c r="E6" s="86" t="str">
        <x:v>CRAWL_LOG</x:v>
      </x:c>
      <x:c r="F6" s="86" t="str">
        <x:v>Ngày đã hoàn thành/đang chạy thì thoát</x:v>
      </x:c>
    </x:row>
    <x:row r="7" ht="48" customHeight="1">
      <x:c r="A7" s="136" t="n">
        <x:v>4</x:v>
      </x:c>
      <x:c r="B7" s="86" t="str">
        <x:v>Khi tạo job</x:v>
      </x:c>
      <x:c r="C7" s="86" t="str">
        <x:v>Khởi chạy background calendar runner</x:v>
      </x:c>
      <x:c r="D7" s="86" t="str">
        <x:v>link_hotel_data_expanded.xlsx</x:v>
      </x:c>
      <x:c r="E7" s="86" t="str">
        <x:v>MySQL + Run IDs</x:v>
      </x:c>
      <x:c r="F7" s="86" t="str">
        <x:v>trigger_type=scheduled; save_artifacts=false</x:v>
      </x:c>
    </x:row>
    <x:row r="8" ht="48" customHeight="1">
      <x:c r="A8" s="136" t="n">
        <x:v>5</x:v>
      </x:c>
      <x:c r="B8" s="86" t="str">
        <x:v>Trong khi chạy</x:v>
      </x:c>
      <x:c r="C8" s="86" t="str">
        <x:v>Theo dõi toàn bộ daily crawl</x:v>
      </x:c>
      <x:c r="D8" s="86" t="str">
        <x:v>Backend/MySQL</x:v>
      </x:c>
      <x:c r="E8" s="86" t="str">
        <x:v>Cùng một dòng CRAWL_LOG</x:v>
      </x:c>
      <x:c r="F8" s="86" t="str">
        <x:v>Không thêm dòng theo run</x:v>
      </x:c>
    </x:row>
    <x:row r="9" ht="48" customHeight="1">
      <x:c r="A9" s="136" t="n">
        <x:v>6</x:v>
      </x:c>
      <x:c r="B9" s="86" t="str">
        <x:v>Khi kết thúc</x:v>
      </x:c>
      <x:c r="C9" s="86" t="str">
        <x:v>Ghi tổng kết và đánh dấu hoàn thành</x:v>
      </x:c>
      <x:c r="D9" s="86" t="str">
        <x:v>Run terminal counts</x:v>
      </x:c>
      <x:c r="E9" s="86" t="str">
        <x:v>Cùng dòng ngày crawl</x:v>
      </x:c>
      <x:c r="F9" s="86" t="str">
        <x:v>Có lỗi thì Hoàn thành có lỗi</x:v>
      </x:c>
    </x:row>
    <x:row r="11" ht="30" customHeight="1">
      <x:c r="A11" s="173" t="str">
        <x:v>Quan trọng: nên đóng workbook Excel trước 00:30 để automation có thể ghi trạng thái sau khi crawl.</x:v>
      </x:c>
      <x:c r="B11" s="173"/>
      <x:c r="C11" s="173"/>
      <x:c r="D11" s="173"/>
      <x:c r="E11" s="173"/>
      <x:c r="F11" s="173"/>
    </x:row>
  </x:sheetData>
  <x:mergeCells>
    <x:mergeCell ref="A1:F1"/>
    <x:mergeCell ref="A11:F11"/>
  </x:mergeCells>
  <x:pageMargins left="0.7" right="0.7" top="0.75" bottom="0.75" header="0.3" footer="0.3"/>
</x:worksheet>
</file>