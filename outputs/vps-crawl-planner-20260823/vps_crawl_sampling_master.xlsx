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f083abc4f44c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fad5770e0804b9c"/>
    <x:sheet xmlns:r="http://schemas.openxmlformats.org/officeDocument/2006/relationships" name="VPS_CRAWL_PLAN" sheetId="2" r:id="Rb07c2d44e2794caf"/>
    <x:sheet xmlns:r="http://schemas.openxmlformats.org/officeDocument/2006/relationships" name="CRAWL_LOG" sheetId="3" r:id="R0cea5d9bf18b4a10"/>
    <x:sheet xmlns:r="http://schemas.openxmlformats.org/officeDocument/2006/relationships" name="LOCAL_REFERENCE" sheetId="4" r:id="R15ec0895834e44bf"/>
    <x:sheet xmlns:r="http://schemas.openxmlformats.org/officeDocument/2006/relationships" name="SLOT_RULES" sheetId="5" r:id="R798cbe464ec445a9"/>
    <x:sheet xmlns:r="http://schemas.openxmlformats.org/officeDocument/2006/relationships" name="README" sheetId="6" r:id="R9dd1d88522fb44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e251535b494a78" /><Relationship Type="http://schemas.openxmlformats.org/officeDocument/2006/relationships/theme" Target="/xl/theme/theme1.xml" Id="R797f46c752e54325" /><Relationship Type="http://schemas.openxmlformats.org/officeDocument/2006/relationships/sharedStrings" Target="/xl/sharedStrings.xml" Id="Rb88c30a139d74b3f" /><Relationship Type="http://schemas.openxmlformats.org/officeDocument/2006/relationships/worksheet" Target="/xl/worksheets/sheet1.xml" Id="R9fad5770e0804b9c" /><Relationship Type="http://schemas.openxmlformats.org/officeDocument/2006/relationships/worksheet" Target="/xl/worksheets/sheet2.xml" Id="Rb07c2d44e2794caf" /><Relationship Type="http://schemas.openxmlformats.org/officeDocument/2006/relationships/worksheet" Target="/xl/worksheets/sheet3.xml" Id="R0cea5d9bf18b4a10" /><Relationship Type="http://schemas.openxmlformats.org/officeDocument/2006/relationships/worksheet" Target="/xl/worksheets/sheet4.xml" Id="R15ec0895834e44bf" /><Relationship Type="http://schemas.openxmlformats.org/officeDocument/2006/relationships/worksheet" Target="/xl/worksheets/sheet5.xml" Id="R798cbe464ec445a9" /><Relationship Type="http://schemas.openxmlformats.org/officeDocument/2006/relationships/worksheet" Target="/xl/worksheets/sheet6.xml" Id="R9dd1d88522fb4498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e2114b7253e47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e79912d93c4ba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9b97d4b2914c3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f66c578c56444d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f9a1b4610b045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4</x:v>
      </x:c>
    </x:row>
    <x:row r="13">
      <x:c r="A13" s="25" t="str">
        <x:v>Chưa chạy</x:v>
      </x:c>
      <x:c r="B13" s="29" t="n">
        <x:f>COUNTIF('CRAWL_LOG'!$B$4:$B$102,"Chưa chạy")</x:f>
        <x:v>94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Đang chạy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Chưa chạy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Chưa chạy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Chưa chạy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Chưa chạy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Chưa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be2114b7253e47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Đang chạy</x:v>
      </x:c>
      <x:c r="C8" s="36" t="str">
        <x:v>5</x:v>
      </x:c>
      <x:c r="D8" s="44" t="n">
        <x:v>46262.037210648145</x:v>
      </x:c>
      <x:c r="E8" s="44"/>
      <x:c r="F8" s="46" t="str">
        <x:f>IF(OR(D8="",E8=""),"",24*(E8-D8))</x:f>
      </x:c>
      <x:c r="G8" s="48"/>
      <x:c r="H8" s="48"/>
      <x:c r="I8" s="48"/>
      <x:c r="J8" s="48"/>
      <x:c r="K8" s="48"/>
      <x:c r="L8" s="48"/>
      <x:c r="M8" s="48"/>
      <x:c r="N8" s="48"/>
      <x:c r="O8" s="48" t="n">
        <x:v>5</x:v>
      </x:c>
      <x:c r="P8" s="36" t="str">
        <x:v>vps</x:v>
      </x:c>
      <x:c r="Q8" s="36" t="str">
        <x:v>Scheduled VPS crawl đã tạo trên deploy; artifact không lưu</x:v>
      </x:c>
    </x:row>
    <x:row r="9">
      <x:c r="A9" s="40" t="n">
        <x:v>46263</x:v>
      </x:c>
      <x:c r="B9" s="37" t="str">
        <x:v>Chưa chạy</x:v>
      </x:c>
      <x:c r="C9" s="37"/>
      <x:c r="D9" s="45"/>
      <x:c r="E9" s="45"/>
      <x:c r="F9" s="47" t="str">
        <x:f>IF(OR(D9="",E9=""),"",24*(E9-D9))</x:f>
      </x:c>
      <x:c r="G9" s="49"/>
      <x:c r="H9" s="49"/>
      <x:c r="I9" s="49"/>
      <x:c r="J9" s="49"/>
      <x:c r="K9" s="49"/>
      <x:c r="L9" s="49"/>
      <x:c r="M9" s="49"/>
      <x:c r="N9" s="49"/>
      <x:c r="O9" s="49" t="n">
        <x:v>5</x:v>
      </x:c>
      <x:c r="P9" s="37" t="str">
        <x:v>vps</x:v>
      </x:c>
      <x:c r="Q9" s="37"/>
    </x:row>
    <x:row r="10">
      <x:c r="A10" s="39" t="n">
        <x:v>46264</x:v>
      </x:c>
      <x:c r="B10" s="36" t="str">
        <x:v>Chưa chạy</x:v>
      </x:c>
      <x:c r="C10" s="36"/>
      <x:c r="D10" s="44"/>
      <x:c r="E10" s="44"/>
      <x:c r="F10" s="46" t="str">
        <x:f>IF(OR(D10="",E10=""),"",24*(E10-D10))</x:f>
      </x:c>
      <x:c r="G10" s="48"/>
      <x:c r="H10" s="48"/>
      <x:c r="I10" s="48"/>
      <x:c r="J10" s="48"/>
      <x:c r="K10" s="48"/>
      <x:c r="L10" s="48"/>
      <x:c r="M10" s="48"/>
      <x:c r="N10" s="48"/>
      <x:c r="O10" s="48" t="n">
        <x:v>5</x:v>
      </x:c>
      <x:c r="P10" s="36" t="str">
        <x:v>vps</x:v>
      </x:c>
      <x:c r="Q10" s="36"/>
    </x:row>
    <x:row r="11">
      <x:c r="A11" s="40" t="n">
        <x:v>46265</x:v>
      </x:c>
      <x:c r="B11" s="37" t="str">
        <x:v>Chưa chạy</x:v>
      </x:c>
      <x:c r="C11" s="37"/>
      <x:c r="D11" s="45"/>
      <x:c r="E11" s="45"/>
      <x:c r="F11" s="47" t="str">
        <x:f>IF(OR(D11="",E11=""),"",24*(E11-D11))</x:f>
      </x:c>
      <x:c r="G11" s="49"/>
      <x:c r="H11" s="49"/>
      <x:c r="I11" s="49"/>
      <x:c r="J11" s="49"/>
      <x:c r="K11" s="49"/>
      <x:c r="L11" s="49"/>
      <x:c r="M11" s="49"/>
      <x:c r="N11" s="49"/>
      <x:c r="O11" s="49" t="n">
        <x:v>5</x:v>
      </x:c>
      <x:c r="P11" s="37" t="str">
        <x:v>vps</x:v>
      </x:c>
      <x:c r="Q11" s="37"/>
    </x:row>
    <x:row r="12">
      <x:c r="A12" s="39" t="n">
        <x:v>46266</x:v>
      </x:c>
      <x:c r="B12" s="36" t="str">
        <x:v>Chưa chạy</x:v>
      </x:c>
      <x:c r="C12" s="36"/>
      <x:c r="D12" s="44"/>
      <x:c r="E12" s="44"/>
      <x:c r="F12" s="46" t="str">
        <x:f>IF(OR(D12="",E12=""),"",24*(E12-D12))</x:f>
      </x:c>
      <x:c r="G12" s="48"/>
      <x:c r="H12" s="48"/>
      <x:c r="I12" s="48"/>
      <x:c r="J12" s="48"/>
      <x:c r="K12" s="48"/>
      <x:c r="L12" s="48"/>
      <x:c r="M12" s="48"/>
      <x:c r="N12" s="48"/>
      <x:c r="O12" s="48" t="n">
        <x:v>5</x:v>
      </x:c>
      <x:c r="P12" s="36" t="str">
        <x:v>vps</x:v>
      </x:c>
      <x:c r="Q12" s="36"/>
    </x:row>
    <x:row r="13">
      <x:c r="A13" s="40" t="n">
        <x:v>46267</x:v>
      </x:c>
      <x:c r="B13" s="37" t="str">
        <x:v>Chưa chạy</x:v>
      </x:c>
      <x:c r="C13" s="37"/>
      <x:c r="D13" s="45"/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/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e79912d93c4ba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609b97d4b2914c3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f66c578c56444d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7f9a1b4610b045c1"/>
  </x:tableParts>
</x:worksheet>
</file>