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d8a77734534e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631b05d1b5941bf"/>
    <x:sheet xmlns:r="http://schemas.openxmlformats.org/officeDocument/2006/relationships" name="VPS_CRAWL_PLAN" sheetId="2" r:id="Rf9b9201294154f65"/>
    <x:sheet xmlns:r="http://schemas.openxmlformats.org/officeDocument/2006/relationships" name="CRAWL_LOG" sheetId="3" r:id="R3f7f49e745e0482b"/>
    <x:sheet xmlns:r="http://schemas.openxmlformats.org/officeDocument/2006/relationships" name="LOCAL_REFERENCE" sheetId="4" r:id="R51ee3179bd574fd1"/>
    <x:sheet xmlns:r="http://schemas.openxmlformats.org/officeDocument/2006/relationships" name="SLOT_RULES" sheetId="5" r:id="Rbe749ec118974481"/>
    <x:sheet xmlns:r="http://schemas.openxmlformats.org/officeDocument/2006/relationships" name="README" sheetId="6" r:id="Re45acd104b3f40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dd/mm/yyyy"/>
    <x:numFmt numFmtId="165" formatCode="dd/mm/yyyy hh:mm"/>
    <x:numFmt numFmtId="166" formatCode="dd/mm/yyyy hh:mm:ss"/>
    <x:numFmt numFmtId="167" formatCode="yyyy-mm-dd hh:mm:ss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4" borderId="2" xfId="0"/>
    <x:xf numFmtId="0" fontId="0" fillId="4" borderId="4" xfId="0"/>
    <x:xf numFmtId="0" fontId="0" fillId="4" borderId="6" xfId="0"/>
    <x:xf numFmtId="0" fontId="3" fillId="4" borderId="2" xfId="0"/>
    <x:xf numFmtId="0" fontId="3" fillId="4" borderId="4" xfId="0"/>
    <x:xf numFmtId="0" fontId="3" fillId="4" borderId="6" xfId="0"/>
    <x:xf numFmtId="0" fontId="3" fillId="4" borderId="2" xfId="0" applyAlignment="1">
      <x:alignment wrapText="1"/>
    </x:xf>
    <x:xf numFmtId="0" fontId="3" fillId="4" borderId="4" xfId="0" applyAlignment="1">
      <x:alignment wrapText="1"/>
    </x:xf>
    <x:xf numFmtId="0" fontId="3" fillId="4" borderId="6" xfId="0" applyAlignment="1">
      <x:alignment wrapText="1"/>
    </x:xf>
    <x:xf numFmtId="164" fontId="0" fillId="0" borderId="3" xfId="0"/>
    <x:xf numFmtId="164" fontId="0" fillId="0" borderId="5" xfId="0"/>
    <x:xf numFmtId="3" fontId="0" fillId="0" borderId="5" xfId="0"/>
    <x:xf numFmtId="3" fontId="0" fillId="0" borderId="7" xfId="0"/>
    <x:xf numFmtId="0" fontId="0" fillId="5" borderId="0" xfId="0"/>
    <x:xf numFmtId="0" fontId="4" fillId="5" borderId="0" xfId="0"/>
    <x:xf numFmtId="0" fontId="4" fillId="5" borderId="0" xfId="0" applyAlignment="1">
      <x:alignment wrapText="1"/>
    </x:xf>
    <x:xf numFmtId="0" fontId="4" fillId="5" borderId="0" xfId="0" applyAlignment="1">
      <x:alignment vertical="center" wrapText="1"/>
    </x:xf>
    <x:xf numFmtId="0" fontId="5" fillId="5" borderId="0" xfId="0"/>
    <x:xf numFmtId="0" fontId="5" fillId="5" borderId="0" xfId="0" applyAlignment="1">
      <x:alignment wrapText="1"/>
    </x:xf>
    <x:xf numFmtId="0" fontId="0" fillId="6" borderId="0" xfId="0"/>
    <x:xf numFmtId="0" fontId="0" fillId="7" borderId="0" xfId="0"/>
    <x:xf numFmtId="0" fontId="0" fillId="8" borderId="0" xfId="0"/>
    <x:xf numFmtId="164" fontId="0" fillId="6" borderId="0" xfId="0"/>
    <x:xf numFmtId="164" fontId="0" fillId="7" borderId="0" xfId="0"/>
    <x:xf numFmtId="164" fontId="0" fillId="8" borderId="0" xfId="0"/>
    <x:xf numFmtId="1" fontId="0" fillId="6" borderId="0" xfId="0"/>
    <x:xf numFmtId="1" fontId="0" fillId="7" borderId="0" xfId="0"/>
    <x:xf numFmtId="165" fontId="0" fillId="6" borderId="0" xfId="0"/>
    <x:xf numFmtId="165" fontId="0" fillId="7" borderId="0" xfId="0"/>
    <x:xf numFmtId="2" fontId="0" fillId="6" borderId="0" xfId="0"/>
    <x:xf numFmtId="2" fontId="0" fillId="7" borderId="0" xfId="0"/>
    <x:xf numFmtId="3" fontId="0" fillId="6" borderId="0" xfId="0"/>
    <x:xf numFmtId="3" fontId="0" fillId="7" borderId="0" xfId="0"/>
    <x:xf numFmtId="0" fontId="0" fillId="5" borderId="7" xfId="0"/>
    <x:xf numFmtId="0" fontId="0" fillId="5" borderId="8" xfId="0"/>
    <x:xf numFmtId="0" fontId="0" fillId="5" borderId="6" xfId="0"/>
    <x:xf numFmtId="0" fontId="0" fillId="5" borderId="9" xfId="0"/>
    <x:xf numFmtId="0" fontId="0" fillId="5" borderId="1" xfId="0"/>
    <x:xf numFmtId="0" fontId="0" fillId="5" borderId="10" xfId="0"/>
    <x:xf numFmtId="0" fontId="0" fillId="5" borderId="3" xfId="0"/>
    <x:xf numFmtId="0" fontId="0" fillId="5" borderId="11" xfId="0"/>
    <x:xf numFmtId="0" fontId="0" fillId="5" borderId="2" xfId="0"/>
    <x:xf numFmtId="0" fontId="0" fillId="5" borderId="7" xfId="0" applyAlignment="1">
      <x:alignment wrapText="1"/>
    </x:xf>
    <x:xf numFmtId="0" fontId="0" fillId="5" borderId="8" xfId="0" applyAlignment="1">
      <x:alignment wrapText="1"/>
    </x:xf>
    <x:xf numFmtId="0" fontId="0" fillId="5" borderId="6" xfId="0" applyAlignment="1">
      <x:alignment wrapText="1"/>
    </x:xf>
    <x:xf numFmtId="0" fontId="0" fillId="5" borderId="9" xfId="0" applyAlignment="1">
      <x:alignment wrapText="1"/>
    </x:xf>
    <x:xf numFmtId="0" fontId="0" fillId="5" borderId="1" xfId="0" applyAlignment="1">
      <x:alignment wrapText="1"/>
    </x:xf>
    <x:xf numFmtId="0" fontId="0" fillId="5" borderId="10" xfId="0" applyAlignment="1">
      <x:alignment wrapText="1"/>
    </x:xf>
    <x:xf numFmtId="0" fontId="0" fillId="5" borderId="3" xfId="0" applyAlignment="1">
      <x:alignment wrapText="1"/>
    </x:xf>
    <x:xf numFmtId="0" fontId="0" fillId="5" borderId="11" xfId="0" applyAlignment="1">
      <x:alignment wrapText="1"/>
    </x:xf>
    <x:xf numFmtId="0" fontId="0" fillId="5" borderId="2" xfId="0" applyAlignment="1">
      <x:alignment wrapText="1"/>
    </x:xf>
    <x:xf numFmtId="0" fontId="0" fillId="6" borderId="0" xfId="0" applyAlignment="1">
      <x:alignment wrapText="1"/>
    </x:xf>
    <x:xf numFmtId="0" fontId="0" fillId="7" borderId="0" xfId="0" applyAlignment="1">
      <x:alignment wrapText="1"/>
    </x:xf>
    <x:xf numFmtId="0" fontId="0" fillId="0" borderId="0" xfId="0" applyAlignment="1">
      <x:alignment wrapText="1"/>
    </x:xf>
    <x:xf numFmtId="166" fontId="0" fillId="6" borderId="0" xfId="0"/>
    <x:xf numFmtId="164" fontId="0" fillId="0" borderId="3" xfId="0"/>
    <x:xf numFmtId="164" fontId="0" fillId="0" borderId="5" xfId="0"/>
    <x:xf numFmtId="3" fontId="0" fillId="0" borderId="5" xfId="0"/>
    <x:xf numFmtId="3" fontId="0" fillId="0" borderId="7" xfId="0"/>
    <x:xf numFmtId="164" fontId="0" fillId="6" borderId="0" xfId="0"/>
    <x:xf numFmtId="164" fontId="0" fillId="8" borderId="0" xfId="0"/>
    <x:xf numFmtId="1" fontId="0" fillId="6" borderId="0" xfId="0"/>
    <x:xf numFmtId="164" fontId="0" fillId="7" borderId="0" xfId="0"/>
    <x:xf numFmtId="1" fontId="0" fillId="7" borderId="0" xfId="0"/>
    <x:xf numFmtId="165" fontId="0" fillId="6" borderId="0" xfId="0"/>
    <x:xf numFmtId="2" fontId="0" fillId="6" borderId="0" xfId="0"/>
    <x:xf numFmtId="3" fontId="0" fillId="6" borderId="0" xfId="0"/>
    <x:xf numFmtId="165" fontId="0" fillId="7" borderId="0" xfId="0"/>
    <x:xf numFmtId="2" fontId="0" fillId="7" borderId="0" xfId="0"/>
    <x:xf numFmtId="3" fontId="0" fillId="7" borderId="0" xfId="0"/>
    <x:xf numFmtId="166" fontId="0" fillId="6" borderId="0" xfId="0"/>
    <x:xf numFmtId="167" fontId="0" fillId="6" borderId="0" xfId="0"/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59a48b7ce0496b" /><Relationship Type="http://schemas.openxmlformats.org/officeDocument/2006/relationships/theme" Target="/xl/theme/theme1.xml" Id="R870fd2ddd0d64a55" /><Relationship Type="http://schemas.openxmlformats.org/officeDocument/2006/relationships/sharedStrings" Target="/xl/sharedStrings.xml" Id="Ra846712cac8f45a7" /><Relationship Type="http://schemas.openxmlformats.org/officeDocument/2006/relationships/worksheet" Target="/xl/worksheets/sheet1.xml" Id="Rf631b05d1b5941bf" /><Relationship Type="http://schemas.openxmlformats.org/officeDocument/2006/relationships/worksheet" Target="/xl/worksheets/sheet2.xml" Id="Rf9b9201294154f65" /><Relationship Type="http://schemas.openxmlformats.org/officeDocument/2006/relationships/worksheet" Target="/xl/worksheets/sheet3.xml" Id="R3f7f49e745e0482b" /><Relationship Type="http://schemas.openxmlformats.org/officeDocument/2006/relationships/worksheet" Target="/xl/worksheets/sheet4.xml" Id="R51ee3179bd574fd1" /><Relationship Type="http://schemas.openxmlformats.org/officeDocument/2006/relationships/worksheet" Target="/xl/worksheets/sheet5.xml" Id="Rbe749ec118974481" /><Relationship Type="http://schemas.openxmlformats.org/officeDocument/2006/relationships/worksheet" Target="/xl/worksheets/sheet6.xml" Id="Re45acd104b3f406d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47ae44a6c34a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1a68b3337454f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d134c63474146d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3122d8bbc647b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d284580d01847c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customWidth="1"/>
    <x:col min="2" max="2" width="22" customWidth="1"/>
    <x:col min="3" max="3" width="4" customWidth="1"/>
    <x:col min="4" max="4" width="28" customWidth="1"/>
    <x:col min="5" max="5" width="18" customWidth="1"/>
  </x:cols>
  <x:sheetData>
    <x:row r="1" ht="28" customHeight="1">
      <x:c r="A1" s="4" t="inlineStr">
        <x:is>
          <x:t xml:space="preserve">LỊCH CRAWL VPS BỔ SUNG — 24/08/2026 ĐẾN 30/11/2026</x:t>
        </x:is>
      </x:c>
    </x:row>
    <x:row r="3" ht="28" customHeight="1">
      <x:c r="A3" s="10" t="inlineStr">
        <x:is>
          <x:t xml:space="preserve">Thông số</x:t>
        </x:is>
      </x:c>
      <x:c r="B3" s="10" t="inlineStr">
        <x:is>
          <x:t xml:space="preserve">Giá trị</x:t>
        </x:is>
      </x:c>
      <x:c r="D3" s="10" t="inlineStr">
        <x:is>
          <x:t xml:space="preserve">Kiểm tra</x:t>
        </x:is>
      </x:c>
      <x:c r="E3" s="10" t="inlineStr">
        <x:is>
          <x:t xml:space="preserve">Kết quả</x:t>
        </x:is>
      </x:c>
    </x:row>
    <x:row r="4">
      <x:c r="A4" s="23" t="inlineStr">
        <x:is>
          <x:t xml:space="preserve">Ngày bắt đầu</x:t>
        </x:is>
      </x:c>
      <x:c r="B4" s="72" t="n">
        <x:v>46258</x:v>
      </x:c>
      <x:c r="D4" s="23" t="inlineStr">
        <x:is>
          <x:t xml:space="preserve">Số ngày mong đợi</x:t>
        </x:is>
      </x:c>
      <x:c r="E4" s="12" t="n">
        <x:v>99</x:v>
      </x:c>
    </x:row>
    <x:row r="5">
      <x:c r="A5" s="24" t="inlineStr">
        <x:is>
          <x:t xml:space="preserve">Ngày kết thúc</x:t>
        </x:is>
      </x:c>
      <x:c r="B5" s="73" t="n">
        <x:v>46356</x:v>
      </x:c>
      <x:c r="D5" s="24" t="inlineStr">
        <x:is>
          <x:t xml:space="preserve">Số dòng lịch thực tế</x:t>
        </x:is>
      </x:c>
      <x:c r="E5" s="14" t="n">
        <x:f>B8</x:f>
        <x:v>99</x:v>
      </x:c>
    </x:row>
    <x:row r="6">
      <x:c r="A6" s="24" t="inlineStr">
        <x:is>
          <x:t xml:space="preserve">Giờ bắt đầu mỗi ngày</x:t>
        </x:is>
      </x:c>
      <x:c r="B6" s="14" t="inlineStr">
        <x:is>
          <x:t xml:space="preserve">00:30</x:t>
        </x:is>
      </x:c>
      <x:c r="D6" s="24" t="inlineStr">
        <x:is>
          <x:t xml:space="preserve">Mỗi ngày đủ 5 check-in</x:t>
        </x:is>
      </x:c>
      <x:c r="E6" s="14" t="str">
        <x:f>IF(COUNTIF('VPS_CRAWL_PLAN'!$L$4:$L$102,"PASS")=$E$4,"PASS","CHECK")</x:f>
        <x:v>PASS</x:v>
      </x:c>
    </x:row>
    <x:row r="7">
      <x:c r="A7" s="24" t="inlineStr">
        <x:is>
          <x:t xml:space="preserve">Múi giờ</x:t>
        </x:is>
      </x:c>
      <x:c r="B7" s="14" t="inlineStr">
        <x:is>
          <x:t xml:space="preserve">Asia/Ho_Chi_Minh</x:t>
        </x:is>
      </x:c>
      <x:c r="D7" s="24" t="inlineStr">
        <x:is>
          <x:t xml:space="preserve">Không trùng 12 ngày local</x:t>
        </x:is>
      </x:c>
      <x:c r="E7" s="14" t="str">
        <x:f>IF(COUNTIF('VPS_CRAWL_PLAN'!$M$4:$M$102,"PASS")=$E$4,"PASS","CHECK")</x:f>
        <x:v>PASS</x:v>
      </x:c>
    </x:row>
    <x:row r="8">
      <x:c r="A8" s="24" t="inlineStr">
        <x:is>
          <x:t xml:space="preserve">Tổng số ngày theo lịch</x:t>
        </x:is>
      </x:c>
      <x:c r="B8" s="74" t="n">
        <x:f>ROWS('VPS_CRAWL_PLAN'!$A$4:$A$102)</x:f>
        <x:v>99</x:v>
      </x:c>
      <x:c r="D8" s="25" t="inlineStr">
        <x:is>
          <x:t xml:space="preserve">Trạng thái workbook</x:t>
        </x:is>
      </x:c>
      <x:c r="E8" s="16" t="str">
        <x:f>IF(AND(E4=E5,E6="PASS",E7="PASS"),"PASS","CHECK")</x:f>
        <x:v>PASS</x:v>
      </x:c>
    </x:row>
    <x:row r="9">
      <x:c r="A9" s="24" t="inlineStr">
        <x:is>
          <x:t xml:space="preserve">Số khách sạn</x:t>
        </x:is>
      </x:c>
      <x:c r="B9" s="74" t="n">
        <x:v>354</x:v>
      </x:c>
    </x:row>
    <x:row r="10">
      <x:c r="A10" s="24" t="inlineStr">
        <x:is>
          <x:t xml:space="preserve">Check-in mỗi ngày</x:t>
        </x:is>
      </x:c>
      <x:c r="B10" s="74" t="n">
        <x:v>5</x:v>
      </x:c>
    </x:row>
    <x:row r="11">
      <x:c r="A11" s="24" t="inlineStr">
        <x:is>
          <x:t xml:space="preserve">Item dự kiến mỗi ngày</x:t>
        </x:is>
      </x:c>
      <x:c r="B11" s="74" t="n">
        <x:v>1770</x:v>
      </x:c>
    </x:row>
    <x:row r="12">
      <x:c r="A12" s="24" t="inlineStr">
        <x:is>
          <x:t xml:space="preserve">Đã hoàn thành</x:t>
        </x:is>
      </x:c>
      <x:c r="B12" s="74" t="n">
        <x:f>COUNTIF('CRAWL_LOG'!$B$4:$B$102,"Hoàn thành")+COUNTIF('CRAWL_LOG'!$B$4:$B$102,"Hoàn thành có lỗi")</x:f>
        <x:v>16</x:v>
      </x:c>
    </x:row>
    <x:row r="13">
      <x:c r="A13" s="25" t="inlineStr">
        <x:is>
          <x:t xml:space="preserve">Chưa chạy</x:t>
        </x:is>
      </x:c>
      <x:c r="B13" s="75" t="n">
        <x:f>COUNTIF('CRAWL_LOG'!$B$4:$B$102,"Chưa chạy")</x:f>
        <x:v>82</x:v>
      </x:c>
    </x:row>
    <x:row r="15">
      <x:c r="A15" s="33" t="inlineStr">
        <x:is>
          <x:t xml:space="preserve">VPS theo dõi 5 anchor bổ sung có chủ đích. Mỗi ngày được đối chiếu trực tiếp với 12 ngày local; không chọn ngẫu nhiên lại và không dùng slot trùng local.</x:t>
        </x:is>
      </x:c>
    </x:row>
    <x:row r="16"/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12" customWidth="1"/>
    <x:col min="4" max="4" width="15" customWidth="1"/>
    <x:col min="5" max="5" width="15" customWidth="1"/>
    <x:col min="6" max="6" width="15" customWidth="1"/>
    <x:col min="7" max="7" width="15" customWidth="1"/>
    <x:col min="8" max="8" width="15" customWidth="1"/>
    <x:col min="9" max="9" width="15" customWidth="1"/>
    <x:col min="10" max="10" width="10" customWidth="1"/>
    <x:col min="11" max="11" width="10" customWidth="1"/>
    <x:col min="12" max="12" width="18" customWidth="1"/>
    <x:col min="13" max="13" width="18" customWidth="1"/>
    <x:col min="14" max="14" width="18" customWidth="1"/>
    <x:col min="15" max="15" width="22" customWidth="1"/>
  </x:cols>
  <x:sheetData>
    <x:row r="1" ht="28" customHeight="1">
      <x:c r="A1" s="4" t="inlineStr">
        <x:is>
          <x:t xml:space="preserve">VPS CRAWL PLAN — 99 NGÀY, 5 CHECK-IN BỔ SUNG MỖI NGÀY</x:t>
        </x:is>
      </x:c>
    </x:row>
    <x:row r="2">
      <x:c r="A2" s="35" t="inlineStr">
        <x:is>
          <x:t xml:space="preserve">V1–V5 là anchor bổ sung. Tất cả check-in phải &gt;= crawl date, khác nhau và không xuất hiện trong 12 slot local của cùng ngày crawl.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Thứ</x:t>
        </x:is>
      </x:c>
      <x:c r="C3" s="10" t="inlineStr">
        <x:is>
          <x:t xml:space="preserve">Phase</x:t>
        </x:is>
      </x:c>
      <x:c r="D3" s="10" t="inlineStr">
        <x:is>
          <x:t xml:space="preserve">Start time (ICT)</x:t>
        </x:is>
      </x:c>
      <x:c r="E3" s="10" t="inlineStr">
        <x:is>
          <x:t xml:space="preserve">V1 weekday</x:t>
        </x:is>
      </x:c>
      <x:c r="F3" s="10" t="inlineStr">
        <x:is>
          <x:t xml:space="preserve">V2 weekend</x:t>
        </x:is>
      </x:c>
      <x:c r="G3" s="10" t="inlineStr">
        <x:is>
          <x:t xml:space="preserve">V3 seasonal</x:t>
        </x:is>
      </x:c>
      <x:c r="H3" s="10" t="inlineStr">
        <x:is>
          <x:t xml:space="preserve">V4 medium</x:t>
        </x:is>
      </x:c>
      <x:c r="I3" s="10" t="inlineStr">
        <x:is>
          <x:t xml:space="preserve">V5 long</x:t>
        </x:is>
      </x:c>
      <x:c r="J3" s="10" t="inlineStr">
        <x:is>
          <x:t xml:space="preserve">Min lead</x:t>
        </x:is>
      </x:c>
      <x:c r="K3" s="10" t="inlineStr">
        <x:is>
          <x:t xml:space="preserve">Max lead</x:t>
        </x:is>
      </x:c>
      <x:c r="L3" s="10" t="inlineStr">
        <x:is>
          <x:t xml:space="preserve">5 ngày hợp lệ</x:t>
        </x:is>
      </x:c>
      <x:c r="M3" s="10" t="inlineStr">
        <x:is>
          <x:t xml:space="preserve">Không trùng local</x:t>
        </x:is>
      </x:c>
      <x:c r="N3" s="10" t="inlineStr">
        <x:is>
          <x:t xml:space="preserve">Crawl status</x:t>
        </x:is>
      </x:c>
      <x:c r="O3" s="10" t="inlineStr">
        <x:is>
          <x:t xml:space="preserve">Sampling note</x:t>
        </x:is>
      </x:c>
    </x:row>
    <x:row r="4">
      <x:c r="A4" s="76" t="n">
        <x:v>46258</x:v>
      </x:c>
      <x:c r="B4" s="36" t="inlineStr">
        <x:is>
          <x:t xml:space="preserve">Thứ Hai</x:t>
        </x:is>
      </x:c>
      <x:c r="C4" s="36" t="inlineStr">
        <x:is>
          <x:t xml:space="preserve">Warm-up</x:t>
        </x:is>
      </x:c>
      <x:c r="D4" s="36" t="inlineStr">
        <x:is>
          <x:t xml:space="preserve">00:30</x:t>
        </x:is>
      </x:c>
      <x:c r="E4" s="77" t="n">
        <x:v>46261</x:v>
      </x:c>
      <x:c r="F4" s="77" t="n">
        <x:v>46264</x:v>
      </x:c>
      <x:c r="G4" s="77" t="n">
        <x:v>46268</x:v>
      </x:c>
      <x:c r="H4" s="77" t="n">
        <x:v>46281</x:v>
      </x:c>
      <x:c r="I4" s="77" t="n">
        <x:v>46411</x:v>
      </x:c>
      <x:c r="J4" s="78" t="n">
        <x:f>MIN(E4:I4)-A4</x:f>
        <x:v>3</x:v>
      </x:c>
      <x:c r="K4" s="78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inlineStr">
        <x:is>
          <x:t xml:space="preserve">Supplementary panel</x:t>
        </x:is>
      </x:c>
    </x:row>
    <x:row r="5">
      <x:c r="A5" s="79" t="n">
        <x:v>46259</x:v>
      </x:c>
      <x:c r="B5" s="37" t="inlineStr">
        <x:is>
          <x:t xml:space="preserve">Thứ Ba</x:t>
        </x:is>
      </x:c>
      <x:c r="C5" s="37" t="inlineStr">
        <x:is>
          <x:t xml:space="preserve">Warm-up</x:t>
        </x:is>
      </x:c>
      <x:c r="D5" s="37" t="inlineStr">
        <x:is>
          <x:t xml:space="preserve">00:30</x:t>
        </x:is>
      </x:c>
      <x:c r="E5" s="77" t="n">
        <x:v>46261</x:v>
      </x:c>
      <x:c r="F5" s="77" t="n">
        <x:v>46264</x:v>
      </x:c>
      <x:c r="G5" s="77" t="n">
        <x:v>46268</x:v>
      </x:c>
      <x:c r="H5" s="77" t="n">
        <x:v>46281</x:v>
      </x:c>
      <x:c r="I5" s="77" t="n">
        <x:v>46411</x:v>
      </x:c>
      <x:c r="J5" s="80" t="n">
        <x:f>MIN(E5:I5)-A5</x:f>
        <x:v>2</x:v>
      </x:c>
      <x:c r="K5" s="80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inlineStr">
        <x:is>
          <x:t xml:space="preserve">Supplementary panel</x:t>
        </x:is>
      </x:c>
    </x:row>
    <x:row r="6">
      <x:c r="A6" s="76" t="n">
        <x:v>46260</x:v>
      </x:c>
      <x:c r="B6" s="36" t="inlineStr">
        <x:is>
          <x:t xml:space="preserve">Thứ Tư</x:t>
        </x:is>
      </x:c>
      <x:c r="C6" s="36" t="inlineStr">
        <x:is>
          <x:t xml:space="preserve">Warm-up</x:t>
        </x:is>
      </x:c>
      <x:c r="D6" s="36" t="inlineStr">
        <x:is>
          <x:t xml:space="preserve">00:30</x:t>
        </x:is>
      </x:c>
      <x:c r="E6" s="77" t="n">
        <x:v>46261</x:v>
      </x:c>
      <x:c r="F6" s="77" t="n">
        <x:v>46264</x:v>
      </x:c>
      <x:c r="G6" s="77" t="n">
        <x:v>46268</x:v>
      </x:c>
      <x:c r="H6" s="77" t="n">
        <x:v>46281</x:v>
      </x:c>
      <x:c r="I6" s="77" t="n">
        <x:v>46411</x:v>
      </x:c>
      <x:c r="J6" s="78" t="n">
        <x:f>MIN(E6:I6)-A6</x:f>
        <x:v>1</x:v>
      </x:c>
      <x:c r="K6" s="78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inlineStr">
        <x:is>
          <x:t xml:space="preserve">Supplementary panel</x:t>
        </x:is>
      </x:c>
    </x:row>
    <x:row r="7">
      <x:c r="A7" s="79" t="n">
        <x:v>46261</x:v>
      </x:c>
      <x:c r="B7" s="37" t="inlineStr">
        <x:is>
          <x:t xml:space="preserve">Thứ Năm</x:t>
        </x:is>
      </x:c>
      <x:c r="C7" s="37" t="inlineStr">
        <x:is>
          <x:t xml:space="preserve">Warm-up</x:t>
        </x:is>
      </x:c>
      <x:c r="D7" s="37" t="inlineStr">
        <x:is>
          <x:t xml:space="preserve">00:30</x:t>
        </x:is>
      </x:c>
      <x:c r="E7" s="77" t="n">
        <x:v>46261</x:v>
      </x:c>
      <x:c r="F7" s="77" t="n">
        <x:v>46264</x:v>
      </x:c>
      <x:c r="G7" s="77" t="n">
        <x:v>46268</x:v>
      </x:c>
      <x:c r="H7" s="77" t="n">
        <x:v>46281</x:v>
      </x:c>
      <x:c r="I7" s="77" t="n">
        <x:v>46411</x:v>
      </x:c>
      <x:c r="J7" s="80" t="n">
        <x:f>MIN(E7:I7)-A7</x:f>
        <x:v>0</x:v>
      </x:c>
      <x:c r="K7" s="80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inlineStr">
        <x:is>
          <x:t xml:space="preserve">Supplementary panel</x:t>
        </x:is>
      </x:c>
    </x:row>
    <x:row r="8">
      <x:c r="A8" s="76" t="n">
        <x:v>46262</x:v>
      </x:c>
      <x:c r="B8" s="36" t="inlineStr">
        <x:is>
          <x:t xml:space="preserve">Thứ Sáu</x:t>
        </x:is>
      </x:c>
      <x:c r="C8" s="36" t="inlineStr">
        <x:is>
          <x:t xml:space="preserve">Warm-up</x:t>
        </x:is>
      </x:c>
      <x:c r="D8" s="36" t="inlineStr">
        <x:is>
          <x:t xml:space="preserve">00:30</x:t>
        </x:is>
      </x:c>
      <x:c r="E8" s="77" t="n">
        <x:v>46289</x:v>
      </x:c>
      <x:c r="F8" s="77" t="n">
        <x:v>46264</x:v>
      </x:c>
      <x:c r="G8" s="77" t="n">
        <x:v>46268</x:v>
      </x:c>
      <x:c r="H8" s="77" t="n">
        <x:v>46281</x:v>
      </x:c>
      <x:c r="I8" s="77" t="n">
        <x:v>46411</x:v>
      </x:c>
      <x:c r="J8" s="78" t="n">
        <x:f>MIN(E8:I8)-A8</x:f>
        <x:v>2</x:v>
      </x:c>
      <x:c r="K8" s="78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inlineStr">
        <x:is>
          <x:t xml:space="preserve">Supplementary panel</x:t>
        </x:is>
      </x:c>
    </x:row>
    <x:row r="9">
      <x:c r="A9" s="79" t="n">
        <x:v>46263</x:v>
      </x:c>
      <x:c r="B9" s="37" t="inlineStr">
        <x:is>
          <x:t xml:space="preserve">Thứ Bảy</x:t>
        </x:is>
      </x:c>
      <x:c r="C9" s="37" t="inlineStr">
        <x:is>
          <x:t xml:space="preserve">Warm-up</x:t>
        </x:is>
      </x:c>
      <x:c r="D9" s="37" t="inlineStr">
        <x:is>
          <x:t xml:space="preserve">00:30</x:t>
        </x:is>
      </x:c>
      <x:c r="E9" s="77" t="n">
        <x:v>46289</x:v>
      </x:c>
      <x:c r="F9" s="77" t="n">
        <x:v>46264</x:v>
      </x:c>
      <x:c r="G9" s="77" t="n">
        <x:v>46268</x:v>
      </x:c>
      <x:c r="H9" s="77" t="n">
        <x:v>46281</x:v>
      </x:c>
      <x:c r="I9" s="77" t="n">
        <x:v>46411</x:v>
      </x:c>
      <x:c r="J9" s="80" t="n">
        <x:f>MIN(E9:I9)-A9</x:f>
        <x:v>1</x:v>
      </x:c>
      <x:c r="K9" s="80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inlineStr">
        <x:is>
          <x:t xml:space="preserve">Supplementary panel</x:t>
        </x:is>
      </x:c>
    </x:row>
    <x:row r="10">
      <x:c r="A10" s="76" t="n">
        <x:v>46264</x:v>
      </x:c>
      <x:c r="B10" s="36" t="inlineStr">
        <x:is>
          <x:t xml:space="preserve">Chủ Nhật</x:t>
        </x:is>
      </x:c>
      <x:c r="C10" s="36" t="inlineStr">
        <x:is>
          <x:t xml:space="preserve">Warm-up</x:t>
        </x:is>
      </x:c>
      <x:c r="D10" s="36" t="inlineStr">
        <x:is>
          <x:t xml:space="preserve">00:30</x:t>
        </x:is>
      </x:c>
      <x:c r="E10" s="77" t="n">
        <x:v>46289</x:v>
      </x:c>
      <x:c r="F10" s="77" t="n">
        <x:v>46264</x:v>
      </x:c>
      <x:c r="G10" s="77" t="n">
        <x:v>46268</x:v>
      </x:c>
      <x:c r="H10" s="77" t="n">
        <x:v>46281</x:v>
      </x:c>
      <x:c r="I10" s="77" t="n">
        <x:v>46411</x:v>
      </x:c>
      <x:c r="J10" s="78" t="n">
        <x:f>MIN(E10:I10)-A10</x:f>
        <x:v>0</x:v>
      </x:c>
      <x:c r="K10" s="78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inlineStr">
        <x:is>
          <x:t xml:space="preserve">Supplementary panel</x:t>
        </x:is>
      </x:c>
    </x:row>
    <x:row r="11">
      <x:c r="A11" s="79" t="n">
        <x:v>46265</x:v>
      </x:c>
      <x:c r="B11" s="37" t="inlineStr">
        <x:is>
          <x:t xml:space="preserve">Thứ Hai</x:t>
        </x:is>
      </x:c>
      <x:c r="C11" s="37" t="inlineStr">
        <x:is>
          <x:t xml:space="preserve">Warm-up</x:t>
        </x:is>
      </x:c>
      <x:c r="D11" s="37" t="inlineStr">
        <x:is>
          <x:t xml:space="preserve">00:30</x:t>
        </x:is>
      </x:c>
      <x:c r="E11" s="77" t="n">
        <x:v>46289</x:v>
      </x:c>
      <x:c r="F11" s="77" t="n">
        <x:v>46292</x:v>
      </x:c>
      <x:c r="G11" s="77" t="n">
        <x:v>46268</x:v>
      </x:c>
      <x:c r="H11" s="77" t="n">
        <x:v>46281</x:v>
      </x:c>
      <x:c r="I11" s="77" t="n">
        <x:v>46411</x:v>
      </x:c>
      <x:c r="J11" s="80" t="n">
        <x:f>MIN(E11:I11)-A11</x:f>
        <x:v>3</x:v>
      </x:c>
      <x:c r="K11" s="80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inlineStr">
        <x:is>
          <x:t xml:space="preserve">Supplementary panel</x:t>
        </x:is>
      </x:c>
    </x:row>
    <x:row r="12">
      <x:c r="A12" s="76" t="n">
        <x:v>46266</x:v>
      </x:c>
      <x:c r="B12" s="36" t="inlineStr">
        <x:is>
          <x:t xml:space="preserve">Thứ Ba</x:t>
        </x:is>
      </x:c>
      <x:c r="C12" s="36" t="inlineStr">
        <x:is>
          <x:t xml:space="preserve">Official</x:t>
        </x:is>
      </x:c>
      <x:c r="D12" s="36" t="inlineStr">
        <x:is>
          <x:t xml:space="preserve">00:30</x:t>
        </x:is>
      </x:c>
      <x:c r="E12" s="77" t="n">
        <x:v>46289</x:v>
      </x:c>
      <x:c r="F12" s="77" t="n">
        <x:v>46292</x:v>
      </x:c>
      <x:c r="G12" s="77" t="n">
        <x:v>46268</x:v>
      </x:c>
      <x:c r="H12" s="77" t="n">
        <x:v>46281</x:v>
      </x:c>
      <x:c r="I12" s="77" t="n">
        <x:v>46411</x:v>
      </x:c>
      <x:c r="J12" s="78" t="n">
        <x:f>MIN(E12:I12)-A12</x:f>
        <x:v>2</x:v>
      </x:c>
      <x:c r="K12" s="78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inlineStr">
        <x:is>
          <x:t xml:space="preserve">Supplementary panel</x:t>
        </x:is>
      </x:c>
    </x:row>
    <x:row r="13">
      <x:c r="A13" s="79" t="n">
        <x:v>46267</x:v>
      </x:c>
      <x:c r="B13" s="37" t="inlineStr">
        <x:is>
          <x:t xml:space="preserve">Thứ Tư</x:t>
        </x:is>
      </x:c>
      <x:c r="C13" s="37" t="inlineStr">
        <x:is>
          <x:t xml:space="preserve">Official</x:t>
        </x:is>
      </x:c>
      <x:c r="D13" s="37" t="inlineStr">
        <x:is>
          <x:t xml:space="preserve">00:30</x:t>
        </x:is>
      </x:c>
      <x:c r="E13" s="77" t="n">
        <x:v>46289</x:v>
      </x:c>
      <x:c r="F13" s="77" t="n">
        <x:v>46292</x:v>
      </x:c>
      <x:c r="G13" s="77" t="n">
        <x:v>46268</x:v>
      </x:c>
      <x:c r="H13" s="77" t="n">
        <x:v>46281</x:v>
      </x:c>
      <x:c r="I13" s="77" t="n">
        <x:v>46411</x:v>
      </x:c>
      <x:c r="J13" s="80" t="n">
        <x:f>MIN(E13:I13)-A13</x:f>
        <x:v>1</x:v>
      </x:c>
      <x:c r="K13" s="80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Hoàn thành có lỗi</x:v>
      </x:c>
      <x:c r="O13" s="37" t="inlineStr">
        <x:is>
          <x:t xml:space="preserve">Supplementary panel</x:t>
        </x:is>
      </x:c>
    </x:row>
    <x:row r="14">
      <x:c r="A14" s="76" t="n">
        <x:v>46268</x:v>
      </x:c>
      <x:c r="B14" s="36" t="inlineStr">
        <x:is>
          <x:t xml:space="preserve">Thứ Năm</x:t>
        </x:is>
      </x:c>
      <x:c r="C14" s="36" t="inlineStr">
        <x:is>
          <x:t xml:space="preserve">Official</x:t>
        </x:is>
      </x:c>
      <x:c r="D14" s="36" t="inlineStr">
        <x:is>
          <x:t xml:space="preserve">00:30</x:t>
        </x:is>
      </x:c>
      <x:c r="E14" s="77" t="n">
        <x:v>46289</x:v>
      </x:c>
      <x:c r="F14" s="77" t="n">
        <x:v>46292</x:v>
      </x:c>
      <x:c r="G14" s="77" t="n">
        <x:v>46268</x:v>
      </x:c>
      <x:c r="H14" s="77" t="n">
        <x:v>46281</x:v>
      </x:c>
      <x:c r="I14" s="77" t="n">
        <x:v>46411</x:v>
      </x:c>
      <x:c r="J14" s="78" t="n">
        <x:f>MIN(E14:I14)-A14</x:f>
        <x:v>0</x:v>
      </x:c>
      <x:c r="K14" s="78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Hoàn thành có lỗi</x:v>
      </x:c>
      <x:c r="O14" s="36" t="inlineStr">
        <x:is>
          <x:t xml:space="preserve">Supplementary panel</x:t>
        </x:is>
      </x:c>
    </x:row>
    <x:row r="15">
      <x:c r="A15" s="79" t="n">
        <x:v>46269</x:v>
      </x:c>
      <x:c r="B15" s="37" t="inlineStr">
        <x:is>
          <x:t xml:space="preserve">Thứ Sáu</x:t>
        </x:is>
      </x:c>
      <x:c r="C15" s="37" t="inlineStr">
        <x:is>
          <x:t xml:space="preserve">Official</x:t>
        </x:is>
      </x:c>
      <x:c r="D15" s="37" t="inlineStr">
        <x:is>
          <x:t xml:space="preserve">00:30</x:t>
        </x:is>
      </x:c>
      <x:c r="E15" s="77" t="n">
        <x:v>46289</x:v>
      </x:c>
      <x:c r="F15" s="77" t="n">
        <x:v>46292</x:v>
      </x:c>
      <x:c r="G15" s="77" t="n">
        <x:v>46296</x:v>
      </x:c>
      <x:c r="H15" s="77" t="n">
        <x:v>46281</x:v>
      </x:c>
      <x:c r="I15" s="77" t="n">
        <x:v>46411</x:v>
      </x:c>
      <x:c r="J15" s="80" t="n">
        <x:f>MIN(E15:I15)-A15</x:f>
        <x:v>12</x:v>
      </x:c>
      <x:c r="K15" s="80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Hoàn thành có lỗi</x:v>
      </x:c>
      <x:c r="O15" s="37" t="inlineStr">
        <x:is>
          <x:t xml:space="preserve">Supplementary panel</x:t>
        </x:is>
      </x:c>
    </x:row>
    <x:row r="16">
      <x:c r="A16" s="76" t="n">
        <x:v>46270</x:v>
      </x:c>
      <x:c r="B16" s="36" t="inlineStr">
        <x:is>
          <x:t xml:space="preserve">Thứ Bảy</x:t>
        </x:is>
      </x:c>
      <x:c r="C16" s="36" t="inlineStr">
        <x:is>
          <x:t xml:space="preserve">Official</x:t>
        </x:is>
      </x:c>
      <x:c r="D16" s="36" t="inlineStr">
        <x:is>
          <x:t xml:space="preserve">00:30</x:t>
        </x:is>
      </x:c>
      <x:c r="E16" s="77" t="n">
        <x:v>46289</x:v>
      </x:c>
      <x:c r="F16" s="77" t="n">
        <x:v>46292</x:v>
      </x:c>
      <x:c r="G16" s="77" t="n">
        <x:v>46296</x:v>
      </x:c>
      <x:c r="H16" s="77" t="n">
        <x:v>46281</x:v>
      </x:c>
      <x:c r="I16" s="77" t="n">
        <x:v>46411</x:v>
      </x:c>
      <x:c r="J16" s="78" t="n">
        <x:f>MIN(E16:I16)-A16</x:f>
        <x:v>11</x:v>
      </x:c>
      <x:c r="K16" s="78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Hoàn thành có lỗi</x:v>
      </x:c>
      <x:c r="O16" s="36" t="inlineStr">
        <x:is>
          <x:t xml:space="preserve">Supplementary panel</x:t>
        </x:is>
      </x:c>
    </x:row>
    <x:row r="17">
      <x:c r="A17" s="79" t="n">
        <x:v>46271</x:v>
      </x:c>
      <x:c r="B17" s="37" t="inlineStr">
        <x:is>
          <x:t xml:space="preserve">Chủ Nhật</x:t>
        </x:is>
      </x:c>
      <x:c r="C17" s="37" t="inlineStr">
        <x:is>
          <x:t xml:space="preserve">Official</x:t>
        </x:is>
      </x:c>
      <x:c r="D17" s="37" t="inlineStr">
        <x:is>
          <x:t xml:space="preserve">00:30</x:t>
        </x:is>
      </x:c>
      <x:c r="E17" s="77" t="n">
        <x:v>46289</x:v>
      </x:c>
      <x:c r="F17" s="77" t="n">
        <x:v>46292</x:v>
      </x:c>
      <x:c r="G17" s="77" t="n">
        <x:v>46296</x:v>
      </x:c>
      <x:c r="H17" s="77" t="n">
        <x:v>46281</x:v>
      </x:c>
      <x:c r="I17" s="77" t="n">
        <x:v>46411</x:v>
      </x:c>
      <x:c r="J17" s="80" t="n">
        <x:f>MIN(E17:I17)-A17</x:f>
        <x:v>10</x:v>
      </x:c>
      <x:c r="K17" s="80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Hoàn thành có lỗi</x:v>
      </x:c>
      <x:c r="O17" s="37" t="inlineStr">
        <x:is>
          <x:t xml:space="preserve">Supplementary panel</x:t>
        </x:is>
      </x:c>
    </x:row>
    <x:row r="18">
      <x:c r="A18" s="76" t="n">
        <x:v>46272</x:v>
      </x:c>
      <x:c r="B18" s="36" t="inlineStr">
        <x:is>
          <x:t xml:space="preserve">Thứ Hai</x:t>
        </x:is>
      </x:c>
      <x:c r="C18" s="36" t="inlineStr">
        <x:is>
          <x:t xml:space="preserve">Official</x:t>
        </x:is>
      </x:c>
      <x:c r="D18" s="36" t="inlineStr">
        <x:is>
          <x:t xml:space="preserve">00:30</x:t>
        </x:is>
      </x:c>
      <x:c r="E18" s="77" t="n">
        <x:v>46289</x:v>
      </x:c>
      <x:c r="F18" s="77" t="n">
        <x:v>46292</x:v>
      </x:c>
      <x:c r="G18" s="77" t="n">
        <x:v>46296</x:v>
      </x:c>
      <x:c r="H18" s="77" t="n">
        <x:v>46281</x:v>
      </x:c>
      <x:c r="I18" s="77" t="n">
        <x:v>46411</x:v>
      </x:c>
      <x:c r="J18" s="78" t="n">
        <x:f>MIN(E18:I18)-A18</x:f>
        <x:v>9</x:v>
      </x:c>
      <x:c r="K18" s="78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Hoàn thành có lỗi</x:v>
      </x:c>
      <x:c r="O18" s="36" t="inlineStr">
        <x:is>
          <x:t xml:space="preserve">Supplementary panel</x:t>
        </x:is>
      </x:c>
    </x:row>
    <x:row r="19">
      <x:c r="A19" s="79" t="n">
        <x:v>46273</x:v>
      </x:c>
      <x:c r="B19" s="37" t="inlineStr">
        <x:is>
          <x:t xml:space="preserve">Thứ Ba</x:t>
        </x:is>
      </x:c>
      <x:c r="C19" s="37" t="inlineStr">
        <x:is>
          <x:t xml:space="preserve">Official</x:t>
        </x:is>
      </x:c>
      <x:c r="D19" s="37" t="inlineStr">
        <x:is>
          <x:t xml:space="preserve">00:30</x:t>
        </x:is>
      </x:c>
      <x:c r="E19" s="77" t="n">
        <x:v>46289</x:v>
      </x:c>
      <x:c r="F19" s="77" t="n">
        <x:v>46292</x:v>
      </x:c>
      <x:c r="G19" s="77" t="n">
        <x:v>46296</x:v>
      </x:c>
      <x:c r="H19" s="77" t="n">
        <x:v>46281</x:v>
      </x:c>
      <x:c r="I19" s="77" t="n">
        <x:v>46411</x:v>
      </x:c>
      <x:c r="J19" s="80" t="n">
        <x:f>MIN(E19:I19)-A19</x:f>
        <x:v>8</x:v>
      </x:c>
      <x:c r="K19" s="80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Đang chạy</x:v>
      </x:c>
      <x:c r="O19" s="37" t="inlineStr">
        <x:is>
          <x:t xml:space="preserve">Supplementary panel</x:t>
        </x:is>
      </x:c>
    </x:row>
    <x:row r="20">
      <x:c r="A20" s="76" t="n">
        <x:v>46274</x:v>
      </x:c>
      <x:c r="B20" s="36" t="inlineStr">
        <x:is>
          <x:t xml:space="preserve">Thứ Tư</x:t>
        </x:is>
      </x:c>
      <x:c r="C20" s="36" t="inlineStr">
        <x:is>
          <x:t xml:space="preserve">Official</x:t>
        </x:is>
      </x:c>
      <x:c r="D20" s="36" t="inlineStr">
        <x:is>
          <x:t xml:space="preserve">00:30</x:t>
        </x:is>
      </x:c>
      <x:c r="E20" s="77" t="n">
        <x:v>46289</x:v>
      </x:c>
      <x:c r="F20" s="77" t="n">
        <x:v>46292</x:v>
      </x:c>
      <x:c r="G20" s="77" t="n">
        <x:v>46296</x:v>
      </x:c>
      <x:c r="H20" s="77" t="n">
        <x:v>46281</x:v>
      </x:c>
      <x:c r="I20" s="77" t="n">
        <x:v>46411</x:v>
      </x:c>
      <x:c r="J20" s="78" t="n">
        <x:f>MIN(E20:I20)-A20</x:f>
        <x:v>7</x:v>
      </x:c>
      <x:c r="K20" s="78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Hoàn thành có lỗi</x:v>
      </x:c>
      <x:c r="O20" s="36" t="inlineStr">
        <x:is>
          <x:t xml:space="preserve">Supplementary panel</x:t>
        </x:is>
      </x:c>
    </x:row>
    <x:row r="21">
      <x:c r="A21" s="79" t="n">
        <x:v>46275</x:v>
      </x:c>
      <x:c r="B21" s="37" t="inlineStr">
        <x:is>
          <x:t xml:space="preserve">Thứ Năm</x:t>
        </x:is>
      </x:c>
      <x:c r="C21" s="37" t="inlineStr">
        <x:is>
          <x:t xml:space="preserve">Official</x:t>
        </x:is>
      </x:c>
      <x:c r="D21" s="37" t="inlineStr">
        <x:is>
          <x:t xml:space="preserve">00:30</x:t>
        </x:is>
      </x:c>
      <x:c r="E21" s="77" t="n">
        <x:v>46289</x:v>
      </x:c>
      <x:c r="F21" s="77" t="n">
        <x:v>46292</x:v>
      </x:c>
      <x:c r="G21" s="77" t="n">
        <x:v>46296</x:v>
      </x:c>
      <x:c r="H21" s="77" t="n">
        <x:v>46281</x:v>
      </x:c>
      <x:c r="I21" s="77" t="n">
        <x:v>46411</x:v>
      </x:c>
      <x:c r="J21" s="80" t="n">
        <x:f>MIN(E21:I21)-A21</x:f>
        <x:v>6</x:v>
      </x:c>
      <x:c r="K21" s="80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inlineStr">
        <x:is>
          <x:t xml:space="preserve">Supplementary panel</x:t>
        </x:is>
      </x:c>
    </x:row>
    <x:row r="22">
      <x:c r="A22" s="76" t="n">
        <x:v>46276</x:v>
      </x:c>
      <x:c r="B22" s="36" t="inlineStr">
        <x:is>
          <x:t xml:space="preserve">Thứ Sáu</x:t>
        </x:is>
      </x:c>
      <x:c r="C22" s="36" t="inlineStr">
        <x:is>
          <x:t xml:space="preserve">Official</x:t>
        </x:is>
      </x:c>
      <x:c r="D22" s="36" t="inlineStr">
        <x:is>
          <x:t xml:space="preserve">00:30</x:t>
        </x:is>
      </x:c>
      <x:c r="E22" s="77" t="n">
        <x:v>46289</x:v>
      </x:c>
      <x:c r="F22" s="77" t="n">
        <x:v>46292</x:v>
      </x:c>
      <x:c r="G22" s="77" t="n">
        <x:v>46296</x:v>
      </x:c>
      <x:c r="H22" s="77" t="n">
        <x:v>46281</x:v>
      </x:c>
      <x:c r="I22" s="77" t="n">
        <x:v>46411</x:v>
      </x:c>
      <x:c r="J22" s="78" t="n">
        <x:f>MIN(E22:I22)-A22</x:f>
        <x:v>5</x:v>
      </x:c>
      <x:c r="K22" s="78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inlineStr">
        <x:is>
          <x:t xml:space="preserve">Supplementary panel</x:t>
        </x:is>
      </x:c>
    </x:row>
    <x:row r="23">
      <x:c r="A23" s="79" t="n">
        <x:v>46277</x:v>
      </x:c>
      <x:c r="B23" s="37" t="inlineStr">
        <x:is>
          <x:t xml:space="preserve">Thứ Bảy</x:t>
        </x:is>
      </x:c>
      <x:c r="C23" s="37" t="inlineStr">
        <x:is>
          <x:t xml:space="preserve">Official</x:t>
        </x:is>
      </x:c>
      <x:c r="D23" s="37" t="inlineStr">
        <x:is>
          <x:t xml:space="preserve">00:30</x:t>
        </x:is>
      </x:c>
      <x:c r="E23" s="77" t="n">
        <x:v>46289</x:v>
      </x:c>
      <x:c r="F23" s="77" t="n">
        <x:v>46292</x:v>
      </x:c>
      <x:c r="G23" s="77" t="n">
        <x:v>46296</x:v>
      </x:c>
      <x:c r="H23" s="77" t="n">
        <x:v>46281</x:v>
      </x:c>
      <x:c r="I23" s="77" t="n">
        <x:v>46411</x:v>
      </x:c>
      <x:c r="J23" s="80" t="n">
        <x:f>MIN(E23:I23)-A23</x:f>
        <x:v>4</x:v>
      </x:c>
      <x:c r="K23" s="80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inlineStr">
        <x:is>
          <x:t xml:space="preserve">Supplementary panel</x:t>
        </x:is>
      </x:c>
    </x:row>
    <x:row r="24">
      <x:c r="A24" s="76" t="n">
        <x:v>46278</x:v>
      </x:c>
      <x:c r="B24" s="36" t="inlineStr">
        <x:is>
          <x:t xml:space="preserve">Chủ Nhật</x:t>
        </x:is>
      </x:c>
      <x:c r="C24" s="36" t="inlineStr">
        <x:is>
          <x:t xml:space="preserve">Official</x:t>
        </x:is>
      </x:c>
      <x:c r="D24" s="36" t="inlineStr">
        <x:is>
          <x:t xml:space="preserve">00:30</x:t>
        </x:is>
      </x:c>
      <x:c r="E24" s="77" t="n">
        <x:v>46289</x:v>
      </x:c>
      <x:c r="F24" s="77" t="n">
        <x:v>46292</x:v>
      </x:c>
      <x:c r="G24" s="77" t="n">
        <x:v>46296</x:v>
      </x:c>
      <x:c r="H24" s="77" t="n">
        <x:v>46281</x:v>
      </x:c>
      <x:c r="I24" s="77" t="n">
        <x:v>46411</x:v>
      </x:c>
      <x:c r="J24" s="78" t="n">
        <x:f>MIN(E24:I24)-A24</x:f>
        <x:v>3</x:v>
      </x:c>
      <x:c r="K24" s="78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inlineStr">
        <x:is>
          <x:t xml:space="preserve">Supplementary panel</x:t>
        </x:is>
      </x:c>
    </x:row>
    <x:row r="25">
      <x:c r="A25" s="79" t="n">
        <x:v>46279</x:v>
      </x:c>
      <x:c r="B25" s="37" t="inlineStr">
        <x:is>
          <x:t xml:space="preserve">Thứ Hai</x:t>
        </x:is>
      </x:c>
      <x:c r="C25" s="37" t="inlineStr">
        <x:is>
          <x:t xml:space="preserve">Official</x:t>
        </x:is>
      </x:c>
      <x:c r="D25" s="37" t="inlineStr">
        <x:is>
          <x:t xml:space="preserve">00:30</x:t>
        </x:is>
      </x:c>
      <x:c r="E25" s="77" t="n">
        <x:v>46289</x:v>
      </x:c>
      <x:c r="F25" s="77" t="n">
        <x:v>46292</x:v>
      </x:c>
      <x:c r="G25" s="77" t="n">
        <x:v>46296</x:v>
      </x:c>
      <x:c r="H25" s="77" t="n">
        <x:v>46281</x:v>
      </x:c>
      <x:c r="I25" s="77" t="n">
        <x:v>46411</x:v>
      </x:c>
      <x:c r="J25" s="80" t="n">
        <x:f>MIN(E25:I25)-A25</x:f>
        <x:v>2</x:v>
      </x:c>
      <x:c r="K25" s="80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inlineStr">
        <x:is>
          <x:t xml:space="preserve">Supplementary panel</x:t>
        </x:is>
      </x:c>
    </x:row>
    <x:row r="26">
      <x:c r="A26" s="76" t="n">
        <x:v>46280</x:v>
      </x:c>
      <x:c r="B26" s="36" t="inlineStr">
        <x:is>
          <x:t xml:space="preserve">Thứ Ba</x:t>
        </x:is>
      </x:c>
      <x:c r="C26" s="36" t="inlineStr">
        <x:is>
          <x:t xml:space="preserve">Official</x:t>
        </x:is>
      </x:c>
      <x:c r="D26" s="36" t="inlineStr">
        <x:is>
          <x:t xml:space="preserve">00:30</x:t>
        </x:is>
      </x:c>
      <x:c r="E26" s="77" t="n">
        <x:v>46289</x:v>
      </x:c>
      <x:c r="F26" s="77" t="n">
        <x:v>46292</x:v>
      </x:c>
      <x:c r="G26" s="77" t="n">
        <x:v>46296</x:v>
      </x:c>
      <x:c r="H26" s="77" t="n">
        <x:v>46281</x:v>
      </x:c>
      <x:c r="I26" s="77" t="n">
        <x:v>46411</x:v>
      </x:c>
      <x:c r="J26" s="78" t="n">
        <x:f>MIN(E26:I26)-A26</x:f>
        <x:v>1</x:v>
      </x:c>
      <x:c r="K26" s="78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inlineStr">
        <x:is>
          <x:t xml:space="preserve">Supplementary panel</x:t>
        </x:is>
      </x:c>
    </x:row>
    <x:row r="27">
      <x:c r="A27" s="79" t="n">
        <x:v>46281</x:v>
      </x:c>
      <x:c r="B27" s="37" t="inlineStr">
        <x:is>
          <x:t xml:space="preserve">Thứ Tư</x:t>
        </x:is>
      </x:c>
      <x:c r="C27" s="37" t="inlineStr">
        <x:is>
          <x:t xml:space="preserve">Official</x:t>
        </x:is>
      </x:c>
      <x:c r="D27" s="37" t="inlineStr">
        <x:is>
          <x:t xml:space="preserve">00:30</x:t>
        </x:is>
      </x:c>
      <x:c r="E27" s="77" t="n">
        <x:v>46289</x:v>
      </x:c>
      <x:c r="F27" s="77" t="n">
        <x:v>46292</x:v>
      </x:c>
      <x:c r="G27" s="77" t="n">
        <x:v>46296</x:v>
      </x:c>
      <x:c r="H27" s="77" t="n">
        <x:v>46281</x:v>
      </x:c>
      <x:c r="I27" s="77" t="n">
        <x:v>46411</x:v>
      </x:c>
      <x:c r="J27" s="80" t="n">
        <x:f>MIN(E27:I27)-A27</x:f>
        <x:v>0</x:v>
      </x:c>
      <x:c r="K27" s="80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inlineStr">
        <x:is>
          <x:t xml:space="preserve">Supplementary panel</x:t>
        </x:is>
      </x:c>
    </x:row>
    <x:row r="28">
      <x:c r="A28" s="76" t="n">
        <x:v>46282</x:v>
      </x:c>
      <x:c r="B28" s="36" t="inlineStr">
        <x:is>
          <x:t xml:space="preserve">Thứ Năm</x:t>
        </x:is>
      </x:c>
      <x:c r="C28" s="36" t="inlineStr">
        <x:is>
          <x:t xml:space="preserve">Official</x:t>
        </x:is>
      </x:c>
      <x:c r="D28" s="36" t="inlineStr">
        <x:is>
          <x:t xml:space="preserve">00:30</x:t>
        </x:is>
      </x:c>
      <x:c r="E28" s="77" t="n">
        <x:v>46289</x:v>
      </x:c>
      <x:c r="F28" s="77" t="n">
        <x:v>46292</x:v>
      </x:c>
      <x:c r="G28" s="77" t="n">
        <x:v>46296</x:v>
      </x:c>
      <x:c r="H28" s="77" t="n">
        <x:v>46309</x:v>
      </x:c>
      <x:c r="I28" s="77" t="n">
        <x:v>46411</x:v>
      </x:c>
      <x:c r="J28" s="78" t="n">
        <x:f>MIN(E28:I28)-A28</x:f>
        <x:v>7</x:v>
      </x:c>
      <x:c r="K28" s="78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inlineStr">
        <x:is>
          <x:t xml:space="preserve">Supplementary panel</x:t>
        </x:is>
      </x:c>
    </x:row>
    <x:row r="29">
      <x:c r="A29" s="79" t="n">
        <x:v>46283</x:v>
      </x:c>
      <x:c r="B29" s="37" t="inlineStr">
        <x:is>
          <x:t xml:space="preserve">Thứ Sáu</x:t>
        </x:is>
      </x:c>
      <x:c r="C29" s="37" t="inlineStr">
        <x:is>
          <x:t xml:space="preserve">Official</x:t>
        </x:is>
      </x:c>
      <x:c r="D29" s="37" t="inlineStr">
        <x:is>
          <x:t xml:space="preserve">00:30</x:t>
        </x:is>
      </x:c>
      <x:c r="E29" s="77" t="n">
        <x:v>46289</x:v>
      </x:c>
      <x:c r="F29" s="77" t="n">
        <x:v>46292</x:v>
      </x:c>
      <x:c r="G29" s="77" t="n">
        <x:v>46296</x:v>
      </x:c>
      <x:c r="H29" s="77" t="n">
        <x:v>46309</x:v>
      </x:c>
      <x:c r="I29" s="77" t="n">
        <x:v>46411</x:v>
      </x:c>
      <x:c r="J29" s="80" t="n">
        <x:f>MIN(E29:I29)-A29</x:f>
        <x:v>6</x:v>
      </x:c>
      <x:c r="K29" s="80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inlineStr">
        <x:is>
          <x:t xml:space="preserve">Supplementary panel</x:t>
        </x:is>
      </x:c>
    </x:row>
    <x:row r="30">
      <x:c r="A30" s="76" t="n">
        <x:v>46284</x:v>
      </x:c>
      <x:c r="B30" s="36" t="inlineStr">
        <x:is>
          <x:t xml:space="preserve">Thứ Bảy</x:t>
        </x:is>
      </x:c>
      <x:c r="C30" s="36" t="inlineStr">
        <x:is>
          <x:t xml:space="preserve">Official</x:t>
        </x:is>
      </x:c>
      <x:c r="D30" s="36" t="inlineStr">
        <x:is>
          <x:t xml:space="preserve">00:30</x:t>
        </x:is>
      </x:c>
      <x:c r="E30" s="77" t="n">
        <x:v>46289</x:v>
      </x:c>
      <x:c r="F30" s="77" t="n">
        <x:v>46292</x:v>
      </x:c>
      <x:c r="G30" s="77" t="n">
        <x:v>46296</x:v>
      </x:c>
      <x:c r="H30" s="77" t="n">
        <x:v>46309</x:v>
      </x:c>
      <x:c r="I30" s="77" t="n">
        <x:v>46411</x:v>
      </x:c>
      <x:c r="J30" s="78" t="n">
        <x:f>MIN(E30:I30)-A30</x:f>
        <x:v>5</x:v>
      </x:c>
      <x:c r="K30" s="78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inlineStr">
        <x:is>
          <x:t xml:space="preserve">Supplementary panel</x:t>
        </x:is>
      </x:c>
    </x:row>
    <x:row r="31">
      <x:c r="A31" s="79" t="n">
        <x:v>46285</x:v>
      </x:c>
      <x:c r="B31" s="37" t="inlineStr">
        <x:is>
          <x:t xml:space="preserve">Chủ Nhật</x:t>
        </x:is>
      </x:c>
      <x:c r="C31" s="37" t="inlineStr">
        <x:is>
          <x:t xml:space="preserve">Official</x:t>
        </x:is>
      </x:c>
      <x:c r="D31" s="37" t="inlineStr">
        <x:is>
          <x:t xml:space="preserve">00:30</x:t>
        </x:is>
      </x:c>
      <x:c r="E31" s="77" t="n">
        <x:v>46289</x:v>
      </x:c>
      <x:c r="F31" s="77" t="n">
        <x:v>46292</x:v>
      </x:c>
      <x:c r="G31" s="77" t="n">
        <x:v>46296</x:v>
      </x:c>
      <x:c r="H31" s="77" t="n">
        <x:v>46309</x:v>
      </x:c>
      <x:c r="I31" s="77" t="n">
        <x:v>46411</x:v>
      </x:c>
      <x:c r="J31" s="80" t="n">
        <x:f>MIN(E31:I31)-A31</x:f>
        <x:v>4</x:v>
      </x:c>
      <x:c r="K31" s="80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inlineStr">
        <x:is>
          <x:t xml:space="preserve">Supplementary panel</x:t>
        </x:is>
      </x:c>
    </x:row>
    <x:row r="32">
      <x:c r="A32" s="76" t="n">
        <x:v>46286</x:v>
      </x:c>
      <x:c r="B32" s="36" t="inlineStr">
        <x:is>
          <x:t xml:space="preserve">Thứ Hai</x:t>
        </x:is>
      </x:c>
      <x:c r="C32" s="36" t="inlineStr">
        <x:is>
          <x:t xml:space="preserve">Official</x:t>
        </x:is>
      </x:c>
      <x:c r="D32" s="36" t="inlineStr">
        <x:is>
          <x:t xml:space="preserve">00:30</x:t>
        </x:is>
      </x:c>
      <x:c r="E32" s="77" t="n">
        <x:v>46289</x:v>
      </x:c>
      <x:c r="F32" s="77" t="n">
        <x:v>46292</x:v>
      </x:c>
      <x:c r="G32" s="77" t="n">
        <x:v>46296</x:v>
      </x:c>
      <x:c r="H32" s="77" t="n">
        <x:v>46309</x:v>
      </x:c>
      <x:c r="I32" s="77" t="n">
        <x:v>46411</x:v>
      </x:c>
      <x:c r="J32" s="78" t="n">
        <x:f>MIN(E32:I32)-A32</x:f>
        <x:v>3</x:v>
      </x:c>
      <x:c r="K32" s="78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inlineStr">
        <x:is>
          <x:t xml:space="preserve">Supplementary panel</x:t>
        </x:is>
      </x:c>
    </x:row>
    <x:row r="33">
      <x:c r="A33" s="79" t="n">
        <x:v>46287</x:v>
      </x:c>
      <x:c r="B33" s="37" t="inlineStr">
        <x:is>
          <x:t xml:space="preserve">Thứ Ba</x:t>
        </x:is>
      </x:c>
      <x:c r="C33" s="37" t="inlineStr">
        <x:is>
          <x:t xml:space="preserve">Official</x:t>
        </x:is>
      </x:c>
      <x:c r="D33" s="37" t="inlineStr">
        <x:is>
          <x:t xml:space="preserve">00:30</x:t>
        </x:is>
      </x:c>
      <x:c r="E33" s="77" t="n">
        <x:v>46289</x:v>
      </x:c>
      <x:c r="F33" s="77" t="n">
        <x:v>46292</x:v>
      </x:c>
      <x:c r="G33" s="77" t="n">
        <x:v>46296</x:v>
      </x:c>
      <x:c r="H33" s="77" t="n">
        <x:v>46309</x:v>
      </x:c>
      <x:c r="I33" s="77" t="n">
        <x:v>46411</x:v>
      </x:c>
      <x:c r="J33" s="80" t="n">
        <x:f>MIN(E33:I33)-A33</x:f>
        <x:v>2</x:v>
      </x:c>
      <x:c r="K33" s="80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inlineStr">
        <x:is>
          <x:t xml:space="preserve">Supplementary panel</x:t>
        </x:is>
      </x:c>
    </x:row>
    <x:row r="34">
      <x:c r="A34" s="76" t="n">
        <x:v>46288</x:v>
      </x:c>
      <x:c r="B34" s="36" t="inlineStr">
        <x:is>
          <x:t xml:space="preserve">Thứ Tư</x:t>
        </x:is>
      </x:c>
      <x:c r="C34" s="36" t="inlineStr">
        <x:is>
          <x:t xml:space="preserve">Official</x:t>
        </x:is>
      </x:c>
      <x:c r="D34" s="36" t="inlineStr">
        <x:is>
          <x:t xml:space="preserve">00:30</x:t>
        </x:is>
      </x:c>
      <x:c r="E34" s="77" t="n">
        <x:v>46289</x:v>
      </x:c>
      <x:c r="F34" s="77" t="n">
        <x:v>46292</x:v>
      </x:c>
      <x:c r="G34" s="77" t="n">
        <x:v>46296</x:v>
      </x:c>
      <x:c r="H34" s="77" t="n">
        <x:v>46309</x:v>
      </x:c>
      <x:c r="I34" s="77" t="n">
        <x:v>46411</x:v>
      </x:c>
      <x:c r="J34" s="78" t="n">
        <x:f>MIN(E34:I34)-A34</x:f>
        <x:v>1</x:v>
      </x:c>
      <x:c r="K34" s="78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inlineStr">
        <x:is>
          <x:t xml:space="preserve">Supplementary panel</x:t>
        </x:is>
      </x:c>
    </x:row>
    <x:row r="35">
      <x:c r="A35" s="79" t="n">
        <x:v>46289</x:v>
      </x:c>
      <x:c r="B35" s="37" t="inlineStr">
        <x:is>
          <x:t xml:space="preserve">Thứ Năm</x:t>
        </x:is>
      </x:c>
      <x:c r="C35" s="37" t="inlineStr">
        <x:is>
          <x:t xml:space="preserve">Official</x:t>
        </x:is>
      </x:c>
      <x:c r="D35" s="37" t="inlineStr">
        <x:is>
          <x:t xml:space="preserve">00:30</x:t>
        </x:is>
      </x:c>
      <x:c r="E35" s="77" t="n">
        <x:v>46289</x:v>
      </x:c>
      <x:c r="F35" s="77" t="n">
        <x:v>46292</x:v>
      </x:c>
      <x:c r="G35" s="77" t="n">
        <x:v>46296</x:v>
      </x:c>
      <x:c r="H35" s="77" t="n">
        <x:v>46309</x:v>
      </x:c>
      <x:c r="I35" s="77" t="n">
        <x:v>46411</x:v>
      </x:c>
      <x:c r="J35" s="80" t="n">
        <x:f>MIN(E35:I35)-A35</x:f>
        <x:v>0</x:v>
      </x:c>
      <x:c r="K35" s="80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inlineStr">
        <x:is>
          <x:t xml:space="preserve">Supplementary panel</x:t>
        </x:is>
      </x:c>
    </x:row>
    <x:row r="36">
      <x:c r="A36" s="76" t="n">
        <x:v>46290</x:v>
      </x:c>
      <x:c r="B36" s="36" t="inlineStr">
        <x:is>
          <x:t xml:space="preserve">Thứ Sáu</x:t>
        </x:is>
      </x:c>
      <x:c r="C36" s="36" t="inlineStr">
        <x:is>
          <x:t xml:space="preserve">Official</x:t>
        </x:is>
      </x:c>
      <x:c r="D36" s="36" t="inlineStr">
        <x:is>
          <x:t xml:space="preserve">00:30</x:t>
        </x:is>
      </x:c>
      <x:c r="E36" s="77" t="n">
        <x:v>46317</x:v>
      </x:c>
      <x:c r="F36" s="77" t="n">
        <x:v>46292</x:v>
      </x:c>
      <x:c r="G36" s="77" t="n">
        <x:v>46296</x:v>
      </x:c>
      <x:c r="H36" s="77" t="n">
        <x:v>46309</x:v>
      </x:c>
      <x:c r="I36" s="77" t="n">
        <x:v>46411</x:v>
      </x:c>
      <x:c r="J36" s="78" t="n">
        <x:f>MIN(E36:I36)-A36</x:f>
        <x:v>2</x:v>
      </x:c>
      <x:c r="K36" s="78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inlineStr">
        <x:is>
          <x:t xml:space="preserve">Supplementary panel</x:t>
        </x:is>
      </x:c>
    </x:row>
    <x:row r="37">
      <x:c r="A37" s="79" t="n">
        <x:v>46291</x:v>
      </x:c>
      <x:c r="B37" s="37" t="inlineStr">
        <x:is>
          <x:t xml:space="preserve">Thứ Bảy</x:t>
        </x:is>
      </x:c>
      <x:c r="C37" s="37" t="inlineStr">
        <x:is>
          <x:t xml:space="preserve">Official</x:t>
        </x:is>
      </x:c>
      <x:c r="D37" s="37" t="inlineStr">
        <x:is>
          <x:t xml:space="preserve">00:30</x:t>
        </x:is>
      </x:c>
      <x:c r="E37" s="77" t="n">
        <x:v>46317</x:v>
      </x:c>
      <x:c r="F37" s="77" t="n">
        <x:v>46292</x:v>
      </x:c>
      <x:c r="G37" s="77" t="n">
        <x:v>46296</x:v>
      </x:c>
      <x:c r="H37" s="77" t="n">
        <x:v>46309</x:v>
      </x:c>
      <x:c r="I37" s="77" t="n">
        <x:v>46411</x:v>
      </x:c>
      <x:c r="J37" s="80" t="n">
        <x:f>MIN(E37:I37)-A37</x:f>
        <x:v>1</x:v>
      </x:c>
      <x:c r="K37" s="80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inlineStr">
        <x:is>
          <x:t xml:space="preserve">Supplementary panel</x:t>
        </x:is>
      </x:c>
    </x:row>
    <x:row r="38">
      <x:c r="A38" s="76" t="n">
        <x:v>46292</x:v>
      </x:c>
      <x:c r="B38" s="36" t="inlineStr">
        <x:is>
          <x:t xml:space="preserve">Chủ Nhật</x:t>
        </x:is>
      </x:c>
      <x:c r="C38" s="36" t="inlineStr">
        <x:is>
          <x:t xml:space="preserve">Official</x:t>
        </x:is>
      </x:c>
      <x:c r="D38" s="36" t="inlineStr">
        <x:is>
          <x:t xml:space="preserve">00:30</x:t>
        </x:is>
      </x:c>
      <x:c r="E38" s="77" t="n">
        <x:v>46317</x:v>
      </x:c>
      <x:c r="F38" s="77" t="n">
        <x:v>46292</x:v>
      </x:c>
      <x:c r="G38" s="77" t="n">
        <x:v>46296</x:v>
      </x:c>
      <x:c r="H38" s="77" t="n">
        <x:v>46309</x:v>
      </x:c>
      <x:c r="I38" s="77" t="n">
        <x:v>46411</x:v>
      </x:c>
      <x:c r="J38" s="78" t="n">
        <x:f>MIN(E38:I38)-A38</x:f>
        <x:v>0</x:v>
      </x:c>
      <x:c r="K38" s="78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inlineStr">
        <x:is>
          <x:t xml:space="preserve">Supplementary panel</x:t>
        </x:is>
      </x:c>
    </x:row>
    <x:row r="39">
      <x:c r="A39" s="79" t="n">
        <x:v>46293</x:v>
      </x:c>
      <x:c r="B39" s="37" t="inlineStr">
        <x:is>
          <x:t xml:space="preserve">Thứ Hai</x:t>
        </x:is>
      </x:c>
      <x:c r="C39" s="37" t="inlineStr">
        <x:is>
          <x:t xml:space="preserve">Official</x:t>
        </x:is>
      </x:c>
      <x:c r="D39" s="37" t="inlineStr">
        <x:is>
          <x:t xml:space="preserve">00:30</x:t>
        </x:is>
      </x:c>
      <x:c r="E39" s="77" t="n">
        <x:v>46317</x:v>
      </x:c>
      <x:c r="F39" s="77" t="n">
        <x:v>46320</x:v>
      </x:c>
      <x:c r="G39" s="77" t="n">
        <x:v>46296</x:v>
      </x:c>
      <x:c r="H39" s="77" t="n">
        <x:v>46309</x:v>
      </x:c>
      <x:c r="I39" s="77" t="n">
        <x:v>46411</x:v>
      </x:c>
      <x:c r="J39" s="80" t="n">
        <x:f>MIN(E39:I39)-A39</x:f>
        <x:v>3</x:v>
      </x:c>
      <x:c r="K39" s="80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inlineStr">
        <x:is>
          <x:t xml:space="preserve">Supplementary panel</x:t>
        </x:is>
      </x:c>
    </x:row>
    <x:row r="40">
      <x:c r="A40" s="76" t="n">
        <x:v>46294</x:v>
      </x:c>
      <x:c r="B40" s="36" t="inlineStr">
        <x:is>
          <x:t xml:space="preserve">Thứ Ba</x:t>
        </x:is>
      </x:c>
      <x:c r="C40" s="36" t="inlineStr">
        <x:is>
          <x:t xml:space="preserve">Official</x:t>
        </x:is>
      </x:c>
      <x:c r="D40" s="36" t="inlineStr">
        <x:is>
          <x:t xml:space="preserve">00:30</x:t>
        </x:is>
      </x:c>
      <x:c r="E40" s="77" t="n">
        <x:v>46317</x:v>
      </x:c>
      <x:c r="F40" s="77" t="n">
        <x:v>46320</x:v>
      </x:c>
      <x:c r="G40" s="77" t="n">
        <x:v>46296</x:v>
      </x:c>
      <x:c r="H40" s="77" t="n">
        <x:v>46309</x:v>
      </x:c>
      <x:c r="I40" s="77" t="n">
        <x:v>46411</x:v>
      </x:c>
      <x:c r="J40" s="78" t="n">
        <x:f>MIN(E40:I40)-A40</x:f>
        <x:v>2</x:v>
      </x:c>
      <x:c r="K40" s="78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inlineStr">
        <x:is>
          <x:t xml:space="preserve">Supplementary panel</x:t>
        </x:is>
      </x:c>
    </x:row>
    <x:row r="41">
      <x:c r="A41" s="79" t="n">
        <x:v>46295</x:v>
      </x:c>
      <x:c r="B41" s="37" t="inlineStr">
        <x:is>
          <x:t xml:space="preserve">Thứ Tư</x:t>
        </x:is>
      </x:c>
      <x:c r="C41" s="37" t="inlineStr">
        <x:is>
          <x:t xml:space="preserve">Official</x:t>
        </x:is>
      </x:c>
      <x:c r="D41" s="37" t="inlineStr">
        <x:is>
          <x:t xml:space="preserve">00:30</x:t>
        </x:is>
      </x:c>
      <x:c r="E41" s="77" t="n">
        <x:v>46317</x:v>
      </x:c>
      <x:c r="F41" s="77" t="n">
        <x:v>46320</x:v>
      </x:c>
      <x:c r="G41" s="77" t="n">
        <x:v>46296</x:v>
      </x:c>
      <x:c r="H41" s="77" t="n">
        <x:v>46309</x:v>
      </x:c>
      <x:c r="I41" s="77" t="n">
        <x:v>46411</x:v>
      </x:c>
      <x:c r="J41" s="80" t="n">
        <x:f>MIN(E41:I41)-A41</x:f>
        <x:v>1</x:v>
      </x:c>
      <x:c r="K41" s="80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inlineStr">
        <x:is>
          <x:t xml:space="preserve">Supplementary panel</x:t>
        </x:is>
      </x:c>
    </x:row>
    <x:row r="42">
      <x:c r="A42" s="76" t="n">
        <x:v>46296</x:v>
      </x:c>
      <x:c r="B42" s="36" t="inlineStr">
        <x:is>
          <x:t xml:space="preserve">Thứ Năm</x:t>
        </x:is>
      </x:c>
      <x:c r="C42" s="36" t="inlineStr">
        <x:is>
          <x:t xml:space="preserve">Official</x:t>
        </x:is>
      </x:c>
      <x:c r="D42" s="36" t="inlineStr">
        <x:is>
          <x:t xml:space="preserve">00:30</x:t>
        </x:is>
      </x:c>
      <x:c r="E42" s="77" t="n">
        <x:v>46317</x:v>
      </x:c>
      <x:c r="F42" s="77" t="n">
        <x:v>46320</x:v>
      </x:c>
      <x:c r="G42" s="77" t="n">
        <x:v>46296</x:v>
      </x:c>
      <x:c r="H42" s="77" t="n">
        <x:v>46309</x:v>
      </x:c>
      <x:c r="I42" s="77" t="n">
        <x:v>46411</x:v>
      </x:c>
      <x:c r="J42" s="78" t="n">
        <x:f>MIN(E42:I42)-A42</x:f>
        <x:v>0</x:v>
      </x:c>
      <x:c r="K42" s="78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inlineStr">
        <x:is>
          <x:t xml:space="preserve">Supplementary panel</x:t>
        </x:is>
      </x:c>
    </x:row>
    <x:row r="43">
      <x:c r="A43" s="79" t="n">
        <x:v>46297</x:v>
      </x:c>
      <x:c r="B43" s="37" t="inlineStr">
        <x:is>
          <x:t xml:space="preserve">Thứ Sáu</x:t>
        </x:is>
      </x:c>
      <x:c r="C43" s="37" t="inlineStr">
        <x:is>
          <x:t xml:space="preserve">Official</x:t>
        </x:is>
      </x:c>
      <x:c r="D43" s="37" t="inlineStr">
        <x:is>
          <x:t xml:space="preserve">00:30</x:t>
        </x:is>
      </x:c>
      <x:c r="E43" s="77" t="n">
        <x:v>46317</x:v>
      </x:c>
      <x:c r="F43" s="77" t="n">
        <x:v>46320</x:v>
      </x:c>
      <x:c r="G43" s="77" t="n">
        <x:v>46324</x:v>
      </x:c>
      <x:c r="H43" s="77" t="n">
        <x:v>46309</x:v>
      </x:c>
      <x:c r="I43" s="77" t="n">
        <x:v>46411</x:v>
      </x:c>
      <x:c r="J43" s="80" t="n">
        <x:f>MIN(E43:I43)-A43</x:f>
        <x:v>12</x:v>
      </x:c>
      <x:c r="K43" s="80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inlineStr">
        <x:is>
          <x:t xml:space="preserve">Supplementary panel</x:t>
        </x:is>
      </x:c>
    </x:row>
    <x:row r="44">
      <x:c r="A44" s="76" t="n">
        <x:v>46298</x:v>
      </x:c>
      <x:c r="B44" s="36" t="inlineStr">
        <x:is>
          <x:t xml:space="preserve">Thứ Bảy</x:t>
        </x:is>
      </x:c>
      <x:c r="C44" s="36" t="inlineStr">
        <x:is>
          <x:t xml:space="preserve">Official</x:t>
        </x:is>
      </x:c>
      <x:c r="D44" s="36" t="inlineStr">
        <x:is>
          <x:t xml:space="preserve">00:30</x:t>
        </x:is>
      </x:c>
      <x:c r="E44" s="77" t="n">
        <x:v>46317</x:v>
      </x:c>
      <x:c r="F44" s="77" t="n">
        <x:v>46320</x:v>
      </x:c>
      <x:c r="G44" s="77" t="n">
        <x:v>46324</x:v>
      </x:c>
      <x:c r="H44" s="77" t="n">
        <x:v>46309</x:v>
      </x:c>
      <x:c r="I44" s="77" t="n">
        <x:v>46411</x:v>
      </x:c>
      <x:c r="J44" s="78" t="n">
        <x:f>MIN(E44:I44)-A44</x:f>
        <x:v>11</x:v>
      </x:c>
      <x:c r="K44" s="78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inlineStr">
        <x:is>
          <x:t xml:space="preserve">Supplementary panel</x:t>
        </x:is>
      </x:c>
    </x:row>
    <x:row r="45">
      <x:c r="A45" s="79" t="n">
        <x:v>46299</x:v>
      </x:c>
      <x:c r="B45" s="37" t="inlineStr">
        <x:is>
          <x:t xml:space="preserve">Chủ Nhật</x:t>
        </x:is>
      </x:c>
      <x:c r="C45" s="37" t="inlineStr">
        <x:is>
          <x:t xml:space="preserve">Official</x:t>
        </x:is>
      </x:c>
      <x:c r="D45" s="37" t="inlineStr">
        <x:is>
          <x:t xml:space="preserve">00:30</x:t>
        </x:is>
      </x:c>
      <x:c r="E45" s="77" t="n">
        <x:v>46317</x:v>
      </x:c>
      <x:c r="F45" s="77" t="n">
        <x:v>46320</x:v>
      </x:c>
      <x:c r="G45" s="77" t="n">
        <x:v>46324</x:v>
      </x:c>
      <x:c r="H45" s="77" t="n">
        <x:v>46309</x:v>
      </x:c>
      <x:c r="I45" s="77" t="n">
        <x:v>46411</x:v>
      </x:c>
      <x:c r="J45" s="80" t="n">
        <x:f>MIN(E45:I45)-A45</x:f>
        <x:v>10</x:v>
      </x:c>
      <x:c r="K45" s="80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inlineStr">
        <x:is>
          <x:t xml:space="preserve">Supplementary panel</x:t>
        </x:is>
      </x:c>
    </x:row>
    <x:row r="46">
      <x:c r="A46" s="76" t="n">
        <x:v>46300</x:v>
      </x:c>
      <x:c r="B46" s="36" t="inlineStr">
        <x:is>
          <x:t xml:space="preserve">Thứ Hai</x:t>
        </x:is>
      </x:c>
      <x:c r="C46" s="36" t="inlineStr">
        <x:is>
          <x:t xml:space="preserve">Official</x:t>
        </x:is>
      </x:c>
      <x:c r="D46" s="36" t="inlineStr">
        <x:is>
          <x:t xml:space="preserve">00:30</x:t>
        </x:is>
      </x:c>
      <x:c r="E46" s="77" t="n">
        <x:v>46317</x:v>
      </x:c>
      <x:c r="F46" s="77" t="n">
        <x:v>46320</x:v>
      </x:c>
      <x:c r="G46" s="77" t="n">
        <x:v>46324</x:v>
      </x:c>
      <x:c r="H46" s="77" t="n">
        <x:v>46309</x:v>
      </x:c>
      <x:c r="I46" s="77" t="n">
        <x:v>46411</x:v>
      </x:c>
      <x:c r="J46" s="78" t="n">
        <x:f>MIN(E46:I46)-A46</x:f>
        <x:v>9</x:v>
      </x:c>
      <x:c r="K46" s="78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inlineStr">
        <x:is>
          <x:t xml:space="preserve">Supplementary panel</x:t>
        </x:is>
      </x:c>
    </x:row>
    <x:row r="47">
      <x:c r="A47" s="79" t="n">
        <x:v>46301</x:v>
      </x:c>
      <x:c r="B47" s="37" t="inlineStr">
        <x:is>
          <x:t xml:space="preserve">Thứ Ba</x:t>
        </x:is>
      </x:c>
      <x:c r="C47" s="37" t="inlineStr">
        <x:is>
          <x:t xml:space="preserve">Official</x:t>
        </x:is>
      </x:c>
      <x:c r="D47" s="37" t="inlineStr">
        <x:is>
          <x:t xml:space="preserve">00:30</x:t>
        </x:is>
      </x:c>
      <x:c r="E47" s="77" t="n">
        <x:v>46317</x:v>
      </x:c>
      <x:c r="F47" s="77" t="n">
        <x:v>46320</x:v>
      </x:c>
      <x:c r="G47" s="77" t="n">
        <x:v>46324</x:v>
      </x:c>
      <x:c r="H47" s="77" t="n">
        <x:v>46309</x:v>
      </x:c>
      <x:c r="I47" s="77" t="n">
        <x:v>46411</x:v>
      </x:c>
      <x:c r="J47" s="80" t="n">
        <x:f>MIN(E47:I47)-A47</x:f>
        <x:v>8</x:v>
      </x:c>
      <x:c r="K47" s="80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inlineStr">
        <x:is>
          <x:t xml:space="preserve">Supplementary panel</x:t>
        </x:is>
      </x:c>
    </x:row>
    <x:row r="48">
      <x:c r="A48" s="76" t="n">
        <x:v>46302</x:v>
      </x:c>
      <x:c r="B48" s="36" t="inlineStr">
        <x:is>
          <x:t xml:space="preserve">Thứ Tư</x:t>
        </x:is>
      </x:c>
      <x:c r="C48" s="36" t="inlineStr">
        <x:is>
          <x:t xml:space="preserve">Official</x:t>
        </x:is>
      </x:c>
      <x:c r="D48" s="36" t="inlineStr">
        <x:is>
          <x:t xml:space="preserve">00:30</x:t>
        </x:is>
      </x:c>
      <x:c r="E48" s="77" t="n">
        <x:v>46317</x:v>
      </x:c>
      <x:c r="F48" s="77" t="n">
        <x:v>46320</x:v>
      </x:c>
      <x:c r="G48" s="77" t="n">
        <x:v>46324</x:v>
      </x:c>
      <x:c r="H48" s="77" t="n">
        <x:v>46309</x:v>
      </x:c>
      <x:c r="I48" s="77" t="n">
        <x:v>46411</x:v>
      </x:c>
      <x:c r="J48" s="78" t="n">
        <x:f>MIN(E48:I48)-A48</x:f>
        <x:v>7</x:v>
      </x:c>
      <x:c r="K48" s="78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inlineStr">
        <x:is>
          <x:t xml:space="preserve">Supplementary panel</x:t>
        </x:is>
      </x:c>
    </x:row>
    <x:row r="49">
      <x:c r="A49" s="79" t="n">
        <x:v>46303</x:v>
      </x:c>
      <x:c r="B49" s="37" t="inlineStr">
        <x:is>
          <x:t xml:space="preserve">Thứ Năm</x:t>
        </x:is>
      </x:c>
      <x:c r="C49" s="37" t="inlineStr">
        <x:is>
          <x:t xml:space="preserve">Official</x:t>
        </x:is>
      </x:c>
      <x:c r="D49" s="37" t="inlineStr">
        <x:is>
          <x:t xml:space="preserve">00:30</x:t>
        </x:is>
      </x:c>
      <x:c r="E49" s="77" t="n">
        <x:v>46317</x:v>
      </x:c>
      <x:c r="F49" s="77" t="n">
        <x:v>46320</x:v>
      </x:c>
      <x:c r="G49" s="77" t="n">
        <x:v>46324</x:v>
      </x:c>
      <x:c r="H49" s="77" t="n">
        <x:v>46309</x:v>
      </x:c>
      <x:c r="I49" s="77" t="n">
        <x:v>46411</x:v>
      </x:c>
      <x:c r="J49" s="80" t="n">
        <x:f>MIN(E49:I49)-A49</x:f>
        <x:v>6</x:v>
      </x:c>
      <x:c r="K49" s="80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inlineStr">
        <x:is>
          <x:t xml:space="preserve">Supplementary panel</x:t>
        </x:is>
      </x:c>
    </x:row>
    <x:row r="50">
      <x:c r="A50" s="76" t="n">
        <x:v>46304</x:v>
      </x:c>
      <x:c r="B50" s="36" t="inlineStr">
        <x:is>
          <x:t xml:space="preserve">Thứ Sáu</x:t>
        </x:is>
      </x:c>
      <x:c r="C50" s="36" t="inlineStr">
        <x:is>
          <x:t xml:space="preserve">Official</x:t>
        </x:is>
      </x:c>
      <x:c r="D50" s="36" t="inlineStr">
        <x:is>
          <x:t xml:space="preserve">00:30</x:t>
        </x:is>
      </x:c>
      <x:c r="E50" s="77" t="n">
        <x:v>46317</x:v>
      </x:c>
      <x:c r="F50" s="77" t="n">
        <x:v>46320</x:v>
      </x:c>
      <x:c r="G50" s="77" t="n">
        <x:v>46324</x:v>
      </x:c>
      <x:c r="H50" s="77" t="n">
        <x:v>46309</x:v>
      </x:c>
      <x:c r="I50" s="77" t="n">
        <x:v>46411</x:v>
      </x:c>
      <x:c r="J50" s="78" t="n">
        <x:f>MIN(E50:I50)-A50</x:f>
        <x:v>5</x:v>
      </x:c>
      <x:c r="K50" s="78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inlineStr">
        <x:is>
          <x:t xml:space="preserve">Supplementary panel</x:t>
        </x:is>
      </x:c>
    </x:row>
    <x:row r="51">
      <x:c r="A51" s="79" t="n">
        <x:v>46305</x:v>
      </x:c>
      <x:c r="B51" s="37" t="inlineStr">
        <x:is>
          <x:t xml:space="preserve">Thứ Bảy</x:t>
        </x:is>
      </x:c>
      <x:c r="C51" s="37" t="inlineStr">
        <x:is>
          <x:t xml:space="preserve">Official</x:t>
        </x:is>
      </x:c>
      <x:c r="D51" s="37" t="inlineStr">
        <x:is>
          <x:t xml:space="preserve">00:30</x:t>
        </x:is>
      </x:c>
      <x:c r="E51" s="77" t="n">
        <x:v>46317</x:v>
      </x:c>
      <x:c r="F51" s="77" t="n">
        <x:v>46320</x:v>
      </x:c>
      <x:c r="G51" s="77" t="n">
        <x:v>46324</x:v>
      </x:c>
      <x:c r="H51" s="77" t="n">
        <x:v>46309</x:v>
      </x:c>
      <x:c r="I51" s="77" t="n">
        <x:v>46411</x:v>
      </x:c>
      <x:c r="J51" s="80" t="n">
        <x:f>MIN(E51:I51)-A51</x:f>
        <x:v>4</x:v>
      </x:c>
      <x:c r="K51" s="80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inlineStr">
        <x:is>
          <x:t xml:space="preserve">Supplementary panel</x:t>
        </x:is>
      </x:c>
    </x:row>
    <x:row r="52">
      <x:c r="A52" s="76" t="n">
        <x:v>46306</x:v>
      </x:c>
      <x:c r="B52" s="36" t="inlineStr">
        <x:is>
          <x:t xml:space="preserve">Chủ Nhật</x:t>
        </x:is>
      </x:c>
      <x:c r="C52" s="36" t="inlineStr">
        <x:is>
          <x:t xml:space="preserve">Official</x:t>
        </x:is>
      </x:c>
      <x:c r="D52" s="36" t="inlineStr">
        <x:is>
          <x:t xml:space="preserve">00:30</x:t>
        </x:is>
      </x:c>
      <x:c r="E52" s="77" t="n">
        <x:v>46317</x:v>
      </x:c>
      <x:c r="F52" s="77" t="n">
        <x:v>46320</x:v>
      </x:c>
      <x:c r="G52" s="77" t="n">
        <x:v>46324</x:v>
      </x:c>
      <x:c r="H52" s="77" t="n">
        <x:v>46309</x:v>
      </x:c>
      <x:c r="I52" s="77" t="n">
        <x:v>46411</x:v>
      </x:c>
      <x:c r="J52" s="78" t="n">
        <x:f>MIN(E52:I52)-A52</x:f>
        <x:v>3</x:v>
      </x:c>
      <x:c r="K52" s="78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inlineStr">
        <x:is>
          <x:t xml:space="preserve">Supplementary panel</x:t>
        </x:is>
      </x:c>
    </x:row>
    <x:row r="53">
      <x:c r="A53" s="79" t="n">
        <x:v>46307</x:v>
      </x:c>
      <x:c r="B53" s="37" t="inlineStr">
        <x:is>
          <x:t xml:space="preserve">Thứ Hai</x:t>
        </x:is>
      </x:c>
      <x:c r="C53" s="37" t="inlineStr">
        <x:is>
          <x:t xml:space="preserve">Official</x:t>
        </x:is>
      </x:c>
      <x:c r="D53" s="37" t="inlineStr">
        <x:is>
          <x:t xml:space="preserve">00:30</x:t>
        </x:is>
      </x:c>
      <x:c r="E53" s="77" t="n">
        <x:v>46317</x:v>
      </x:c>
      <x:c r="F53" s="77" t="n">
        <x:v>46320</x:v>
      </x:c>
      <x:c r="G53" s="77" t="n">
        <x:v>46324</x:v>
      </x:c>
      <x:c r="H53" s="77" t="n">
        <x:v>46309</x:v>
      </x:c>
      <x:c r="I53" s="77" t="n">
        <x:v>46411</x:v>
      </x:c>
      <x:c r="J53" s="80" t="n">
        <x:f>MIN(E53:I53)-A53</x:f>
        <x:v>2</x:v>
      </x:c>
      <x:c r="K53" s="80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inlineStr">
        <x:is>
          <x:t xml:space="preserve">Supplementary panel</x:t>
        </x:is>
      </x:c>
    </x:row>
    <x:row r="54">
      <x:c r="A54" s="76" t="n">
        <x:v>46308</x:v>
      </x:c>
      <x:c r="B54" s="36" t="inlineStr">
        <x:is>
          <x:t xml:space="preserve">Thứ Ba</x:t>
        </x:is>
      </x:c>
      <x:c r="C54" s="36" t="inlineStr">
        <x:is>
          <x:t xml:space="preserve">Official</x:t>
        </x:is>
      </x:c>
      <x:c r="D54" s="36" t="inlineStr">
        <x:is>
          <x:t xml:space="preserve">00:30</x:t>
        </x:is>
      </x:c>
      <x:c r="E54" s="77" t="n">
        <x:v>46317</x:v>
      </x:c>
      <x:c r="F54" s="77" t="n">
        <x:v>46320</x:v>
      </x:c>
      <x:c r="G54" s="77" t="n">
        <x:v>46324</x:v>
      </x:c>
      <x:c r="H54" s="77" t="n">
        <x:v>46309</x:v>
      </x:c>
      <x:c r="I54" s="77" t="n">
        <x:v>46411</x:v>
      </x:c>
      <x:c r="J54" s="78" t="n">
        <x:f>MIN(E54:I54)-A54</x:f>
        <x:v>1</x:v>
      </x:c>
      <x:c r="K54" s="78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inlineStr">
        <x:is>
          <x:t xml:space="preserve">Supplementary panel</x:t>
        </x:is>
      </x:c>
    </x:row>
    <x:row r="55">
      <x:c r="A55" s="79" t="n">
        <x:v>46309</x:v>
      </x:c>
      <x:c r="B55" s="37" t="inlineStr">
        <x:is>
          <x:t xml:space="preserve">Thứ Tư</x:t>
        </x:is>
      </x:c>
      <x:c r="C55" s="37" t="inlineStr">
        <x:is>
          <x:t xml:space="preserve">Official</x:t>
        </x:is>
      </x:c>
      <x:c r="D55" s="37" t="inlineStr">
        <x:is>
          <x:t xml:space="preserve">00:30</x:t>
        </x:is>
      </x:c>
      <x:c r="E55" s="77" t="n">
        <x:v>46317</x:v>
      </x:c>
      <x:c r="F55" s="77" t="n">
        <x:v>46320</x:v>
      </x:c>
      <x:c r="G55" s="77" t="n">
        <x:v>46324</x:v>
      </x:c>
      <x:c r="H55" s="77" t="n">
        <x:v>46309</x:v>
      </x:c>
      <x:c r="I55" s="77" t="n">
        <x:v>46411</x:v>
      </x:c>
      <x:c r="J55" s="80" t="n">
        <x:f>MIN(E55:I55)-A55</x:f>
        <x:v>0</x:v>
      </x:c>
      <x:c r="K55" s="80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inlineStr">
        <x:is>
          <x:t xml:space="preserve">Supplementary panel</x:t>
        </x:is>
      </x:c>
    </x:row>
    <x:row r="56">
      <x:c r="A56" s="76" t="n">
        <x:v>46310</x:v>
      </x:c>
      <x:c r="B56" s="36" t="inlineStr">
        <x:is>
          <x:t xml:space="preserve">Thứ Năm</x:t>
        </x:is>
      </x:c>
      <x:c r="C56" s="36" t="inlineStr">
        <x:is>
          <x:t xml:space="preserve">Official</x:t>
        </x:is>
      </x:c>
      <x:c r="D56" s="36" t="inlineStr">
        <x:is>
          <x:t xml:space="preserve">00:30</x:t>
        </x:is>
      </x:c>
      <x:c r="E56" s="77" t="n">
        <x:v>46317</x:v>
      </x:c>
      <x:c r="F56" s="77" t="n">
        <x:v>46320</x:v>
      </x:c>
      <x:c r="G56" s="77" t="n">
        <x:v>46324</x:v>
      </x:c>
      <x:c r="H56" s="77" t="n">
        <x:v>46337</x:v>
      </x:c>
      <x:c r="I56" s="77" t="n">
        <x:v>46411</x:v>
      </x:c>
      <x:c r="J56" s="78" t="n">
        <x:f>MIN(E56:I56)-A56</x:f>
        <x:v>7</x:v>
      </x:c>
      <x:c r="K56" s="78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inlineStr">
        <x:is>
          <x:t xml:space="preserve">Supplementary panel</x:t>
        </x:is>
      </x:c>
    </x:row>
    <x:row r="57">
      <x:c r="A57" s="79" t="n">
        <x:v>46311</x:v>
      </x:c>
      <x:c r="B57" s="37" t="inlineStr">
        <x:is>
          <x:t xml:space="preserve">Thứ Sáu</x:t>
        </x:is>
      </x:c>
      <x:c r="C57" s="37" t="inlineStr">
        <x:is>
          <x:t xml:space="preserve">Official</x:t>
        </x:is>
      </x:c>
      <x:c r="D57" s="37" t="inlineStr">
        <x:is>
          <x:t xml:space="preserve">00:30</x:t>
        </x:is>
      </x:c>
      <x:c r="E57" s="77" t="n">
        <x:v>46317</x:v>
      </x:c>
      <x:c r="F57" s="77" t="n">
        <x:v>46320</x:v>
      </x:c>
      <x:c r="G57" s="77" t="n">
        <x:v>46324</x:v>
      </x:c>
      <x:c r="H57" s="77" t="n">
        <x:v>46337</x:v>
      </x:c>
      <x:c r="I57" s="77" t="n">
        <x:v>46411</x:v>
      </x:c>
      <x:c r="J57" s="80" t="n">
        <x:f>MIN(E57:I57)-A57</x:f>
        <x:v>6</x:v>
      </x:c>
      <x:c r="K57" s="80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inlineStr">
        <x:is>
          <x:t xml:space="preserve">Supplementary panel</x:t>
        </x:is>
      </x:c>
    </x:row>
    <x:row r="58">
      <x:c r="A58" s="76" t="n">
        <x:v>46312</x:v>
      </x:c>
      <x:c r="B58" s="36" t="inlineStr">
        <x:is>
          <x:t xml:space="preserve">Thứ Bảy</x:t>
        </x:is>
      </x:c>
      <x:c r="C58" s="36" t="inlineStr">
        <x:is>
          <x:t xml:space="preserve">Official</x:t>
        </x:is>
      </x:c>
      <x:c r="D58" s="36" t="inlineStr">
        <x:is>
          <x:t xml:space="preserve">00:30</x:t>
        </x:is>
      </x:c>
      <x:c r="E58" s="77" t="n">
        <x:v>46317</x:v>
      </x:c>
      <x:c r="F58" s="77" t="n">
        <x:v>46320</x:v>
      </x:c>
      <x:c r="G58" s="77" t="n">
        <x:v>46324</x:v>
      </x:c>
      <x:c r="H58" s="77" t="n">
        <x:v>46337</x:v>
      </x:c>
      <x:c r="I58" s="77" t="n">
        <x:v>46411</x:v>
      </x:c>
      <x:c r="J58" s="78" t="n">
        <x:f>MIN(E58:I58)-A58</x:f>
        <x:v>5</x:v>
      </x:c>
      <x:c r="K58" s="78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inlineStr">
        <x:is>
          <x:t xml:space="preserve">Supplementary panel</x:t>
        </x:is>
      </x:c>
    </x:row>
    <x:row r="59">
      <x:c r="A59" s="79" t="n">
        <x:v>46313</x:v>
      </x:c>
      <x:c r="B59" s="37" t="inlineStr">
        <x:is>
          <x:t xml:space="preserve">Chủ Nhật</x:t>
        </x:is>
      </x:c>
      <x:c r="C59" s="37" t="inlineStr">
        <x:is>
          <x:t xml:space="preserve">Official</x:t>
        </x:is>
      </x:c>
      <x:c r="D59" s="37" t="inlineStr">
        <x:is>
          <x:t xml:space="preserve">00:30</x:t>
        </x:is>
      </x:c>
      <x:c r="E59" s="77" t="n">
        <x:v>46317</x:v>
      </x:c>
      <x:c r="F59" s="77" t="n">
        <x:v>46320</x:v>
      </x:c>
      <x:c r="G59" s="77" t="n">
        <x:v>46324</x:v>
      </x:c>
      <x:c r="H59" s="77" t="n">
        <x:v>46337</x:v>
      </x:c>
      <x:c r="I59" s="77" t="n">
        <x:v>46411</x:v>
      </x:c>
      <x:c r="J59" s="80" t="n">
        <x:f>MIN(E59:I59)-A59</x:f>
        <x:v>4</x:v>
      </x:c>
      <x:c r="K59" s="80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inlineStr">
        <x:is>
          <x:t xml:space="preserve">Supplementary panel</x:t>
        </x:is>
      </x:c>
    </x:row>
    <x:row r="60">
      <x:c r="A60" s="76" t="n">
        <x:v>46314</x:v>
      </x:c>
      <x:c r="B60" s="36" t="inlineStr">
        <x:is>
          <x:t xml:space="preserve">Thứ Hai</x:t>
        </x:is>
      </x:c>
      <x:c r="C60" s="36" t="inlineStr">
        <x:is>
          <x:t xml:space="preserve">Official</x:t>
        </x:is>
      </x:c>
      <x:c r="D60" s="36" t="inlineStr">
        <x:is>
          <x:t xml:space="preserve">00:30</x:t>
        </x:is>
      </x:c>
      <x:c r="E60" s="77" t="n">
        <x:v>46317</x:v>
      </x:c>
      <x:c r="F60" s="77" t="n">
        <x:v>46320</x:v>
      </x:c>
      <x:c r="G60" s="77" t="n">
        <x:v>46324</x:v>
      </x:c>
      <x:c r="H60" s="77" t="n">
        <x:v>46337</x:v>
      </x:c>
      <x:c r="I60" s="77" t="n">
        <x:v>46411</x:v>
      </x:c>
      <x:c r="J60" s="78" t="n">
        <x:f>MIN(E60:I60)-A60</x:f>
        <x:v>3</x:v>
      </x:c>
      <x:c r="K60" s="78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inlineStr">
        <x:is>
          <x:t xml:space="preserve">Supplementary panel</x:t>
        </x:is>
      </x:c>
    </x:row>
    <x:row r="61">
      <x:c r="A61" s="79" t="n">
        <x:v>46315</x:v>
      </x:c>
      <x:c r="B61" s="37" t="inlineStr">
        <x:is>
          <x:t xml:space="preserve">Thứ Ba</x:t>
        </x:is>
      </x:c>
      <x:c r="C61" s="37" t="inlineStr">
        <x:is>
          <x:t xml:space="preserve">Official</x:t>
        </x:is>
      </x:c>
      <x:c r="D61" s="37" t="inlineStr">
        <x:is>
          <x:t xml:space="preserve">00:30</x:t>
        </x:is>
      </x:c>
      <x:c r="E61" s="77" t="n">
        <x:v>46317</x:v>
      </x:c>
      <x:c r="F61" s="77" t="n">
        <x:v>46320</x:v>
      </x:c>
      <x:c r="G61" s="77" t="n">
        <x:v>46324</x:v>
      </x:c>
      <x:c r="H61" s="77" t="n">
        <x:v>46337</x:v>
      </x:c>
      <x:c r="I61" s="77" t="n">
        <x:v>46411</x:v>
      </x:c>
      <x:c r="J61" s="80" t="n">
        <x:f>MIN(E61:I61)-A61</x:f>
        <x:v>2</x:v>
      </x:c>
      <x:c r="K61" s="80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inlineStr">
        <x:is>
          <x:t xml:space="preserve">Supplementary panel</x:t>
        </x:is>
      </x:c>
    </x:row>
    <x:row r="62">
      <x:c r="A62" s="76" t="n">
        <x:v>46316</x:v>
      </x:c>
      <x:c r="B62" s="36" t="inlineStr">
        <x:is>
          <x:t xml:space="preserve">Thứ Tư</x:t>
        </x:is>
      </x:c>
      <x:c r="C62" s="36" t="inlineStr">
        <x:is>
          <x:t xml:space="preserve">Official</x:t>
        </x:is>
      </x:c>
      <x:c r="D62" s="36" t="inlineStr">
        <x:is>
          <x:t xml:space="preserve">00:30</x:t>
        </x:is>
      </x:c>
      <x:c r="E62" s="77" t="n">
        <x:v>46317</x:v>
      </x:c>
      <x:c r="F62" s="77" t="n">
        <x:v>46320</x:v>
      </x:c>
      <x:c r="G62" s="77" t="n">
        <x:v>46324</x:v>
      </x:c>
      <x:c r="H62" s="77" t="n">
        <x:v>46337</x:v>
      </x:c>
      <x:c r="I62" s="77" t="n">
        <x:v>46411</x:v>
      </x:c>
      <x:c r="J62" s="78" t="n">
        <x:f>MIN(E62:I62)-A62</x:f>
        <x:v>1</x:v>
      </x:c>
      <x:c r="K62" s="78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inlineStr">
        <x:is>
          <x:t xml:space="preserve">Supplementary panel</x:t>
        </x:is>
      </x:c>
    </x:row>
    <x:row r="63">
      <x:c r="A63" s="79" t="n">
        <x:v>46317</x:v>
      </x:c>
      <x:c r="B63" s="37" t="inlineStr">
        <x:is>
          <x:t xml:space="preserve">Thứ Năm</x:t>
        </x:is>
      </x:c>
      <x:c r="C63" s="37" t="inlineStr">
        <x:is>
          <x:t xml:space="preserve">Official</x:t>
        </x:is>
      </x:c>
      <x:c r="D63" s="37" t="inlineStr">
        <x:is>
          <x:t xml:space="preserve">00:30</x:t>
        </x:is>
      </x:c>
      <x:c r="E63" s="77" t="n">
        <x:v>46317</x:v>
      </x:c>
      <x:c r="F63" s="77" t="n">
        <x:v>46320</x:v>
      </x:c>
      <x:c r="G63" s="77" t="n">
        <x:v>46324</x:v>
      </x:c>
      <x:c r="H63" s="77" t="n">
        <x:v>46337</x:v>
      </x:c>
      <x:c r="I63" s="77" t="n">
        <x:v>46411</x:v>
      </x:c>
      <x:c r="J63" s="80" t="n">
        <x:f>MIN(E63:I63)-A63</x:f>
        <x:v>0</x:v>
      </x:c>
      <x:c r="K63" s="80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inlineStr">
        <x:is>
          <x:t xml:space="preserve">Supplementary panel</x:t>
        </x:is>
      </x:c>
    </x:row>
    <x:row r="64">
      <x:c r="A64" s="76" t="n">
        <x:v>46318</x:v>
      </x:c>
      <x:c r="B64" s="36" t="inlineStr">
        <x:is>
          <x:t xml:space="preserve">Thứ Sáu</x:t>
        </x:is>
      </x:c>
      <x:c r="C64" s="36" t="inlineStr">
        <x:is>
          <x:t xml:space="preserve">Official</x:t>
        </x:is>
      </x:c>
      <x:c r="D64" s="36" t="inlineStr">
        <x:is>
          <x:t xml:space="preserve">00:30</x:t>
        </x:is>
      </x:c>
      <x:c r="E64" s="77" t="n">
        <x:v>46345</x:v>
      </x:c>
      <x:c r="F64" s="77" t="n">
        <x:v>46320</x:v>
      </x:c>
      <x:c r="G64" s="77" t="n">
        <x:v>46324</x:v>
      </x:c>
      <x:c r="H64" s="77" t="n">
        <x:v>46337</x:v>
      </x:c>
      <x:c r="I64" s="77" t="n">
        <x:v>46411</x:v>
      </x:c>
      <x:c r="J64" s="78" t="n">
        <x:f>MIN(E64:I64)-A64</x:f>
        <x:v>2</x:v>
      </x:c>
      <x:c r="K64" s="78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inlineStr">
        <x:is>
          <x:t xml:space="preserve">Supplementary panel</x:t>
        </x:is>
      </x:c>
    </x:row>
    <x:row r="65">
      <x:c r="A65" s="79" t="n">
        <x:v>46319</x:v>
      </x:c>
      <x:c r="B65" s="37" t="inlineStr">
        <x:is>
          <x:t xml:space="preserve">Thứ Bảy</x:t>
        </x:is>
      </x:c>
      <x:c r="C65" s="37" t="inlineStr">
        <x:is>
          <x:t xml:space="preserve">Official</x:t>
        </x:is>
      </x:c>
      <x:c r="D65" s="37" t="inlineStr">
        <x:is>
          <x:t xml:space="preserve">00:30</x:t>
        </x:is>
      </x:c>
      <x:c r="E65" s="77" t="n">
        <x:v>46345</x:v>
      </x:c>
      <x:c r="F65" s="77" t="n">
        <x:v>46320</x:v>
      </x:c>
      <x:c r="G65" s="77" t="n">
        <x:v>46324</x:v>
      </x:c>
      <x:c r="H65" s="77" t="n">
        <x:v>46337</x:v>
      </x:c>
      <x:c r="I65" s="77" t="n">
        <x:v>46411</x:v>
      </x:c>
      <x:c r="J65" s="80" t="n">
        <x:f>MIN(E65:I65)-A65</x:f>
        <x:v>1</x:v>
      </x:c>
      <x:c r="K65" s="80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inlineStr">
        <x:is>
          <x:t xml:space="preserve">Supplementary panel</x:t>
        </x:is>
      </x:c>
    </x:row>
    <x:row r="66">
      <x:c r="A66" s="76" t="n">
        <x:v>46320</x:v>
      </x:c>
      <x:c r="B66" s="36" t="inlineStr">
        <x:is>
          <x:t xml:space="preserve">Chủ Nhật</x:t>
        </x:is>
      </x:c>
      <x:c r="C66" s="36" t="inlineStr">
        <x:is>
          <x:t xml:space="preserve">Official</x:t>
        </x:is>
      </x:c>
      <x:c r="D66" s="36" t="inlineStr">
        <x:is>
          <x:t xml:space="preserve">00:30</x:t>
        </x:is>
      </x:c>
      <x:c r="E66" s="77" t="n">
        <x:v>46345</x:v>
      </x:c>
      <x:c r="F66" s="77" t="n">
        <x:v>46320</x:v>
      </x:c>
      <x:c r="G66" s="77" t="n">
        <x:v>46324</x:v>
      </x:c>
      <x:c r="H66" s="77" t="n">
        <x:v>46337</x:v>
      </x:c>
      <x:c r="I66" s="77" t="n">
        <x:v>46411</x:v>
      </x:c>
      <x:c r="J66" s="78" t="n">
        <x:f>MIN(E66:I66)-A66</x:f>
        <x:v>0</x:v>
      </x:c>
      <x:c r="K66" s="78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inlineStr">
        <x:is>
          <x:t xml:space="preserve">Supplementary panel</x:t>
        </x:is>
      </x:c>
    </x:row>
    <x:row r="67">
      <x:c r="A67" s="79" t="n">
        <x:v>46321</x:v>
      </x:c>
      <x:c r="B67" s="37" t="inlineStr">
        <x:is>
          <x:t xml:space="preserve">Thứ Hai</x:t>
        </x:is>
      </x:c>
      <x:c r="C67" s="37" t="inlineStr">
        <x:is>
          <x:t xml:space="preserve">Official</x:t>
        </x:is>
      </x:c>
      <x:c r="D67" s="37" t="inlineStr">
        <x:is>
          <x:t xml:space="preserve">00:30</x:t>
        </x:is>
      </x:c>
      <x:c r="E67" s="77" t="n">
        <x:v>46345</x:v>
      </x:c>
      <x:c r="F67" s="77" t="n">
        <x:v>46348</x:v>
      </x:c>
      <x:c r="G67" s="77" t="n">
        <x:v>46324</x:v>
      </x:c>
      <x:c r="H67" s="77" t="n">
        <x:v>46337</x:v>
      </x:c>
      <x:c r="I67" s="77" t="n">
        <x:v>46411</x:v>
      </x:c>
      <x:c r="J67" s="80" t="n">
        <x:f>MIN(E67:I67)-A67</x:f>
        <x:v>3</x:v>
      </x:c>
      <x:c r="K67" s="80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inlineStr">
        <x:is>
          <x:t xml:space="preserve">Supplementary panel</x:t>
        </x:is>
      </x:c>
    </x:row>
    <x:row r="68">
      <x:c r="A68" s="76" t="n">
        <x:v>46322</x:v>
      </x:c>
      <x:c r="B68" s="36" t="inlineStr">
        <x:is>
          <x:t xml:space="preserve">Thứ Ba</x:t>
        </x:is>
      </x:c>
      <x:c r="C68" s="36" t="inlineStr">
        <x:is>
          <x:t xml:space="preserve">Official</x:t>
        </x:is>
      </x:c>
      <x:c r="D68" s="36" t="inlineStr">
        <x:is>
          <x:t xml:space="preserve">00:30</x:t>
        </x:is>
      </x:c>
      <x:c r="E68" s="77" t="n">
        <x:v>46345</x:v>
      </x:c>
      <x:c r="F68" s="77" t="n">
        <x:v>46348</x:v>
      </x:c>
      <x:c r="G68" s="77" t="n">
        <x:v>46324</x:v>
      </x:c>
      <x:c r="H68" s="77" t="n">
        <x:v>46337</x:v>
      </x:c>
      <x:c r="I68" s="77" t="n">
        <x:v>46411</x:v>
      </x:c>
      <x:c r="J68" s="78" t="n">
        <x:f>MIN(E68:I68)-A68</x:f>
        <x:v>2</x:v>
      </x:c>
      <x:c r="K68" s="78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inlineStr">
        <x:is>
          <x:t xml:space="preserve">Supplementary panel</x:t>
        </x:is>
      </x:c>
    </x:row>
    <x:row r="69">
      <x:c r="A69" s="79" t="n">
        <x:v>46323</x:v>
      </x:c>
      <x:c r="B69" s="37" t="inlineStr">
        <x:is>
          <x:t xml:space="preserve">Thứ Tư</x:t>
        </x:is>
      </x:c>
      <x:c r="C69" s="37" t="inlineStr">
        <x:is>
          <x:t xml:space="preserve">Official</x:t>
        </x:is>
      </x:c>
      <x:c r="D69" s="37" t="inlineStr">
        <x:is>
          <x:t xml:space="preserve">00:30</x:t>
        </x:is>
      </x:c>
      <x:c r="E69" s="77" t="n">
        <x:v>46345</x:v>
      </x:c>
      <x:c r="F69" s="77" t="n">
        <x:v>46348</x:v>
      </x:c>
      <x:c r="G69" s="77" t="n">
        <x:v>46324</x:v>
      </x:c>
      <x:c r="H69" s="77" t="n">
        <x:v>46337</x:v>
      </x:c>
      <x:c r="I69" s="77" t="n">
        <x:v>46411</x:v>
      </x:c>
      <x:c r="J69" s="80" t="n">
        <x:f>MIN(E69:I69)-A69</x:f>
        <x:v>1</x:v>
      </x:c>
      <x:c r="K69" s="80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inlineStr">
        <x:is>
          <x:t xml:space="preserve">Supplementary panel</x:t>
        </x:is>
      </x:c>
    </x:row>
    <x:row r="70">
      <x:c r="A70" s="76" t="n">
        <x:v>46324</x:v>
      </x:c>
      <x:c r="B70" s="36" t="inlineStr">
        <x:is>
          <x:t xml:space="preserve">Thứ Năm</x:t>
        </x:is>
      </x:c>
      <x:c r="C70" s="36" t="inlineStr">
        <x:is>
          <x:t xml:space="preserve">Official</x:t>
        </x:is>
      </x:c>
      <x:c r="D70" s="36" t="inlineStr">
        <x:is>
          <x:t xml:space="preserve">00:30</x:t>
        </x:is>
      </x:c>
      <x:c r="E70" s="77" t="n">
        <x:v>46345</x:v>
      </x:c>
      <x:c r="F70" s="77" t="n">
        <x:v>46348</x:v>
      </x:c>
      <x:c r="G70" s="77" t="n">
        <x:v>46324</x:v>
      </x:c>
      <x:c r="H70" s="77" t="n">
        <x:v>46337</x:v>
      </x:c>
      <x:c r="I70" s="77" t="n">
        <x:v>46411</x:v>
      </x:c>
      <x:c r="J70" s="78" t="n">
        <x:f>MIN(E70:I70)-A70</x:f>
        <x:v>0</x:v>
      </x:c>
      <x:c r="K70" s="78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inlineStr">
        <x:is>
          <x:t xml:space="preserve">Supplementary panel</x:t>
        </x:is>
      </x:c>
    </x:row>
    <x:row r="71">
      <x:c r="A71" s="79" t="n">
        <x:v>46325</x:v>
      </x:c>
      <x:c r="B71" s="37" t="inlineStr">
        <x:is>
          <x:t xml:space="preserve">Thứ Sáu</x:t>
        </x:is>
      </x:c>
      <x:c r="C71" s="37" t="inlineStr">
        <x:is>
          <x:t xml:space="preserve">Official</x:t>
        </x:is>
      </x:c>
      <x:c r="D71" s="37" t="inlineStr">
        <x:is>
          <x:t xml:space="preserve">00:30</x:t>
        </x:is>
      </x:c>
      <x:c r="E71" s="77" t="n">
        <x:v>46345</x:v>
      </x:c>
      <x:c r="F71" s="77" t="n">
        <x:v>46348</x:v>
      </x:c>
      <x:c r="G71" s="77" t="n">
        <x:v>46352</x:v>
      </x:c>
      <x:c r="H71" s="77" t="n">
        <x:v>46337</x:v>
      </x:c>
      <x:c r="I71" s="77" t="n">
        <x:v>46411</x:v>
      </x:c>
      <x:c r="J71" s="80" t="n">
        <x:f>MIN(E71:I71)-A71</x:f>
        <x:v>12</x:v>
      </x:c>
      <x:c r="K71" s="80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inlineStr">
        <x:is>
          <x:t xml:space="preserve">Supplementary panel</x:t>
        </x:is>
      </x:c>
    </x:row>
    <x:row r="72">
      <x:c r="A72" s="76" t="n">
        <x:v>46326</x:v>
      </x:c>
      <x:c r="B72" s="36" t="inlineStr">
        <x:is>
          <x:t xml:space="preserve">Thứ Bảy</x:t>
        </x:is>
      </x:c>
      <x:c r="C72" s="36" t="inlineStr">
        <x:is>
          <x:t xml:space="preserve">Official</x:t>
        </x:is>
      </x:c>
      <x:c r="D72" s="36" t="inlineStr">
        <x:is>
          <x:t xml:space="preserve">00:30</x:t>
        </x:is>
      </x:c>
      <x:c r="E72" s="77" t="n">
        <x:v>46345</x:v>
      </x:c>
      <x:c r="F72" s="77" t="n">
        <x:v>46348</x:v>
      </x:c>
      <x:c r="G72" s="77" t="n">
        <x:v>46352</x:v>
      </x:c>
      <x:c r="H72" s="77" t="n">
        <x:v>46337</x:v>
      </x:c>
      <x:c r="I72" s="77" t="n">
        <x:v>46411</x:v>
      </x:c>
      <x:c r="J72" s="78" t="n">
        <x:f>MIN(E72:I72)-A72</x:f>
        <x:v>11</x:v>
      </x:c>
      <x:c r="K72" s="78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inlineStr">
        <x:is>
          <x:t xml:space="preserve">Supplementary panel</x:t>
        </x:is>
      </x:c>
    </x:row>
    <x:row r="73">
      <x:c r="A73" s="79" t="n">
        <x:v>46327</x:v>
      </x:c>
      <x:c r="B73" s="37" t="inlineStr">
        <x:is>
          <x:t xml:space="preserve">Chủ Nhật</x:t>
        </x:is>
      </x:c>
      <x:c r="C73" s="37" t="inlineStr">
        <x:is>
          <x:t xml:space="preserve">Official</x:t>
        </x:is>
      </x:c>
      <x:c r="D73" s="37" t="inlineStr">
        <x:is>
          <x:t xml:space="preserve">00:30</x:t>
        </x:is>
      </x:c>
      <x:c r="E73" s="77" t="n">
        <x:v>46345</x:v>
      </x:c>
      <x:c r="F73" s="77" t="n">
        <x:v>46348</x:v>
      </x:c>
      <x:c r="G73" s="77" t="n">
        <x:v>46352</x:v>
      </x:c>
      <x:c r="H73" s="77" t="n">
        <x:v>46337</x:v>
      </x:c>
      <x:c r="I73" s="77" t="n">
        <x:v>46411</x:v>
      </x:c>
      <x:c r="J73" s="80" t="n">
        <x:f>MIN(E73:I73)-A73</x:f>
        <x:v>10</x:v>
      </x:c>
      <x:c r="K73" s="80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inlineStr">
        <x:is>
          <x:t xml:space="preserve">Supplementary panel</x:t>
        </x:is>
      </x:c>
    </x:row>
    <x:row r="74">
      <x:c r="A74" s="76" t="n">
        <x:v>46328</x:v>
      </x:c>
      <x:c r="B74" s="36" t="inlineStr">
        <x:is>
          <x:t xml:space="preserve">Thứ Hai</x:t>
        </x:is>
      </x:c>
      <x:c r="C74" s="36" t="inlineStr">
        <x:is>
          <x:t xml:space="preserve">Official</x:t>
        </x:is>
      </x:c>
      <x:c r="D74" s="36" t="inlineStr">
        <x:is>
          <x:t xml:space="preserve">00:30</x:t>
        </x:is>
      </x:c>
      <x:c r="E74" s="77" t="n">
        <x:v>46345</x:v>
      </x:c>
      <x:c r="F74" s="77" t="n">
        <x:v>46348</x:v>
      </x:c>
      <x:c r="G74" s="77" t="n">
        <x:v>46352</x:v>
      </x:c>
      <x:c r="H74" s="77" t="n">
        <x:v>46337</x:v>
      </x:c>
      <x:c r="I74" s="77" t="n">
        <x:v>46411</x:v>
      </x:c>
      <x:c r="J74" s="78" t="n">
        <x:f>MIN(E74:I74)-A74</x:f>
        <x:v>9</x:v>
      </x:c>
      <x:c r="K74" s="78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inlineStr">
        <x:is>
          <x:t xml:space="preserve">Supplementary panel</x:t>
        </x:is>
      </x:c>
    </x:row>
    <x:row r="75">
      <x:c r="A75" s="79" t="n">
        <x:v>46329</x:v>
      </x:c>
      <x:c r="B75" s="37" t="inlineStr">
        <x:is>
          <x:t xml:space="preserve">Thứ Ba</x:t>
        </x:is>
      </x:c>
      <x:c r="C75" s="37" t="inlineStr">
        <x:is>
          <x:t xml:space="preserve">Official</x:t>
        </x:is>
      </x:c>
      <x:c r="D75" s="37" t="inlineStr">
        <x:is>
          <x:t xml:space="preserve">00:30</x:t>
        </x:is>
      </x:c>
      <x:c r="E75" s="77" t="n">
        <x:v>46345</x:v>
      </x:c>
      <x:c r="F75" s="77" t="n">
        <x:v>46348</x:v>
      </x:c>
      <x:c r="G75" s="77" t="n">
        <x:v>46352</x:v>
      </x:c>
      <x:c r="H75" s="77" t="n">
        <x:v>46337</x:v>
      </x:c>
      <x:c r="I75" s="77" t="n">
        <x:v>46411</x:v>
      </x:c>
      <x:c r="J75" s="80" t="n">
        <x:f>MIN(E75:I75)-A75</x:f>
        <x:v>8</x:v>
      </x:c>
      <x:c r="K75" s="80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inlineStr">
        <x:is>
          <x:t xml:space="preserve">Supplementary panel</x:t>
        </x:is>
      </x:c>
    </x:row>
    <x:row r="76">
      <x:c r="A76" s="76" t="n">
        <x:v>46330</x:v>
      </x:c>
      <x:c r="B76" s="36" t="inlineStr">
        <x:is>
          <x:t xml:space="preserve">Thứ Tư</x:t>
        </x:is>
      </x:c>
      <x:c r="C76" s="36" t="inlineStr">
        <x:is>
          <x:t xml:space="preserve">Official</x:t>
        </x:is>
      </x:c>
      <x:c r="D76" s="36" t="inlineStr">
        <x:is>
          <x:t xml:space="preserve">00:30</x:t>
        </x:is>
      </x:c>
      <x:c r="E76" s="77" t="n">
        <x:v>46345</x:v>
      </x:c>
      <x:c r="F76" s="77" t="n">
        <x:v>46348</x:v>
      </x:c>
      <x:c r="G76" s="77" t="n">
        <x:v>46352</x:v>
      </x:c>
      <x:c r="H76" s="77" t="n">
        <x:v>46337</x:v>
      </x:c>
      <x:c r="I76" s="77" t="n">
        <x:v>46411</x:v>
      </x:c>
      <x:c r="J76" s="78" t="n">
        <x:f>MIN(E76:I76)-A76</x:f>
        <x:v>7</x:v>
      </x:c>
      <x:c r="K76" s="78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inlineStr">
        <x:is>
          <x:t xml:space="preserve">Supplementary panel</x:t>
        </x:is>
      </x:c>
    </x:row>
    <x:row r="77">
      <x:c r="A77" s="79" t="n">
        <x:v>46331</x:v>
      </x:c>
      <x:c r="B77" s="37" t="inlineStr">
        <x:is>
          <x:t xml:space="preserve">Thứ Năm</x:t>
        </x:is>
      </x:c>
      <x:c r="C77" s="37" t="inlineStr">
        <x:is>
          <x:t xml:space="preserve">Official</x:t>
        </x:is>
      </x:c>
      <x:c r="D77" s="37" t="inlineStr">
        <x:is>
          <x:t xml:space="preserve">00:30</x:t>
        </x:is>
      </x:c>
      <x:c r="E77" s="77" t="n">
        <x:v>46345</x:v>
      </x:c>
      <x:c r="F77" s="77" t="n">
        <x:v>46348</x:v>
      </x:c>
      <x:c r="G77" s="77" t="n">
        <x:v>46352</x:v>
      </x:c>
      <x:c r="H77" s="77" t="n">
        <x:v>46337</x:v>
      </x:c>
      <x:c r="I77" s="77" t="n">
        <x:v>46411</x:v>
      </x:c>
      <x:c r="J77" s="80" t="n">
        <x:f>MIN(E77:I77)-A77</x:f>
        <x:v>6</x:v>
      </x:c>
      <x:c r="K77" s="80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inlineStr">
        <x:is>
          <x:t xml:space="preserve">Supplementary panel</x:t>
        </x:is>
      </x:c>
    </x:row>
    <x:row r="78">
      <x:c r="A78" s="76" t="n">
        <x:v>46332</x:v>
      </x:c>
      <x:c r="B78" s="36" t="inlineStr">
        <x:is>
          <x:t xml:space="preserve">Thứ Sáu</x:t>
        </x:is>
      </x:c>
      <x:c r="C78" s="36" t="inlineStr">
        <x:is>
          <x:t xml:space="preserve">Official</x:t>
        </x:is>
      </x:c>
      <x:c r="D78" s="36" t="inlineStr">
        <x:is>
          <x:t xml:space="preserve">00:30</x:t>
        </x:is>
      </x:c>
      <x:c r="E78" s="77" t="n">
        <x:v>46345</x:v>
      </x:c>
      <x:c r="F78" s="77" t="n">
        <x:v>46348</x:v>
      </x:c>
      <x:c r="G78" s="77" t="n">
        <x:v>46352</x:v>
      </x:c>
      <x:c r="H78" s="77" t="n">
        <x:v>46337</x:v>
      </x:c>
      <x:c r="I78" s="77" t="n">
        <x:v>46411</x:v>
      </x:c>
      <x:c r="J78" s="78" t="n">
        <x:f>MIN(E78:I78)-A78</x:f>
        <x:v>5</x:v>
      </x:c>
      <x:c r="K78" s="78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inlineStr">
        <x:is>
          <x:t xml:space="preserve">Supplementary panel</x:t>
        </x:is>
      </x:c>
    </x:row>
    <x:row r="79">
      <x:c r="A79" s="79" t="n">
        <x:v>46333</x:v>
      </x:c>
      <x:c r="B79" s="37" t="inlineStr">
        <x:is>
          <x:t xml:space="preserve">Thứ Bảy</x:t>
        </x:is>
      </x:c>
      <x:c r="C79" s="37" t="inlineStr">
        <x:is>
          <x:t xml:space="preserve">Official</x:t>
        </x:is>
      </x:c>
      <x:c r="D79" s="37" t="inlineStr">
        <x:is>
          <x:t xml:space="preserve">00:30</x:t>
        </x:is>
      </x:c>
      <x:c r="E79" s="77" t="n">
        <x:v>46345</x:v>
      </x:c>
      <x:c r="F79" s="77" t="n">
        <x:v>46348</x:v>
      </x:c>
      <x:c r="G79" s="77" t="n">
        <x:v>46352</x:v>
      </x:c>
      <x:c r="H79" s="77" t="n">
        <x:v>46337</x:v>
      </x:c>
      <x:c r="I79" s="77" t="n">
        <x:v>46411</x:v>
      </x:c>
      <x:c r="J79" s="80" t="n">
        <x:f>MIN(E79:I79)-A79</x:f>
        <x:v>4</x:v>
      </x:c>
      <x:c r="K79" s="80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inlineStr">
        <x:is>
          <x:t xml:space="preserve">Supplementary panel</x:t>
        </x:is>
      </x:c>
    </x:row>
    <x:row r="80">
      <x:c r="A80" s="76" t="n">
        <x:v>46334</x:v>
      </x:c>
      <x:c r="B80" s="36" t="inlineStr">
        <x:is>
          <x:t xml:space="preserve">Chủ Nhật</x:t>
        </x:is>
      </x:c>
      <x:c r="C80" s="36" t="inlineStr">
        <x:is>
          <x:t xml:space="preserve">Official</x:t>
        </x:is>
      </x:c>
      <x:c r="D80" s="36" t="inlineStr">
        <x:is>
          <x:t xml:space="preserve">00:30</x:t>
        </x:is>
      </x:c>
      <x:c r="E80" s="77" t="n">
        <x:v>46345</x:v>
      </x:c>
      <x:c r="F80" s="77" t="n">
        <x:v>46348</x:v>
      </x:c>
      <x:c r="G80" s="77" t="n">
        <x:v>46352</x:v>
      </x:c>
      <x:c r="H80" s="77" t="n">
        <x:v>46337</x:v>
      </x:c>
      <x:c r="I80" s="77" t="n">
        <x:v>46411</x:v>
      </x:c>
      <x:c r="J80" s="78" t="n">
        <x:f>MIN(E80:I80)-A80</x:f>
        <x:v>3</x:v>
      </x:c>
      <x:c r="K80" s="78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inlineStr">
        <x:is>
          <x:t xml:space="preserve">Supplementary panel</x:t>
        </x:is>
      </x:c>
    </x:row>
    <x:row r="81">
      <x:c r="A81" s="79" t="n">
        <x:v>46335</x:v>
      </x:c>
      <x:c r="B81" s="37" t="inlineStr">
        <x:is>
          <x:t xml:space="preserve">Thứ Hai</x:t>
        </x:is>
      </x:c>
      <x:c r="C81" s="37" t="inlineStr">
        <x:is>
          <x:t xml:space="preserve">Official</x:t>
        </x:is>
      </x:c>
      <x:c r="D81" s="37" t="inlineStr">
        <x:is>
          <x:t xml:space="preserve">00:30</x:t>
        </x:is>
      </x:c>
      <x:c r="E81" s="77" t="n">
        <x:v>46345</x:v>
      </x:c>
      <x:c r="F81" s="77" t="n">
        <x:v>46348</x:v>
      </x:c>
      <x:c r="G81" s="77" t="n">
        <x:v>46352</x:v>
      </x:c>
      <x:c r="H81" s="77" t="n">
        <x:v>46337</x:v>
      </x:c>
      <x:c r="I81" s="77" t="n">
        <x:v>46411</x:v>
      </x:c>
      <x:c r="J81" s="80" t="n">
        <x:f>MIN(E81:I81)-A81</x:f>
        <x:v>2</x:v>
      </x:c>
      <x:c r="K81" s="80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inlineStr">
        <x:is>
          <x:t xml:space="preserve">Supplementary panel</x:t>
        </x:is>
      </x:c>
    </x:row>
    <x:row r="82">
      <x:c r="A82" s="76" t="n">
        <x:v>46336</x:v>
      </x:c>
      <x:c r="B82" s="36" t="inlineStr">
        <x:is>
          <x:t xml:space="preserve">Thứ Ba</x:t>
        </x:is>
      </x:c>
      <x:c r="C82" s="36" t="inlineStr">
        <x:is>
          <x:t xml:space="preserve">Official</x:t>
        </x:is>
      </x:c>
      <x:c r="D82" s="36" t="inlineStr">
        <x:is>
          <x:t xml:space="preserve">00:30</x:t>
        </x:is>
      </x:c>
      <x:c r="E82" s="77" t="n">
        <x:v>46345</x:v>
      </x:c>
      <x:c r="F82" s="77" t="n">
        <x:v>46348</x:v>
      </x:c>
      <x:c r="G82" s="77" t="n">
        <x:v>46352</x:v>
      </x:c>
      <x:c r="H82" s="77" t="n">
        <x:v>46337</x:v>
      </x:c>
      <x:c r="I82" s="77" t="n">
        <x:v>46411</x:v>
      </x:c>
      <x:c r="J82" s="78" t="n">
        <x:f>MIN(E82:I82)-A82</x:f>
        <x:v>1</x:v>
      </x:c>
      <x:c r="K82" s="78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inlineStr">
        <x:is>
          <x:t xml:space="preserve">Supplementary panel</x:t>
        </x:is>
      </x:c>
    </x:row>
    <x:row r="83">
      <x:c r="A83" s="79" t="n">
        <x:v>46337</x:v>
      </x:c>
      <x:c r="B83" s="37" t="inlineStr">
        <x:is>
          <x:t xml:space="preserve">Thứ Tư</x:t>
        </x:is>
      </x:c>
      <x:c r="C83" s="37" t="inlineStr">
        <x:is>
          <x:t xml:space="preserve">Official</x:t>
        </x:is>
      </x:c>
      <x:c r="D83" s="37" t="inlineStr">
        <x:is>
          <x:t xml:space="preserve">00:30</x:t>
        </x:is>
      </x:c>
      <x:c r="E83" s="77" t="n">
        <x:v>46345</x:v>
      </x:c>
      <x:c r="F83" s="77" t="n">
        <x:v>46348</x:v>
      </x:c>
      <x:c r="G83" s="77" t="n">
        <x:v>46352</x:v>
      </x:c>
      <x:c r="H83" s="77" t="n">
        <x:v>46337</x:v>
      </x:c>
      <x:c r="I83" s="77" t="n">
        <x:v>46411</x:v>
      </x:c>
      <x:c r="J83" s="80" t="n">
        <x:f>MIN(E83:I83)-A83</x:f>
        <x:v>0</x:v>
      </x:c>
      <x:c r="K83" s="80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inlineStr">
        <x:is>
          <x:t xml:space="preserve">Supplementary panel</x:t>
        </x:is>
      </x:c>
    </x:row>
    <x:row r="84">
      <x:c r="A84" s="76" t="n">
        <x:v>46338</x:v>
      </x:c>
      <x:c r="B84" s="36" t="inlineStr">
        <x:is>
          <x:t xml:space="preserve">Thứ Năm</x:t>
        </x:is>
      </x:c>
      <x:c r="C84" s="36" t="inlineStr">
        <x:is>
          <x:t xml:space="preserve">Official</x:t>
        </x:is>
      </x:c>
      <x:c r="D84" s="36" t="inlineStr">
        <x:is>
          <x:t xml:space="preserve">00:30</x:t>
        </x:is>
      </x:c>
      <x:c r="E84" s="77" t="n">
        <x:v>46345</x:v>
      </x:c>
      <x:c r="F84" s="77" t="n">
        <x:v>46348</x:v>
      </x:c>
      <x:c r="G84" s="77" t="n">
        <x:v>46352</x:v>
      </x:c>
      <x:c r="H84" s="77" t="n">
        <x:v>46365</x:v>
      </x:c>
      <x:c r="I84" s="77" t="n">
        <x:v>46411</x:v>
      </x:c>
      <x:c r="J84" s="78" t="n">
        <x:f>MIN(E84:I84)-A84</x:f>
        <x:v>7</x:v>
      </x:c>
      <x:c r="K84" s="78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inlineStr">
        <x:is>
          <x:t xml:space="preserve">Supplementary panel</x:t>
        </x:is>
      </x:c>
    </x:row>
    <x:row r="85">
      <x:c r="A85" s="79" t="n">
        <x:v>46339</x:v>
      </x:c>
      <x:c r="B85" s="37" t="inlineStr">
        <x:is>
          <x:t xml:space="preserve">Thứ Sáu</x:t>
        </x:is>
      </x:c>
      <x:c r="C85" s="37" t="inlineStr">
        <x:is>
          <x:t xml:space="preserve">Official</x:t>
        </x:is>
      </x:c>
      <x:c r="D85" s="37" t="inlineStr">
        <x:is>
          <x:t xml:space="preserve">00:30</x:t>
        </x:is>
      </x:c>
      <x:c r="E85" s="77" t="n">
        <x:v>46345</x:v>
      </x:c>
      <x:c r="F85" s="77" t="n">
        <x:v>46348</x:v>
      </x:c>
      <x:c r="G85" s="77" t="n">
        <x:v>46352</x:v>
      </x:c>
      <x:c r="H85" s="77" t="n">
        <x:v>46365</x:v>
      </x:c>
      <x:c r="I85" s="77" t="n">
        <x:v>46411</x:v>
      </x:c>
      <x:c r="J85" s="80" t="n">
        <x:f>MIN(E85:I85)-A85</x:f>
        <x:v>6</x:v>
      </x:c>
      <x:c r="K85" s="80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inlineStr">
        <x:is>
          <x:t xml:space="preserve">Supplementary panel</x:t>
        </x:is>
      </x:c>
    </x:row>
    <x:row r="86">
      <x:c r="A86" s="76" t="n">
        <x:v>46340</x:v>
      </x:c>
      <x:c r="B86" s="36" t="inlineStr">
        <x:is>
          <x:t xml:space="preserve">Thứ Bảy</x:t>
        </x:is>
      </x:c>
      <x:c r="C86" s="36" t="inlineStr">
        <x:is>
          <x:t xml:space="preserve">Official</x:t>
        </x:is>
      </x:c>
      <x:c r="D86" s="36" t="inlineStr">
        <x:is>
          <x:t xml:space="preserve">00:30</x:t>
        </x:is>
      </x:c>
      <x:c r="E86" s="77" t="n">
        <x:v>46345</x:v>
      </x:c>
      <x:c r="F86" s="77" t="n">
        <x:v>46348</x:v>
      </x:c>
      <x:c r="G86" s="77" t="n">
        <x:v>46352</x:v>
      </x:c>
      <x:c r="H86" s="77" t="n">
        <x:v>46365</x:v>
      </x:c>
      <x:c r="I86" s="77" t="n">
        <x:v>46411</x:v>
      </x:c>
      <x:c r="J86" s="78" t="n">
        <x:f>MIN(E86:I86)-A86</x:f>
        <x:v>5</x:v>
      </x:c>
      <x:c r="K86" s="78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inlineStr">
        <x:is>
          <x:t xml:space="preserve">Supplementary panel</x:t>
        </x:is>
      </x:c>
    </x:row>
    <x:row r="87">
      <x:c r="A87" s="79" t="n">
        <x:v>46341</x:v>
      </x:c>
      <x:c r="B87" s="37" t="inlineStr">
        <x:is>
          <x:t xml:space="preserve">Chủ Nhật</x:t>
        </x:is>
      </x:c>
      <x:c r="C87" s="37" t="inlineStr">
        <x:is>
          <x:t xml:space="preserve">Official</x:t>
        </x:is>
      </x:c>
      <x:c r="D87" s="37" t="inlineStr">
        <x:is>
          <x:t xml:space="preserve">00:30</x:t>
        </x:is>
      </x:c>
      <x:c r="E87" s="77" t="n">
        <x:v>46345</x:v>
      </x:c>
      <x:c r="F87" s="77" t="n">
        <x:v>46348</x:v>
      </x:c>
      <x:c r="G87" s="77" t="n">
        <x:v>46352</x:v>
      </x:c>
      <x:c r="H87" s="77" t="n">
        <x:v>46365</x:v>
      </x:c>
      <x:c r="I87" s="77" t="n">
        <x:v>46411</x:v>
      </x:c>
      <x:c r="J87" s="80" t="n">
        <x:f>MIN(E87:I87)-A87</x:f>
        <x:v>4</x:v>
      </x:c>
      <x:c r="K87" s="80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inlineStr">
        <x:is>
          <x:t xml:space="preserve">Supplementary panel</x:t>
        </x:is>
      </x:c>
    </x:row>
    <x:row r="88">
      <x:c r="A88" s="76" t="n">
        <x:v>46342</x:v>
      </x:c>
      <x:c r="B88" s="36" t="inlineStr">
        <x:is>
          <x:t xml:space="preserve">Thứ Hai</x:t>
        </x:is>
      </x:c>
      <x:c r="C88" s="36" t="inlineStr">
        <x:is>
          <x:t xml:space="preserve">Official</x:t>
        </x:is>
      </x:c>
      <x:c r="D88" s="36" t="inlineStr">
        <x:is>
          <x:t xml:space="preserve">00:30</x:t>
        </x:is>
      </x:c>
      <x:c r="E88" s="77" t="n">
        <x:v>46345</x:v>
      </x:c>
      <x:c r="F88" s="77" t="n">
        <x:v>46348</x:v>
      </x:c>
      <x:c r="G88" s="77" t="n">
        <x:v>46352</x:v>
      </x:c>
      <x:c r="H88" s="77" t="n">
        <x:v>46365</x:v>
      </x:c>
      <x:c r="I88" s="77" t="n">
        <x:v>46411</x:v>
      </x:c>
      <x:c r="J88" s="78" t="n">
        <x:f>MIN(E88:I88)-A88</x:f>
        <x:v>3</x:v>
      </x:c>
      <x:c r="K88" s="78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inlineStr">
        <x:is>
          <x:t xml:space="preserve">Supplementary panel</x:t>
        </x:is>
      </x:c>
    </x:row>
    <x:row r="89">
      <x:c r="A89" s="79" t="n">
        <x:v>46343</x:v>
      </x:c>
      <x:c r="B89" s="37" t="inlineStr">
        <x:is>
          <x:t xml:space="preserve">Thứ Ba</x:t>
        </x:is>
      </x:c>
      <x:c r="C89" s="37" t="inlineStr">
        <x:is>
          <x:t xml:space="preserve">Official</x:t>
        </x:is>
      </x:c>
      <x:c r="D89" s="37" t="inlineStr">
        <x:is>
          <x:t xml:space="preserve">00:30</x:t>
        </x:is>
      </x:c>
      <x:c r="E89" s="77" t="n">
        <x:v>46345</x:v>
      </x:c>
      <x:c r="F89" s="77" t="n">
        <x:v>46348</x:v>
      </x:c>
      <x:c r="G89" s="77" t="n">
        <x:v>46352</x:v>
      </x:c>
      <x:c r="H89" s="77" t="n">
        <x:v>46365</x:v>
      </x:c>
      <x:c r="I89" s="77" t="n">
        <x:v>46411</x:v>
      </x:c>
      <x:c r="J89" s="80" t="n">
        <x:f>MIN(E89:I89)-A89</x:f>
        <x:v>2</x:v>
      </x:c>
      <x:c r="K89" s="80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inlineStr">
        <x:is>
          <x:t xml:space="preserve">Supplementary panel</x:t>
        </x:is>
      </x:c>
    </x:row>
    <x:row r="90">
      <x:c r="A90" s="76" t="n">
        <x:v>46344</x:v>
      </x:c>
      <x:c r="B90" s="36" t="inlineStr">
        <x:is>
          <x:t xml:space="preserve">Thứ Tư</x:t>
        </x:is>
      </x:c>
      <x:c r="C90" s="36" t="inlineStr">
        <x:is>
          <x:t xml:space="preserve">Official</x:t>
        </x:is>
      </x:c>
      <x:c r="D90" s="36" t="inlineStr">
        <x:is>
          <x:t xml:space="preserve">00:30</x:t>
        </x:is>
      </x:c>
      <x:c r="E90" s="77" t="n">
        <x:v>46345</x:v>
      </x:c>
      <x:c r="F90" s="77" t="n">
        <x:v>46348</x:v>
      </x:c>
      <x:c r="G90" s="77" t="n">
        <x:v>46352</x:v>
      </x:c>
      <x:c r="H90" s="77" t="n">
        <x:v>46365</x:v>
      </x:c>
      <x:c r="I90" s="77" t="n">
        <x:v>46411</x:v>
      </x:c>
      <x:c r="J90" s="78" t="n">
        <x:f>MIN(E90:I90)-A90</x:f>
        <x:v>1</x:v>
      </x:c>
      <x:c r="K90" s="78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inlineStr">
        <x:is>
          <x:t xml:space="preserve">Supplementary panel</x:t>
        </x:is>
      </x:c>
    </x:row>
    <x:row r="91">
      <x:c r="A91" s="79" t="n">
        <x:v>46345</x:v>
      </x:c>
      <x:c r="B91" s="37" t="inlineStr">
        <x:is>
          <x:t xml:space="preserve">Thứ Năm</x:t>
        </x:is>
      </x:c>
      <x:c r="C91" s="37" t="inlineStr">
        <x:is>
          <x:t xml:space="preserve">Official</x:t>
        </x:is>
      </x:c>
      <x:c r="D91" s="37" t="inlineStr">
        <x:is>
          <x:t xml:space="preserve">00:30</x:t>
        </x:is>
      </x:c>
      <x:c r="E91" s="77" t="n">
        <x:v>46345</x:v>
      </x:c>
      <x:c r="F91" s="77" t="n">
        <x:v>46348</x:v>
      </x:c>
      <x:c r="G91" s="77" t="n">
        <x:v>46352</x:v>
      </x:c>
      <x:c r="H91" s="77" t="n">
        <x:v>46365</x:v>
      </x:c>
      <x:c r="I91" s="77" t="n">
        <x:v>46411</x:v>
      </x:c>
      <x:c r="J91" s="80" t="n">
        <x:f>MIN(E91:I91)-A91</x:f>
        <x:v>0</x:v>
      </x:c>
      <x:c r="K91" s="80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inlineStr">
        <x:is>
          <x:t xml:space="preserve">Supplementary panel</x:t>
        </x:is>
      </x:c>
    </x:row>
    <x:row r="92">
      <x:c r="A92" s="76" t="n">
        <x:v>46346</x:v>
      </x:c>
      <x:c r="B92" s="36" t="inlineStr">
        <x:is>
          <x:t xml:space="preserve">Thứ Sáu</x:t>
        </x:is>
      </x:c>
      <x:c r="C92" s="36" t="inlineStr">
        <x:is>
          <x:t xml:space="preserve">Official</x:t>
        </x:is>
      </x:c>
      <x:c r="D92" s="36" t="inlineStr">
        <x:is>
          <x:t xml:space="preserve">00:30</x:t>
        </x:is>
      </x:c>
      <x:c r="E92" s="77" t="n">
        <x:v>46373</x:v>
      </x:c>
      <x:c r="F92" s="77" t="n">
        <x:v>46348</x:v>
      </x:c>
      <x:c r="G92" s="77" t="n">
        <x:v>46352</x:v>
      </x:c>
      <x:c r="H92" s="77" t="n">
        <x:v>46365</x:v>
      </x:c>
      <x:c r="I92" s="77" t="n">
        <x:v>46411</x:v>
      </x:c>
      <x:c r="J92" s="78" t="n">
        <x:f>MIN(E92:I92)-A92</x:f>
        <x:v>2</x:v>
      </x:c>
      <x:c r="K92" s="78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inlineStr">
        <x:is>
          <x:t xml:space="preserve">Supplementary panel</x:t>
        </x:is>
      </x:c>
    </x:row>
    <x:row r="93">
      <x:c r="A93" s="79" t="n">
        <x:v>46347</x:v>
      </x:c>
      <x:c r="B93" s="37" t="inlineStr">
        <x:is>
          <x:t xml:space="preserve">Thứ Bảy</x:t>
        </x:is>
      </x:c>
      <x:c r="C93" s="37" t="inlineStr">
        <x:is>
          <x:t xml:space="preserve">Official</x:t>
        </x:is>
      </x:c>
      <x:c r="D93" s="37" t="inlineStr">
        <x:is>
          <x:t xml:space="preserve">00:30</x:t>
        </x:is>
      </x:c>
      <x:c r="E93" s="77" t="n">
        <x:v>46373</x:v>
      </x:c>
      <x:c r="F93" s="77" t="n">
        <x:v>46348</x:v>
      </x:c>
      <x:c r="G93" s="77" t="n">
        <x:v>46352</x:v>
      </x:c>
      <x:c r="H93" s="77" t="n">
        <x:v>46365</x:v>
      </x:c>
      <x:c r="I93" s="77" t="n">
        <x:v>46411</x:v>
      </x:c>
      <x:c r="J93" s="80" t="n">
        <x:f>MIN(E93:I93)-A93</x:f>
        <x:v>1</x:v>
      </x:c>
      <x:c r="K93" s="80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inlineStr">
        <x:is>
          <x:t xml:space="preserve">Supplementary panel</x:t>
        </x:is>
      </x:c>
    </x:row>
    <x:row r="94">
      <x:c r="A94" s="76" t="n">
        <x:v>46348</x:v>
      </x:c>
      <x:c r="B94" s="36" t="inlineStr">
        <x:is>
          <x:t xml:space="preserve">Chủ Nhật</x:t>
        </x:is>
      </x:c>
      <x:c r="C94" s="36" t="inlineStr">
        <x:is>
          <x:t xml:space="preserve">Official</x:t>
        </x:is>
      </x:c>
      <x:c r="D94" s="36" t="inlineStr">
        <x:is>
          <x:t xml:space="preserve">00:30</x:t>
        </x:is>
      </x:c>
      <x:c r="E94" s="77" t="n">
        <x:v>46373</x:v>
      </x:c>
      <x:c r="F94" s="77" t="n">
        <x:v>46348</x:v>
      </x:c>
      <x:c r="G94" s="77" t="n">
        <x:v>46352</x:v>
      </x:c>
      <x:c r="H94" s="77" t="n">
        <x:v>46365</x:v>
      </x:c>
      <x:c r="I94" s="77" t="n">
        <x:v>46411</x:v>
      </x:c>
      <x:c r="J94" s="78" t="n">
        <x:f>MIN(E94:I94)-A94</x:f>
        <x:v>0</x:v>
      </x:c>
      <x:c r="K94" s="78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inlineStr">
        <x:is>
          <x:t xml:space="preserve">Supplementary panel</x:t>
        </x:is>
      </x:c>
    </x:row>
    <x:row r="95">
      <x:c r="A95" s="79" t="n">
        <x:v>46349</x:v>
      </x:c>
      <x:c r="B95" s="37" t="inlineStr">
        <x:is>
          <x:t xml:space="preserve">Thứ Hai</x:t>
        </x:is>
      </x:c>
      <x:c r="C95" s="37" t="inlineStr">
        <x:is>
          <x:t xml:space="preserve">Official</x:t>
        </x:is>
      </x:c>
      <x:c r="D95" s="37" t="inlineStr">
        <x:is>
          <x:t xml:space="preserve">00:30</x:t>
        </x:is>
      </x:c>
      <x:c r="E95" s="77" t="n">
        <x:v>46373</x:v>
      </x:c>
      <x:c r="F95" s="77" t="n">
        <x:v>46376</x:v>
      </x:c>
      <x:c r="G95" s="77" t="n">
        <x:v>46352</x:v>
      </x:c>
      <x:c r="H95" s="77" t="n">
        <x:v>46365</x:v>
      </x:c>
      <x:c r="I95" s="77" t="n">
        <x:v>46411</x:v>
      </x:c>
      <x:c r="J95" s="80" t="n">
        <x:f>MIN(E95:I95)-A95</x:f>
        <x:v>3</x:v>
      </x:c>
      <x:c r="K95" s="80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inlineStr">
        <x:is>
          <x:t xml:space="preserve">Supplementary panel</x:t>
        </x:is>
      </x:c>
    </x:row>
    <x:row r="96">
      <x:c r="A96" s="76" t="n">
        <x:v>46350</x:v>
      </x:c>
      <x:c r="B96" s="36" t="inlineStr">
        <x:is>
          <x:t xml:space="preserve">Thứ Ba</x:t>
        </x:is>
      </x:c>
      <x:c r="C96" s="36" t="inlineStr">
        <x:is>
          <x:t xml:space="preserve">Official</x:t>
        </x:is>
      </x:c>
      <x:c r="D96" s="36" t="inlineStr">
        <x:is>
          <x:t xml:space="preserve">00:30</x:t>
        </x:is>
      </x:c>
      <x:c r="E96" s="77" t="n">
        <x:v>46373</x:v>
      </x:c>
      <x:c r="F96" s="77" t="n">
        <x:v>46376</x:v>
      </x:c>
      <x:c r="G96" s="77" t="n">
        <x:v>46352</x:v>
      </x:c>
      <x:c r="H96" s="77" t="n">
        <x:v>46365</x:v>
      </x:c>
      <x:c r="I96" s="77" t="n">
        <x:v>46411</x:v>
      </x:c>
      <x:c r="J96" s="78" t="n">
        <x:f>MIN(E96:I96)-A96</x:f>
        <x:v>2</x:v>
      </x:c>
      <x:c r="K96" s="78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inlineStr">
        <x:is>
          <x:t xml:space="preserve">Supplementary panel</x:t>
        </x:is>
      </x:c>
    </x:row>
    <x:row r="97">
      <x:c r="A97" s="79" t="n">
        <x:v>46351</x:v>
      </x:c>
      <x:c r="B97" s="37" t="inlineStr">
        <x:is>
          <x:t xml:space="preserve">Thứ Tư</x:t>
        </x:is>
      </x:c>
      <x:c r="C97" s="37" t="inlineStr">
        <x:is>
          <x:t xml:space="preserve">Official</x:t>
        </x:is>
      </x:c>
      <x:c r="D97" s="37" t="inlineStr">
        <x:is>
          <x:t xml:space="preserve">00:30</x:t>
        </x:is>
      </x:c>
      <x:c r="E97" s="77" t="n">
        <x:v>46373</x:v>
      </x:c>
      <x:c r="F97" s="77" t="n">
        <x:v>46376</x:v>
      </x:c>
      <x:c r="G97" s="77" t="n">
        <x:v>46352</x:v>
      </x:c>
      <x:c r="H97" s="77" t="n">
        <x:v>46365</x:v>
      </x:c>
      <x:c r="I97" s="77" t="n">
        <x:v>46411</x:v>
      </x:c>
      <x:c r="J97" s="80" t="n">
        <x:f>MIN(E97:I97)-A97</x:f>
        <x:v>1</x:v>
      </x:c>
      <x:c r="K97" s="80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inlineStr">
        <x:is>
          <x:t xml:space="preserve">Supplementary panel</x:t>
        </x:is>
      </x:c>
    </x:row>
    <x:row r="98">
      <x:c r="A98" s="76" t="n">
        <x:v>46352</x:v>
      </x:c>
      <x:c r="B98" s="36" t="inlineStr">
        <x:is>
          <x:t xml:space="preserve">Thứ Năm</x:t>
        </x:is>
      </x:c>
      <x:c r="C98" s="36" t="inlineStr">
        <x:is>
          <x:t xml:space="preserve">Official</x:t>
        </x:is>
      </x:c>
      <x:c r="D98" s="36" t="inlineStr">
        <x:is>
          <x:t xml:space="preserve">00:30</x:t>
        </x:is>
      </x:c>
      <x:c r="E98" s="77" t="n">
        <x:v>46373</x:v>
      </x:c>
      <x:c r="F98" s="77" t="n">
        <x:v>46376</x:v>
      </x:c>
      <x:c r="G98" s="77" t="n">
        <x:v>46352</x:v>
      </x:c>
      <x:c r="H98" s="77" t="n">
        <x:v>46365</x:v>
      </x:c>
      <x:c r="I98" s="77" t="n">
        <x:v>46411</x:v>
      </x:c>
      <x:c r="J98" s="78" t="n">
        <x:f>MIN(E98:I98)-A98</x:f>
        <x:v>0</x:v>
      </x:c>
      <x:c r="K98" s="78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inlineStr">
        <x:is>
          <x:t xml:space="preserve">Supplementary panel</x:t>
        </x:is>
      </x:c>
    </x:row>
    <x:row r="99">
      <x:c r="A99" s="79" t="n">
        <x:v>46353</x:v>
      </x:c>
      <x:c r="B99" s="37" t="inlineStr">
        <x:is>
          <x:t xml:space="preserve">Thứ Sáu</x:t>
        </x:is>
      </x:c>
      <x:c r="C99" s="37" t="inlineStr">
        <x:is>
          <x:t xml:space="preserve">Official</x:t>
        </x:is>
      </x:c>
      <x:c r="D99" s="37" t="inlineStr">
        <x:is>
          <x:t xml:space="preserve">00:30</x:t>
        </x:is>
      </x:c>
      <x:c r="E99" s="77" t="n">
        <x:v>46373</x:v>
      </x:c>
      <x:c r="F99" s="77" t="n">
        <x:v>46376</x:v>
      </x:c>
      <x:c r="G99" s="77" t="n">
        <x:v>46380</x:v>
      </x:c>
      <x:c r="H99" s="77" t="n">
        <x:v>46365</x:v>
      </x:c>
      <x:c r="I99" s="77" t="n">
        <x:v>46411</x:v>
      </x:c>
      <x:c r="J99" s="80" t="n">
        <x:f>MIN(E99:I99)-A99</x:f>
        <x:v>12</x:v>
      </x:c>
      <x:c r="K99" s="80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inlineStr">
        <x:is>
          <x:t xml:space="preserve">Supplementary panel</x:t>
        </x:is>
      </x:c>
    </x:row>
    <x:row r="100">
      <x:c r="A100" s="76" t="n">
        <x:v>46354</x:v>
      </x:c>
      <x:c r="B100" s="36" t="inlineStr">
        <x:is>
          <x:t xml:space="preserve">Thứ Bảy</x:t>
        </x:is>
      </x:c>
      <x:c r="C100" s="36" t="inlineStr">
        <x:is>
          <x:t xml:space="preserve">Official</x:t>
        </x:is>
      </x:c>
      <x:c r="D100" s="36" t="inlineStr">
        <x:is>
          <x:t xml:space="preserve">00:30</x:t>
        </x:is>
      </x:c>
      <x:c r="E100" s="77" t="n">
        <x:v>46373</x:v>
      </x:c>
      <x:c r="F100" s="77" t="n">
        <x:v>46376</x:v>
      </x:c>
      <x:c r="G100" s="77" t="n">
        <x:v>46380</x:v>
      </x:c>
      <x:c r="H100" s="77" t="n">
        <x:v>46365</x:v>
      </x:c>
      <x:c r="I100" s="77" t="n">
        <x:v>46411</x:v>
      </x:c>
      <x:c r="J100" s="78" t="n">
        <x:f>MIN(E100:I100)-A100</x:f>
        <x:v>11</x:v>
      </x:c>
      <x:c r="K100" s="78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inlineStr">
        <x:is>
          <x:t xml:space="preserve">Supplementary panel</x:t>
        </x:is>
      </x:c>
    </x:row>
    <x:row r="101">
      <x:c r="A101" s="79" t="n">
        <x:v>46355</x:v>
      </x:c>
      <x:c r="B101" s="37" t="inlineStr">
        <x:is>
          <x:t xml:space="preserve">Chủ Nhật</x:t>
        </x:is>
      </x:c>
      <x:c r="C101" s="37" t="inlineStr">
        <x:is>
          <x:t xml:space="preserve">Official</x:t>
        </x:is>
      </x:c>
      <x:c r="D101" s="37" t="inlineStr">
        <x:is>
          <x:t xml:space="preserve">00:30</x:t>
        </x:is>
      </x:c>
      <x:c r="E101" s="77" t="n">
        <x:v>46373</x:v>
      </x:c>
      <x:c r="F101" s="77" t="n">
        <x:v>46376</x:v>
      </x:c>
      <x:c r="G101" s="77" t="n">
        <x:v>46380</x:v>
      </x:c>
      <x:c r="H101" s="77" t="n">
        <x:v>46365</x:v>
      </x:c>
      <x:c r="I101" s="77" t="n">
        <x:v>46411</x:v>
      </x:c>
      <x:c r="J101" s="80" t="n">
        <x:f>MIN(E101:I101)-A101</x:f>
        <x:v>10</x:v>
      </x:c>
      <x:c r="K101" s="80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inlineStr">
        <x:is>
          <x:t xml:space="preserve">Supplementary panel</x:t>
        </x:is>
      </x:c>
    </x:row>
    <x:row r="102">
      <x:c r="A102" s="76" t="n">
        <x:v>46356</x:v>
      </x:c>
      <x:c r="B102" s="36" t="inlineStr">
        <x:is>
          <x:t xml:space="preserve">Thứ Hai</x:t>
        </x:is>
      </x:c>
      <x:c r="C102" s="36" t="inlineStr">
        <x:is>
          <x:t xml:space="preserve">Official</x:t>
        </x:is>
      </x:c>
      <x:c r="D102" s="36" t="inlineStr">
        <x:is>
          <x:t xml:space="preserve">00:30</x:t>
        </x:is>
      </x:c>
      <x:c r="E102" s="77" t="n">
        <x:v>46373</x:v>
      </x:c>
      <x:c r="F102" s="77" t="n">
        <x:v>46376</x:v>
      </x:c>
      <x:c r="G102" s="77" t="n">
        <x:v>46380</x:v>
      </x:c>
      <x:c r="H102" s="77" t="n">
        <x:v>46365</x:v>
      </x:c>
      <x:c r="I102" s="77" t="n">
        <x:v>46411</x:v>
      </x:c>
      <x:c r="J102" s="78" t="n">
        <x:f>MIN(E102:I102)-A102</x:f>
        <x:v>9</x:v>
      </x:c>
      <x:c r="K102" s="78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inlineStr">
        <x:is>
          <x:t xml:space="preserve">Supplementary panel</x:t>
        </x:is>
      </x:c>
    </x:row>
  </x:sheetData>
  <x:mergeCells>
    <x:mergeCell ref="A1:O1"/>
    <x:mergeCell ref="A2:O2"/>
  </x:mergeCells>
  <x:conditionalFormatting sqref="L4:N102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c447ae44a6c34a0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20" customWidth="1"/>
    <x:col min="3" max="3" width="12" customWidth="1"/>
    <x:col min="4" max="4" width="19" customWidth="1"/>
    <x:col min="5" max="5" width="19" customWidth="1"/>
    <x:col min="6" max="6" width="16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38" customWidth="1"/>
  </x:cols>
  <x:sheetData>
    <x:row r="1" ht="28" customHeight="1">
      <x:c r="A1" s="4" t="inlineStr">
        <x:is>
          <x:t xml:space="preserve">VPS CRAWL LOG — MỖI NGÀY MỘT DÒNG</x:t>
        </x:is>
      </x:c>
    </x:row>
    <x:row r="2">
      <x:c r="A2" s="35" t="inlineStr">
        <x:is>
          <x:t xml:space="preserve">Ghi một dòng cho mỗi crawl date. Từ 03/09/2026, VPS dùng 354 khách sạn × 5 check-in = 1.770 item dự kiến; các run cũ giữ số item thực tế; không lưu HTML nếu không cần kiểm tra.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Status</x:t>
        </x:is>
      </x:c>
      <x:c r="C3" s="10" t="inlineStr">
        <x:is>
          <x:t xml:space="preserve">Run IDs</x:t>
        </x:is>
      </x:c>
      <x:c r="D3" s="10" t="inlineStr">
        <x:is>
          <x:t xml:space="preserve">Started at</x:t>
        </x:is>
      </x:c>
      <x:c r="E3" s="10" t="inlineStr">
        <x:is>
          <x:t xml:space="preserve">Finished at</x:t>
        </x:is>
      </x:c>
      <x:c r="F3" s="10" t="inlineStr">
        <x:is>
          <x:t xml:space="preserve">Duration (hours)</x:t>
        </x:is>
      </x:c>
      <x:c r="G3" s="10" t="inlineStr">
        <x:is>
          <x:t xml:space="preserve">Total items</x:t>
        </x:is>
      </x:c>
      <x:c r="H3" s="10" t="inlineStr">
        <x:is>
          <x:t xml:space="preserve">Processed</x:t>
        </x:is>
      </x:c>
      <x:c r="I3" s="10" t="inlineStr">
        <x:is>
          <x:t xml:space="preserve">Success</x:t>
        </x:is>
      </x:c>
      <x:c r="J3" s="10" t="inlineStr">
        <x:is>
          <x:t xml:space="preserve">Partial</x:t>
        </x:is>
      </x:c>
      <x:c r="K3" s="10" t="inlineStr">
        <x:is>
          <x:t xml:space="preserve">Sold out</x:t>
        </x:is>
      </x:c>
      <x:c r="L3" s="10" t="inlineStr">
        <x:is>
          <x:t xml:space="preserve">Not bookable</x:t>
        </x:is>
      </x:c>
      <x:c r="M3" s="10" t="inlineStr">
        <x:is>
          <x:t xml:space="preserve">Error</x:t>
        </x:is>
      </x:c>
      <x:c r="N3" s="10" t="inlineStr">
        <x:is>
          <x:t xml:space="preserve">Valid records</x:t>
        </x:is>
      </x:c>
      <x:c r="O3" s="10" t="inlineStr">
        <x:is>
          <x:t xml:space="preserve">Check-in count</x:t>
        </x:is>
      </x:c>
      <x:c r="P3" s="10" t="inlineStr">
        <x:is>
          <x:t xml:space="preserve">Environment</x:t>
        </x:is>
      </x:c>
      <x:c r="Q3" s="10" t="inlineStr">
        <x:is>
          <x:t xml:space="preserve">Notes</x:t>
        </x:is>
      </x:c>
    </x:row>
    <x:row r="4">
      <x:c r="A4" s="76" t="n">
        <x:v>46258</x:v>
      </x:c>
      <x:c r="B4" s="36" t="inlineStr">
        <x:is>
          <x:t xml:space="preserve">Hoàn thành</x:t>
        </x:is>
      </x:c>
      <x:c r="C4" s="36" t="inlineStr">
        <x:is>
          <x:t xml:space="preserve">1</x:t>
        </x:is>
      </x:c>
      <x:c r="D4" s="81" t="n">
        <x:v>46258.02627314815</x:v>
      </x:c>
      <x:c r="E4" s="81" t="n">
        <x:v>46258.71729166667</x:v>
      </x:c>
      <x:c r="F4" s="82" t="n">
        <x:f>IF(OR(D4="",E4=""),"",24*(E4-D4))</x:f>
        <x:v>16.584444444451947</x:v>
      </x:c>
      <x:c r="G4" s="83" t="n">
        <x:v>1775</x:v>
      </x:c>
      <x:c r="H4" s="83" t="n">
        <x:v>1775</x:v>
      </x:c>
      <x:c r="I4" s="83" t="n">
        <x:v>1525</x:v>
      </x:c>
      <x:c r="J4" s="83" t="n">
        <x:v>0</x:v>
      </x:c>
      <x:c r="K4" s="83" t="n">
        <x:v>245</x:v>
      </x:c>
      <x:c r="L4" s="83" t="n">
        <x:v>5</x:v>
      </x:c>
      <x:c r="M4" s="83" t="n">
        <x:v>0</x:v>
      </x:c>
      <x:c r="N4" s="83" t="n">
        <x:v>13709</x:v>
      </x:c>
      <x:c r="O4" s="83" t="n">
        <x:v>5</x:v>
      </x:c>
      <x:c r="P4" s="36" t="inlineStr">
        <x:is>
          <x:t xml:space="preserve">vps</x:t>
        </x:is>
      </x:c>
      <x:c r="Q4" s="36" t="inlineStr">
        <x:is>
          <x:t xml:space="preserve">Manual run #1 trên deploy; đúng 5 ngày VPS; artifact không lưu; scraper 2.3.0</x:t>
        </x:is>
      </x:c>
    </x:row>
    <x:row r="5">
      <x:c r="A5" s="79" t="n">
        <x:v>46259</x:v>
      </x:c>
      <x:c r="B5" s="37" t="inlineStr">
        <x:is>
          <x:t xml:space="preserve">Hoàn thành</x:t>
        </x:is>
      </x:c>
      <x:c r="C5" s="37" t="inlineStr">
        <x:is>
          <x:t xml:space="preserve">2</x:t>
        </x:is>
      </x:c>
      <x:c r="D5" s="84" t="n">
        <x:v>46259.03542824074</x:v>
      </x:c>
      <x:c r="E5" s="84" t="n">
        <x:v>46259.75431712963</x:v>
      </x:c>
      <x:c r="F5" s="85" t="n">
        <x:f>IF(OR(D5="",E5=""),"",24*(E5-D5))</x:f>
        <x:v>17.253333333239425</x:v>
      </x:c>
      <x:c r="G5" s="86" t="n">
        <x:v>1775</x:v>
      </x:c>
      <x:c r="H5" s="86" t="n">
        <x:v>1775</x:v>
      </x:c>
      <x:c r="I5" s="86" t="n">
        <x:v>1515</x:v>
      </x:c>
      <x:c r="J5" s="86" t="n">
        <x:v>0</x:v>
      </x:c>
      <x:c r="K5" s="86" t="n">
        <x:v>255</x:v>
      </x:c>
      <x:c r="L5" s="86" t="n">
        <x:v>5</x:v>
      </x:c>
      <x:c r="M5" s="86" t="n">
        <x:v>0</x:v>
      </x:c>
      <x:c r="N5" s="86" t="n">
        <x:v>13327</x:v>
      </x:c>
      <x:c r="O5" s="86" t="n">
        <x:v>5</x:v>
      </x:c>
      <x:c r="P5" s="37" t="inlineStr">
        <x:is>
          <x:t xml:space="preserve">vps</x:t>
        </x:is>
      </x:c>
      <x:c r="Q5" s="37" t="inlineStr">
        <x:is>
          <x:t xml:space="preserve">Run ID 2; deploy https://hotel.projecthub.io.vn/; artifact off; scraper_version 2.3.0; terminal API status completed</x:t>
        </x:is>
      </x:c>
    </x:row>
    <x:row r="6">
      <x:c r="A6" s="76" t="n">
        <x:v>46260</x:v>
      </x:c>
      <x:c r="B6" s="36" t="inlineStr">
        <x:is>
          <x:t xml:space="preserve">Hoàn thành</x:t>
        </x:is>
      </x:c>
      <x:c r="C6" s="36" t="inlineStr">
        <x:is>
          <x:t xml:space="preserve">3</x:t>
        </x:is>
      </x:c>
      <x:c r="D6" s="81" t="n">
        <x:v>46260.0284375</x:v>
      </x:c>
      <x:c r="E6" s="81" t="n">
        <x:v>46260.77434027778</x:v>
      </x:c>
      <x:c r="F6" s="82" t="n">
        <x:v>17.90166666666667</x:v>
      </x:c>
      <x:c r="G6" s="83" t="n">
        <x:v>1775</x:v>
      </x:c>
      <x:c r="H6" s="83" t="n">
        <x:v>1775</x:v>
      </x:c>
      <x:c r="I6" s="83" t="n">
        <x:v>1506</x:v>
      </x:c>
      <x:c r="J6" s="83" t="n">
        <x:v>0</x:v>
      </x:c>
      <x:c r="K6" s="83" t="n">
        <x:v>264</x:v>
      </x:c>
      <x:c r="L6" s="83" t="n">
        <x:v>5</x:v>
      </x:c>
      <x:c r="M6" s="83" t="n">
        <x:v>0</x:v>
      </x:c>
      <x:c r="N6" s="83" t="n">
        <x:v>13245</x:v>
      </x:c>
      <x:c r="O6" s="83" t="n">
        <x:v>5</x:v>
      </x:c>
      <x:c r="P6" s="36" t="inlineStr">
        <x:is>
          <x:t xml:space="preserve">vps</x:t>
        </x:is>
      </x:c>
      <x:c r="Q6" s="36" t="inlineStr">
        <x:is>
          <x:t xml:space="preserve">Run ID 3; deploy https://hotel.projecthub.io.vn/; artifact off; scraper_version 2.3.0; terminal API status completed</x:t>
        </x:is>
      </x:c>
    </x:row>
    <x:row r="7">
      <x:c r="A7" s="79" t="n">
        <x:v>46261</x:v>
      </x:c>
      <x:c r="B7" s="37" t="inlineStr">
        <x:is>
          <x:t xml:space="preserve">Hoàn thành có lỗi</x:t>
        </x:is>
      </x:c>
      <x:c r="C7" s="37" t="inlineStr">
        <x:is>
          <x:t xml:space="preserve">4</x:t>
        </x:is>
      </x:c>
      <x:c r="D7" s="84" t="n">
        <x:v>46261.02307870371</x:v>
      </x:c>
      <x:c r="E7" s="84" t="n">
        <x:v>46261.93287037037</x:v>
      </x:c>
      <x:c r="F7" s="85" t="n">
        <x:v>21.83499999996275</x:v>
      </x:c>
      <x:c r="G7" s="86" t="n">
        <x:v>1775</x:v>
      </x:c>
      <x:c r="H7" s="86" t="n">
        <x:v>1775</x:v>
      </x:c>
      <x:c r="I7" s="86" t="n">
        <x:v>1544</x:v>
      </x:c>
      <x:c r="J7" s="86" t="n">
        <x:v>0</x:v>
      </x:c>
      <x:c r="K7" s="86" t="n">
        <x:v>186</x:v>
      </x:c>
      <x:c r="L7" s="86" t="n">
        <x:v>35</x:v>
      </x:c>
      <x:c r="M7" s="86" t="n">
        <x:v>10</x:v>
      </x:c>
      <x:c r="N7" s="86" t="n">
        <x:v>14080</x:v>
      </x:c>
      <x:c r="O7" s="86" t="n">
        <x:v>5</x:v>
      </x:c>
      <x:c r="P7" s="37" t="inlineStr">
        <x:is>
          <x:t xml:space="preserve">vps</x:t>
        </x:is>
      </x:c>
      <x:c r="Q7" s="37" t="inlineStr">
        <x:is>
          <x:t xml:space="preserve">Run ID 4; deploy https://hotel.projecthub.io.vn/; artifact off; scraper_version 2.3.0; terminal API status completed</x:t>
        </x:is>
      </x:c>
    </x:row>
    <x:row r="8">
      <x:c r="A8" s="76" t="n">
        <x:v>46262</x:v>
      </x:c>
      <x:c r="B8" s="36" t="inlineStr">
        <x:is>
          <x:t xml:space="preserve">Hoàn thành có lỗi</x:t>
        </x:is>
      </x:c>
      <x:c r="C8" s="36" t="inlineStr">
        <x:is>
          <x:t xml:space="preserve">5</x:t>
        </x:is>
      </x:c>
      <x:c r="D8" s="81" t="n">
        <x:v>46262.03721064814</x:v>
      </x:c>
      <x:c r="E8" s="81" t="n">
        <x:v>46262.85714120371</x:v>
      </x:c>
      <x:c r="F8" s="82" t="n">
        <x:v>19.67833333333333</x:v>
      </x:c>
      <x:c r="G8" s="83" t="n">
        <x:v>1775</x:v>
      </x:c>
      <x:c r="H8" s="83" t="n">
        <x:v>1775</x:v>
      </x:c>
      <x:c r="I8" s="83" t="n">
        <x:v>1495</x:v>
      </x:c>
      <x:c r="J8" s="83" t="n">
        <x:v>0</x:v>
      </x:c>
      <x:c r="K8" s="83" t="n">
        <x:v>235</x:v>
      </x:c>
      <x:c r="L8" s="83" t="n">
        <x:v>40</x:v>
      </x:c>
      <x:c r="M8" s="83" t="n">
        <x:v>5</x:v>
      </x:c>
      <x:c r="N8" s="83" t="n">
        <x:v>13016</x:v>
      </x:c>
      <x:c r="O8" s="83" t="n">
        <x:v>5</x:v>
      </x:c>
      <x:c r="P8" s="36" t="inlineStr">
        <x:is>
          <x:t xml:space="preserve">vps</x:t>
        </x:is>
      </x:c>
      <x:c r="Q8" s="36" t="inlineStr">
        <x:is>
          <x:t xml:space="preserve">Run ID 5; deploy https://hotel.projecthub.io.vn/; artifact off; scraper_version 2.3.0; terminal completed</x:t>
        </x:is>
      </x:c>
    </x:row>
    <x:row r="9">
      <x:c r="A9" s="79" t="n">
        <x:v>46263</x:v>
      </x:c>
      <x:c r="B9" s="37" t="inlineStr">
        <x:is>
          <x:t xml:space="preserve">Hoàn thành có lỗi</x:t>
        </x:is>
      </x:c>
      <x:c r="C9" s="37" t="inlineStr">
        <x:is>
          <x:t xml:space="preserve">6</x:t>
        </x:is>
      </x:c>
      <x:c r="D9" s="84" t="n">
        <x:v>46262.73239583334</x:v>
      </x:c>
      <x:c r="E9" s="84" t="n">
        <x:v>46263.90916666666</x:v>
      </x:c>
      <x:c r="F9" s="85" t="n">
        <x:v>28.2424999998766</x:v>
      </x:c>
      <x:c r="G9" s="86" t="n">
        <x:v>1775</x:v>
      </x:c>
      <x:c r="H9" s="86" t="n">
        <x:v>1775</x:v>
      </x:c>
      <x:c r="I9" s="86" t="n">
        <x:v>1569</x:v>
      </x:c>
      <x:c r="J9" s="86" t="n">
        <x:v>0</x:v>
      </x:c>
      <x:c r="K9" s="86" t="n">
        <x:v>166</x:v>
      </x:c>
      <x:c r="L9" s="86" t="n">
        <x:v>35</x:v>
      </x:c>
      <x:c r="M9" s="86" t="n">
        <x:v>5</x:v>
      </x:c>
      <x:c r="N9" s="86" t="n">
        <x:v>15195</x:v>
      </x:c>
      <x:c r="O9" s="86" t="n">
        <x:v>5</x:v>
      </x:c>
      <x:c r="P9" s="37" t="inlineStr">
        <x:is>
          <x:t xml:space="preserve">vps</x:t>
        </x:is>
      </x:c>
      <x:c r="Q9" s="37" t="inlineStr">
        <x:is>
          <x:t xml:space="preserve">Run ID 6; deploy https://hotel.projecthub.io.vn/; artifact off; scraper_version 2.3.0; terminal API status completed</x:t>
        </x:is>
      </x:c>
    </x:row>
    <x:row r="10">
      <x:c r="A10" s="76" t="n">
        <x:v>46264</x:v>
      </x:c>
      <x:c r="B10" s="36" t="inlineStr">
        <x:is>
          <x:t xml:space="preserve">Hoàn thành có lỗi</x:t>
        </x:is>
      </x:c>
      <x:c r="C10" s="36" t="inlineStr">
        <x:is>
          <x:t xml:space="preserve">7</x:t>
        </x:is>
      </x:c>
      <x:c r="D10" s="81" t="n">
        <x:v>46263.73232638889</x:v>
      </x:c>
      <x:c r="E10" s="81" t="n">
        <x:v>46264.50788194445</x:v>
      </x:c>
      <x:c r="F10" s="82" t="n">
        <x:v>18.61333333333333</x:v>
      </x:c>
      <x:c r="G10" s="83" t="n">
        <x:v>1775</x:v>
      </x:c>
      <x:c r="H10" s="83" t="n">
        <x:v>1775</x:v>
      </x:c>
      <x:c r="I10" s="83" t="n">
        <x:v>1475</x:v>
      </x:c>
      <x:c r="J10" s="83" t="n">
        <x:v>0</x:v>
      </x:c>
      <x:c r="K10" s="83" t="n">
        <x:v>265</x:v>
      </x:c>
      <x:c r="L10" s="83" t="n">
        <x:v>30</x:v>
      </x:c>
      <x:c r="M10" s="83" t="n">
        <x:v>5</x:v>
      </x:c>
      <x:c r="N10" s="83" t="n">
        <x:v>12987</x:v>
      </x:c>
      <x:c r="O10" s="83" t="n">
        <x:v>5</x:v>
      </x:c>
      <x:c r="P10" s="36" t="inlineStr">
        <x:is>
          <x:t xml:space="preserve">vps</x:t>
        </x:is>
      </x:c>
      <x:c r="Q10" s="36" t="inlineStr">
        <x:is>
          <x:t xml:space="preserve">Run ID 7; deploy https://hotel.projecthub.io.vn/; artifact off; scraper_version 2.3.0; terminal API status completed</x:t>
        </x:is>
      </x:c>
    </x:row>
    <x:row r="11">
      <x:c r="A11" s="79" t="n">
        <x:v>46265</x:v>
      </x:c>
      <x:c r="B11" s="37" t="inlineStr">
        <x:is>
          <x:t xml:space="preserve">Hoàn thành có lỗi</x:t>
        </x:is>
      </x:c>
      <x:c r="C11" s="37" t="inlineStr">
        <x:is>
          <x:t xml:space="preserve">8</x:t>
        </x:is>
      </x:c>
      <x:c r="D11" s="84" t="n">
        <x:v>46264.73168981481</x:v>
      </x:c>
      <x:c r="E11" s="84" t="n">
        <x:v>46265.57034722222</x:v>
      </x:c>
      <x:c r="F11" s="85" t="n">
        <x:v>20.12777777777778</x:v>
      </x:c>
      <x:c r="G11" s="86" t="n">
        <x:v>1775</x:v>
      </x:c>
      <x:c r="H11" s="86" t="n">
        <x:v>1775</x:v>
      </x:c>
      <x:c r="I11" s="86" t="n">
        <x:v>1569</x:v>
      </x:c>
      <x:c r="J11" s="86" t="n">
        <x:v>0</x:v>
      </x:c>
      <x:c r="K11" s="86" t="n">
        <x:v>171</x:v>
      </x:c>
      <x:c r="L11" s="86" t="n">
        <x:v>30</x:v>
      </x:c>
      <x:c r="M11" s="86" t="n">
        <x:v>5</x:v>
      </x:c>
      <x:c r="N11" s="86" t="n">
        <x:v>15130</x:v>
      </x:c>
      <x:c r="O11" s="86" t="n">
        <x:v>5</x:v>
      </x:c>
      <x:c r="P11" s="37" t="inlineStr">
        <x:is>
          <x:t xml:space="preserve">vps</x:t>
        </x:is>
      </x:c>
      <x:c r="Q11" s="37" t="inlineStr">
        <x:is>
          <x:t xml:space="preserve">Run ID 8; deploy https://hotel.projecthub.io.vn/; artifact off; scraper_version 2.3.0; terminal API completed; items pagination 1775; saved_options_count 15130.</x:t>
        </x:is>
      </x:c>
    </x:row>
    <x:row r="12">
      <x:c r="A12" s="76" t="n">
        <x:v>46266</x:v>
      </x:c>
      <x:c r="B12" s="36" t="inlineStr">
        <x:is>
          <x:t xml:space="preserve">Hoàn thành có lỗi</x:t>
        </x:is>
      </x:c>
      <x:c r="C12" s="36" t="inlineStr">
        <x:is>
          <x:t xml:space="preserve">9</x:t>
        </x:is>
      </x:c>
      <x:c r="D12" s="81" t="n">
        <x:v>46265.73229166667</x:v>
      </x:c>
      <x:c r="E12" s="81" t="n">
        <x:v>46266.5821412037</x:v>
      </x:c>
      <x:c r="F12" s="82" t="n">
        <x:v>20.39638888888889</x:v>
      </x:c>
      <x:c r="G12" s="83" t="n">
        <x:v>1775</x:v>
      </x:c>
      <x:c r="H12" s="83" t="n">
        <x:v>1775</x:v>
      </x:c>
      <x:c r="I12" s="83" t="n">
        <x:v>1578</x:v>
      </x:c>
      <x:c r="J12" s="83" t="n">
        <x:v>0</x:v>
      </x:c>
      <x:c r="K12" s="83" t="n">
        <x:v>162</x:v>
      </x:c>
      <x:c r="L12" s="83" t="n">
        <x:v>30</x:v>
      </x:c>
      <x:c r="M12" s="83" t="n">
        <x:v>5</x:v>
      </x:c>
      <x:c r="N12" s="83" t="n">
        <x:v>15196</x:v>
      </x:c>
      <x:c r="O12" s="83" t="n">
        <x:v>5</x:v>
      </x:c>
      <x:c r="P12" s="36" t="inlineStr">
        <x:is>
          <x:t xml:space="preserve">vps</x:t>
        </x:is>
      </x:c>
      <x:c r="Q12" s="36" t="inlineStr">
        <x:is>
          <x:t xml:space="preserve">Run ID 9; deploy https://hotel.projecthub.io.vn/; artifact off; scraper_version 2.3.0; terminal API status completed; items pagination 1775; saved_options_count 15196.</x:t>
        </x:is>
      </x:c>
    </x:row>
    <x:row r="13">
      <x:c r="A13" s="79" t="n">
        <x:v>46267</x:v>
      </x:c>
      <x:c r="B13" s="37" t="inlineStr">
        <x:is>
          <x:t xml:space="preserve">Hoàn thành có lỗi</x:t>
        </x:is>
      </x:c>
      <x:c r="C13" s="37" t="n">
        <x:v>10</x:v>
      </x:c>
      <x:c r="D13" s="84" t="n">
        <x:v>46267.02332175926</x:v>
      </x:c>
      <x:c r="E13" s="84" t="n">
        <x:v>46267.89032407408</x:v>
      </x:c>
      <x:c r="F13" s="85" t="n">
        <x:v>20.8080555556</x:v>
      </x:c>
      <x:c r="G13" s="86" t="n">
        <x:v>1775</x:v>
      </x:c>
      <x:c r="H13" s="86" t="n">
        <x:v>1775</x:v>
      </x:c>
      <x:c r="I13" s="86" t="n">
        <x:v>1580</x:v>
      </x:c>
      <x:c r="J13" s="86" t="n">
        <x:v>0</x:v>
      </x:c>
      <x:c r="K13" s="86" t="n">
        <x:v>160</x:v>
      </x:c>
      <x:c r="L13" s="86" t="n">
        <x:v>30</x:v>
      </x:c>
      <x:c r="M13" s="86" t="n">
        <x:v>5</x:v>
      </x:c>
      <x:c r="N13" s="86" t="n">
        <x:v>12932</x:v>
      </x:c>
      <x:c r="O13" s="86" t="n">
        <x:v>5</x:v>
      </x:c>
      <x:c r="P13" s="37" t="inlineStr">
        <x:is>
          <x:t xml:space="preserve">vps</x:t>
        </x:is>
      </x:c>
      <x:c r="Q13" s="37" t="inlineStr">
        <x:is>
          <x:t xml:space="preserve">Run ID 10; deploy https://hotel.projecthub.io.vn/; artifact off; scraper_version 2.3.0; terminal API status completed; items pagination 1775; saved_options_count 12932.</x:t>
        </x:is>
      </x:c>
    </x:row>
    <x:row r="14">
      <x:c r="A14" s="76" t="n">
        <x:v>46268</x:v>
      </x:c>
      <x:c r="B14" s="36" t="inlineStr">
        <x:is>
          <x:t xml:space="preserve">Hoàn thành có lỗi</x:t>
        </x:is>
      </x:c>
      <x:c r="C14" s="36" t="n">
        <x:v>13</x:v>
      </x:c>
      <x:c r="D14" s="81" t="n">
        <x:v>46268.02444444445</x:v>
      </x:c>
      <x:c r="E14" s="81" t="n">
        <x:v>46268.80280092593</x:v>
      </x:c>
      <x:c r="F14" s="82" t="n">
        <x:v>18.6805555556</x:v>
      </x:c>
      <x:c r="G14" s="83" t="n">
        <x:v>1770</x:v>
      </x:c>
      <x:c r="H14" s="83" t="n">
        <x:v>1770</x:v>
      </x:c>
      <x:c r="I14" s="83" t="n">
        <x:v>1575</x:v>
      </x:c>
      <x:c r="J14" s="83" t="n">
        <x:v>0</x:v>
      </x:c>
      <x:c r="K14" s="83" t="n">
        <x:v>165</x:v>
      </x:c>
      <x:c r="L14" s="83" t="n">
        <x:v>20</x:v>
      </x:c>
      <x:c r="M14" s="83" t="n">
        <x:v>10</x:v>
      </x:c>
      <x:c r="N14" s="83" t="n">
        <x:v>14827</x:v>
      </x:c>
      <x:c r="O14" s="83" t="n">
        <x:v>5</x:v>
      </x:c>
      <x:c r="P14" s="36" t="inlineStr">
        <x:is>
          <x:t xml:space="preserve">vps</x:t>
        </x:is>
      </x:c>
      <x:c r="Q14" s="36" t="inlineStr">
        <x:is>
          <x:t xml:space="preserve">Run ID 13; deploy https://hotel.projecthub.io.vn/; artifact off; scraper_version 2.3.0; terminal API status completed; items pagination 1770; saved_options_count 14827.</x:t>
        </x:is>
      </x:c>
    </x:row>
    <x:row r="15">
      <x:c r="A15" s="79" t="n">
        <x:v>46269</x:v>
      </x:c>
      <x:c r="B15" s="37" t="inlineStr">
        <x:is>
          <x:t xml:space="preserve">Hoàn thành có lỗi</x:t>
        </x:is>
      </x:c>
      <x:c r="C15" s="37" t="n">
        <x:v>14</x:v>
      </x:c>
      <x:c r="D15" s="84" t="n">
        <x:v>46269.02368055555</x:v>
      </x:c>
      <x:c r="E15" s="84" t="n">
        <x:v>46269.90994212963</x:v>
      </x:c>
      <x:c r="F15" s="85" t="n">
        <x:v>21.2702777778</x:v>
      </x:c>
      <x:c r="G15" s="86" t="n">
        <x:v>1770</x:v>
      </x:c>
      <x:c r="H15" s="86" t="n">
        <x:v>1770</x:v>
      </x:c>
      <x:c r="I15" s="86" t="n">
        <x:v>1578</x:v>
      </x:c>
      <x:c r="J15" s="86" t="n">
        <x:v>0</x:v>
      </x:c>
      <x:c r="K15" s="86" t="n">
        <x:v>167</x:v>
      </x:c>
      <x:c r="L15" s="86" t="n">
        <x:v>15</x:v>
      </x:c>
      <x:c r="M15" s="86" t="n">
        <x:v>10</x:v>
      </x:c>
      <x:c r="N15" s="86" t="n">
        <x:v>14967</x:v>
      </x:c>
      <x:c r="O15" s="86" t="n">
        <x:v>5</x:v>
      </x:c>
      <x:c r="P15" s="37" t="inlineStr">
        <x:is>
          <x:t xml:space="preserve">vps</x:t>
        </x:is>
      </x:c>
      <x:c r="Q15" s="37" t="inlineStr">
        <x:is>
          <x:t xml:space="preserve">Run ID 14; deploy https://hotel.projecthub.io.vn/; artifact off; scraper_version 2.3.0; terminal API status completed; items pagination 1770; saved_options_count 14967.</x:t>
        </x:is>
      </x:c>
    </x:row>
    <x:row r="16">
      <x:c r="A16" s="76" t="n">
        <x:v>46270</x:v>
      </x:c>
      <x:c r="B16" s="36" t="inlineStr">
        <x:is>
          <x:t xml:space="preserve">Hoàn thành có lỗi</x:t>
        </x:is>
      </x:c>
      <x:c r="C16" s="36" t="inlineStr">
        <x:is>
          <x:t xml:space="preserve">15</x:t>
        </x:is>
      </x:c>
      <x:c r="D16" s="87" t="n">
        <x:v>46270.0231712963</x:v>
      </x:c>
      <x:c r="E16" s="81" t="n">
        <x:v>46270.93908564815</x:v>
      </x:c>
      <x:c r="F16" s="82" t="n">
        <x:v>21.98194444435649</x:v>
      </x:c>
      <x:c r="G16" s="83" t="n">
        <x:v>1770</x:v>
      </x:c>
      <x:c r="H16" s="83" t="n">
        <x:v>1770</x:v>
      </x:c>
      <x:c r="I16" s="83" t="n">
        <x:v>1583</x:v>
      </x:c>
      <x:c r="J16" s="83" t="n">
        <x:v>0</x:v>
      </x:c>
      <x:c r="K16" s="83" t="n">
        <x:v>162</x:v>
      </x:c>
      <x:c r="L16" s="83" t="n">
        <x:v>15</x:v>
      </x:c>
      <x:c r="M16" s="83" t="n">
        <x:v>10</x:v>
      </x:c>
      <x:c r="N16" s="83" t="n">
        <x:v>14706</x:v>
      </x:c>
      <x:c r="O16" s="83" t="n">
        <x:v>5</x:v>
      </x:c>
      <x:c r="P16" s="36" t="inlineStr">
        <x:is>
          <x:t xml:space="preserve">vps</x:t>
        </x:is>
      </x:c>
      <x:c r="Q16" s="36" t="inlineStr">
        <x:is>
          <x:t xml:space="preserve">Run ID 15; deploy https://hotel.projecthub.io.vn/; artifact không lưu; scraper_version 2.3.0; terminal API status completed; items pagination 1770; saved_options_count 14706.</x:t>
        </x:is>
      </x:c>
    </x:row>
    <x:row r="17">
      <x:c r="A17" s="79" t="n">
        <x:v>46271</x:v>
      </x:c>
      <x:c r="B17" s="37" t="inlineStr">
        <x:is>
          <x:t xml:space="preserve">Hoàn thành có lỗi</x:t>
        </x:is>
      </x:c>
      <x:c r="C17" s="37" t="n">
        <x:v>16</x:v>
      </x:c>
      <x:c r="D17" s="84" t="n">
        <x:v>46271.02481481482</x:v>
      </x:c>
      <x:c r="E17" s="84" t="n">
        <x:v>46271.98013888889</x:v>
      </x:c>
      <x:c r="F17" s="85" t="n">
        <x:v>22.92777777777778</x:v>
      </x:c>
      <x:c r="G17" s="86" t="n">
        <x:v>1770</x:v>
      </x:c>
      <x:c r="H17" s="86" t="n">
        <x:v>1770</x:v>
      </x:c>
      <x:c r="I17" s="86" t="n">
        <x:v>1584</x:v>
      </x:c>
      <x:c r="J17" s="86" t="n">
        <x:v>0</x:v>
      </x:c>
      <x:c r="K17" s="86" t="n">
        <x:v>161</x:v>
      </x:c>
      <x:c r="L17" s="86" t="n">
        <x:v>15</x:v>
      </x:c>
      <x:c r="M17" s="86" t="n">
        <x:v>10</x:v>
      </x:c>
      <x:c r="N17" s="86" t="n">
        <x:v>14816</x:v>
      </x:c>
      <x:c r="O17" s="86" t="n">
        <x:v>5</x:v>
      </x:c>
      <x:c r="P17" s="37" t="inlineStr">
        <x:is>
          <x:t xml:space="preserve">vps</x:t>
        </x:is>
      </x:c>
      <x:c r="Q17" s="37" t="inlineStr">
        <x:is>
          <x:t xml:space="preserve">Run ID 16; deploy https://hotel.projecthub.io.vn/; artifact không lưu; scraper_version 2.3.0; terminal API status completed; items pagination 1770; saved_options_count 14816.</x:t>
        </x:is>
      </x:c>
    </x:row>
    <x:row r="18">
      <x:c r="A18" s="76" t="n">
        <x:v>46272</x:v>
      </x:c>
      <x:c r="B18" s="36" t="str">
        <x:v>Hoàn thành có lỗi</x:v>
      </x:c>
      <x:c r="C18" s="36" t="str">
        <x:v>17</x:v>
      </x:c>
      <x:c r="D18" s="88" t="n">
        <x:v>46272.02332175926</x:v>
      </x:c>
      <x:c r="E18" s="81" t="n">
        <x:v>46272.93084490741</x:v>
      </x:c>
      <x:c r="F18" s="82"/>
      <x:c r="G18" s="83" t="n">
        <x:v>1770</x:v>
      </x:c>
      <x:c r="H18" s="83" t="n">
        <x:v>1770</x:v>
      </x:c>
      <x:c r="I18" s="83" t="n">
        <x:v>1581</x:v>
      </x:c>
      <x:c r="J18" s="83" t="n">
        <x:v>0</x:v>
      </x:c>
      <x:c r="K18" s="83" t="n">
        <x:v>159</x:v>
      </x:c>
      <x:c r="L18" s="83" t="n">
        <x:v>20</x:v>
      </x:c>
      <x:c r="M18" s="83" t="n">
        <x:v>10</x:v>
      </x:c>
      <x:c r="N18" s="83" t="n">
        <x:v>14688</x:v>
      </x:c>
      <x:c r="O18" s="83" t="n">
        <x:v>5</x:v>
      </x:c>
      <x:c r="P18" s="36" t="str">
        <x:v>vps</x:v>
      </x:c>
      <x:c r="Q18" s="36" t="str">
        <x:v>Run ID 17; deploy https://hotel.projecthub.io.vn/; artifact không lưu; scraper_version 2.3.0; terminal API status completed; items pagination 1770; saved_options_count 14688.</x:v>
      </x:c>
    </x:row>
    <x:row r="19">
      <x:c r="A19" s="79" t="n">
        <x:v>46273</x:v>
      </x:c>
      <x:c r="B19" s="37" t="str">
        <x:v>Đang chạy</x:v>
      </x:c>
      <x:c r="C19" s="37" t="str">
        <x:v>18</x:v>
      </x:c>
      <x:c r="D19" s="84" t="n">
        <x:v>46273.02431712963</x:v>
      </x:c>
      <x:c r="E19" s="84" t="n"/>
      <x:c r="F19" s="85" t="str">
        <x:f>IF(OR(D19="",E19=""),"",24*(E19-D19))</x:f>
      </x:c>
      <x:c r="G19" s="86" t="n"/>
      <x:c r="H19" s="86" t="n"/>
      <x:c r="I19" s="86" t="n"/>
      <x:c r="J19" s="86" t="n"/>
      <x:c r="K19" s="86" t="n"/>
      <x:c r="L19" s="86" t="n"/>
      <x:c r="M19" s="86" t="n"/>
      <x:c r="N19" s="86" t="n"/>
      <x:c r="O19" s="86" t="n">
        <x:v>5</x:v>
      </x:c>
      <x:c r="P19" s="37" t="str">
        <x:v>vps</x:v>
      </x:c>
      <x:c r="Q19" s="37" t="str">
        <x:v>Scheduled VPS crawl đã tạo trên deploy; artifact không lưu</x:v>
      </x:c>
    </x:row>
    <x:row r="20">
      <x:c r="A20" s="76" t="n">
        <x:v>46274</x:v>
      </x:c>
      <x:c r="B20" s="36" t="str">
        <x:v>Hoàn thành có lỗi</x:v>
      </x:c>
      <x:c r="C20" s="36" t="str">
        <x:v>19</x:v>
      </x:c>
      <x:c r="D20" s="81" t="n">
        <x:v>46274.02339120371</x:v>
      </x:c>
      <x:c r="E20" s="81" t="n">
        <x:v>46274.92560185185</x:v>
      </x:c>
      <x:c r="F20" s="82" t="n">
        <x:v>21.653055555555557</x:v>
      </x:c>
      <x:c r="G20" s="83" t="n">
        <x:v>1770</x:v>
      </x:c>
      <x:c r="H20" s="83" t="n">
        <x:v>1770</x:v>
      </x:c>
      <x:c r="I20" s="83" t="n">
        <x:v>1574</x:v>
      </x:c>
      <x:c r="J20" s="83" t="n">
        <x:v>0</x:v>
      </x:c>
      <x:c r="K20" s="83" t="n">
        <x:v>166</x:v>
      </x:c>
      <x:c r="L20" s="83" t="n">
        <x:v>20</x:v>
      </x:c>
      <x:c r="M20" s="83" t="n">
        <x:v>10</x:v>
      </x:c>
      <x:c r="N20" s="83" t="n">
        <x:v>15038</x:v>
      </x:c>
      <x:c r="O20" s="83" t="n">
        <x:v>5</x:v>
      </x:c>
      <x:c r="P20" s="36" t="str">
        <x:v>vps</x:v>
      </x:c>
      <x:c r="Q20" s="36" t="str">
        <x:v>Run ID 19; deploy https://hotel.projecthub.io.vn/; artifact không lưu; scraper_version 2.3.0; terminal API status completed; items pagination 1770; saved_options_count 15038.</x:v>
      </x:c>
    </x:row>
    <x:row r="21">
      <x:c r="A21" s="79" t="n">
        <x:v>46275</x:v>
      </x:c>
      <x:c r="B21" s="37" t="inlineStr">
        <x:is>
          <x:t xml:space="preserve">Chưa chạy</x:t>
        </x:is>
      </x:c>
      <x:c r="C21" s="37" t="n"/>
      <x:c r="D21" s="84" t="n"/>
      <x:c r="E21" s="84" t="n"/>
      <x:c r="F21" s="85" t="str">
        <x:f>IF(OR(D21="",E21=""),"",24*(E21-D21))</x:f>
      </x:c>
      <x:c r="G21" s="86" t="n"/>
      <x:c r="H21" s="86" t="n"/>
      <x:c r="I21" s="86" t="n"/>
      <x:c r="J21" s="86" t="n"/>
      <x:c r="K21" s="86" t="n"/>
      <x:c r="L21" s="86" t="n"/>
      <x:c r="M21" s="86" t="n"/>
      <x:c r="N21" s="86" t="n"/>
      <x:c r="O21" s="86" t="n">
        <x:v>5</x:v>
      </x:c>
      <x:c r="P21" s="37" t="inlineStr">
        <x:is>
          <x:t xml:space="preserve">vps</x:t>
        </x:is>
      </x:c>
      <x:c r="Q21" s="37" t="n"/>
    </x:row>
    <x:row r="22">
      <x:c r="A22" s="76" t="n">
        <x:v>46276</x:v>
      </x:c>
      <x:c r="B22" s="36" t="inlineStr">
        <x:is>
          <x:t xml:space="preserve">Chưa chạy</x:t>
        </x:is>
      </x:c>
      <x:c r="C22" s="36" t="n"/>
      <x:c r="D22" s="81" t="n"/>
      <x:c r="E22" s="81" t="n"/>
      <x:c r="F22" s="82" t="str">
        <x:f>IF(OR(D22="",E22=""),"",24*(E22-D22))</x:f>
      </x:c>
      <x:c r="G22" s="83" t="n"/>
      <x:c r="H22" s="83" t="n"/>
      <x:c r="I22" s="83" t="n"/>
      <x:c r="J22" s="83" t="n"/>
      <x:c r="K22" s="83" t="n"/>
      <x:c r="L22" s="83" t="n"/>
      <x:c r="M22" s="83" t="n"/>
      <x:c r="N22" s="83" t="n"/>
      <x:c r="O22" s="83" t="n">
        <x:v>5</x:v>
      </x:c>
      <x:c r="P22" s="36" t="inlineStr">
        <x:is>
          <x:t xml:space="preserve">vps</x:t>
        </x:is>
      </x:c>
      <x:c r="Q22" s="36" t="n"/>
    </x:row>
    <x:row r="23">
      <x:c r="A23" s="79" t="n">
        <x:v>46277</x:v>
      </x:c>
      <x:c r="B23" s="37" t="inlineStr">
        <x:is>
          <x:t xml:space="preserve">Chưa chạy</x:t>
        </x:is>
      </x:c>
      <x:c r="C23" s="37" t="n"/>
      <x:c r="D23" s="84" t="n"/>
      <x:c r="E23" s="84" t="n"/>
      <x:c r="F23" s="85" t="str">
        <x:f>IF(OR(D23="",E23=""),"",24*(E23-D23))</x:f>
      </x:c>
      <x:c r="G23" s="86" t="n"/>
      <x:c r="H23" s="86" t="n"/>
      <x:c r="I23" s="86" t="n"/>
      <x:c r="J23" s="86" t="n"/>
      <x:c r="K23" s="86" t="n"/>
      <x:c r="L23" s="86" t="n"/>
      <x:c r="M23" s="86" t="n"/>
      <x:c r="N23" s="86" t="n"/>
      <x:c r="O23" s="86" t="n">
        <x:v>5</x:v>
      </x:c>
      <x:c r="P23" s="37" t="inlineStr">
        <x:is>
          <x:t xml:space="preserve">vps</x:t>
        </x:is>
      </x:c>
      <x:c r="Q23" s="37" t="n"/>
    </x:row>
    <x:row r="24">
      <x:c r="A24" s="76" t="n">
        <x:v>46278</x:v>
      </x:c>
      <x:c r="B24" s="36" t="inlineStr">
        <x:is>
          <x:t xml:space="preserve">Chưa chạy</x:t>
        </x:is>
      </x:c>
      <x:c r="C24" s="36" t="n"/>
      <x:c r="D24" s="81" t="n"/>
      <x:c r="E24" s="81" t="n"/>
      <x:c r="F24" s="82" t="str">
        <x:f>IF(OR(D24="",E24=""),"",24*(E24-D24))</x:f>
      </x:c>
      <x:c r="G24" s="83" t="n"/>
      <x:c r="H24" s="83" t="n"/>
      <x:c r="I24" s="83" t="n"/>
      <x:c r="J24" s="83" t="n"/>
      <x:c r="K24" s="83" t="n"/>
      <x:c r="L24" s="83" t="n"/>
      <x:c r="M24" s="83" t="n"/>
      <x:c r="N24" s="83" t="n"/>
      <x:c r="O24" s="83" t="n">
        <x:v>5</x:v>
      </x:c>
      <x:c r="P24" s="36" t="inlineStr">
        <x:is>
          <x:t xml:space="preserve">vps</x:t>
        </x:is>
      </x:c>
      <x:c r="Q24" s="36" t="n"/>
    </x:row>
    <x:row r="25">
      <x:c r="A25" s="79" t="n">
        <x:v>46279</x:v>
      </x:c>
      <x:c r="B25" s="37" t="inlineStr">
        <x:is>
          <x:t xml:space="preserve">Chưa chạy</x:t>
        </x:is>
      </x:c>
      <x:c r="C25" s="37" t="n"/>
      <x:c r="D25" s="84" t="n"/>
      <x:c r="E25" s="84" t="n"/>
      <x:c r="F25" s="85" t="str">
        <x:f>IF(OR(D25="",E25=""),"",24*(E25-D25))</x:f>
      </x:c>
      <x:c r="G25" s="86" t="n"/>
      <x:c r="H25" s="86" t="n"/>
      <x:c r="I25" s="86" t="n"/>
      <x:c r="J25" s="86" t="n"/>
      <x:c r="K25" s="86" t="n"/>
      <x:c r="L25" s="86" t="n"/>
      <x:c r="M25" s="86" t="n"/>
      <x:c r="N25" s="86" t="n"/>
      <x:c r="O25" s="86" t="n">
        <x:v>5</x:v>
      </x:c>
      <x:c r="P25" s="37" t="inlineStr">
        <x:is>
          <x:t xml:space="preserve">vps</x:t>
        </x:is>
      </x:c>
      <x:c r="Q25" s="37" t="n"/>
    </x:row>
    <x:row r="26">
      <x:c r="A26" s="76" t="n">
        <x:v>46280</x:v>
      </x:c>
      <x:c r="B26" s="36" t="inlineStr">
        <x:is>
          <x:t xml:space="preserve">Chưa chạy</x:t>
        </x:is>
      </x:c>
      <x:c r="C26" s="36" t="n"/>
      <x:c r="D26" s="81" t="n"/>
      <x:c r="E26" s="81" t="n"/>
      <x:c r="F26" s="82" t="str">
        <x:f>IF(OR(D26="",E26=""),"",24*(E26-D26))</x:f>
      </x:c>
      <x:c r="G26" s="83" t="n"/>
      <x:c r="H26" s="83" t="n"/>
      <x:c r="I26" s="83" t="n"/>
      <x:c r="J26" s="83" t="n"/>
      <x:c r="K26" s="83" t="n"/>
      <x:c r="L26" s="83" t="n"/>
      <x:c r="M26" s="83" t="n"/>
      <x:c r="N26" s="83" t="n"/>
      <x:c r="O26" s="83" t="n">
        <x:v>5</x:v>
      </x:c>
      <x:c r="P26" s="36" t="inlineStr">
        <x:is>
          <x:t xml:space="preserve">vps</x:t>
        </x:is>
      </x:c>
      <x:c r="Q26" s="36" t="n"/>
    </x:row>
    <x:row r="27">
      <x:c r="A27" s="79" t="n">
        <x:v>46281</x:v>
      </x:c>
      <x:c r="B27" s="37" t="inlineStr">
        <x:is>
          <x:t xml:space="preserve">Chưa chạy</x:t>
        </x:is>
      </x:c>
      <x:c r="C27" s="37" t="n"/>
      <x:c r="D27" s="84" t="n"/>
      <x:c r="E27" s="84" t="n"/>
      <x:c r="F27" s="85" t="str">
        <x:f>IF(OR(D27="",E27=""),"",24*(E27-D27))</x:f>
      </x:c>
      <x:c r="G27" s="86" t="n"/>
      <x:c r="H27" s="86" t="n"/>
      <x:c r="I27" s="86" t="n"/>
      <x:c r="J27" s="86" t="n"/>
      <x:c r="K27" s="86" t="n"/>
      <x:c r="L27" s="86" t="n"/>
      <x:c r="M27" s="86" t="n"/>
      <x:c r="N27" s="86" t="n"/>
      <x:c r="O27" s="86" t="n">
        <x:v>5</x:v>
      </x:c>
      <x:c r="P27" s="37" t="inlineStr">
        <x:is>
          <x:t xml:space="preserve">vps</x:t>
        </x:is>
      </x:c>
      <x:c r="Q27" s="37" t="n"/>
    </x:row>
    <x:row r="28">
      <x:c r="A28" s="76" t="n">
        <x:v>46282</x:v>
      </x:c>
      <x:c r="B28" s="36" t="inlineStr">
        <x:is>
          <x:t xml:space="preserve">Chưa chạy</x:t>
        </x:is>
      </x:c>
      <x:c r="C28" s="36" t="n"/>
      <x:c r="D28" s="81" t="n"/>
      <x:c r="E28" s="81" t="n"/>
      <x:c r="F28" s="82" t="str">
        <x:f>IF(OR(D28="",E28=""),"",24*(E28-D28))</x:f>
      </x:c>
      <x:c r="G28" s="83" t="n"/>
      <x:c r="H28" s="83" t="n"/>
      <x:c r="I28" s="83" t="n"/>
      <x:c r="J28" s="83" t="n"/>
      <x:c r="K28" s="83" t="n"/>
      <x:c r="L28" s="83" t="n"/>
      <x:c r="M28" s="83" t="n"/>
      <x:c r="N28" s="83" t="n"/>
      <x:c r="O28" s="83" t="n">
        <x:v>5</x:v>
      </x:c>
      <x:c r="P28" s="36" t="inlineStr">
        <x:is>
          <x:t xml:space="preserve">vps</x:t>
        </x:is>
      </x:c>
      <x:c r="Q28" s="36" t="n"/>
    </x:row>
    <x:row r="29">
      <x:c r="A29" s="79" t="n">
        <x:v>46283</x:v>
      </x:c>
      <x:c r="B29" s="37" t="inlineStr">
        <x:is>
          <x:t xml:space="preserve">Chưa chạy</x:t>
        </x:is>
      </x:c>
      <x:c r="C29" s="37" t="n"/>
      <x:c r="D29" s="84" t="n"/>
      <x:c r="E29" s="84" t="n"/>
      <x:c r="F29" s="85" t="str">
        <x:f>IF(OR(D29="",E29=""),"",24*(E29-D29))</x:f>
      </x:c>
      <x:c r="G29" s="86" t="n"/>
      <x:c r="H29" s="86" t="n"/>
      <x:c r="I29" s="86" t="n"/>
      <x:c r="J29" s="86" t="n"/>
      <x:c r="K29" s="86" t="n"/>
      <x:c r="L29" s="86" t="n"/>
      <x:c r="M29" s="86" t="n"/>
      <x:c r="N29" s="86" t="n"/>
      <x:c r="O29" s="86" t="n">
        <x:v>5</x:v>
      </x:c>
      <x:c r="P29" s="37" t="inlineStr">
        <x:is>
          <x:t xml:space="preserve">vps</x:t>
        </x:is>
      </x:c>
      <x:c r="Q29" s="37" t="n"/>
    </x:row>
    <x:row r="30">
      <x:c r="A30" s="76" t="n">
        <x:v>46284</x:v>
      </x:c>
      <x:c r="B30" s="36" t="inlineStr">
        <x:is>
          <x:t xml:space="preserve">Chưa chạy</x:t>
        </x:is>
      </x:c>
      <x:c r="C30" s="36" t="n"/>
      <x:c r="D30" s="81" t="n"/>
      <x:c r="E30" s="81" t="n"/>
      <x:c r="F30" s="82" t="str">
        <x:f>IF(OR(D30="",E30=""),"",24*(E30-D30))</x:f>
      </x:c>
      <x:c r="G30" s="83" t="n"/>
      <x:c r="H30" s="83" t="n"/>
      <x:c r="I30" s="83" t="n"/>
      <x:c r="J30" s="83" t="n"/>
      <x:c r="K30" s="83" t="n"/>
      <x:c r="L30" s="83" t="n"/>
      <x:c r="M30" s="83" t="n"/>
      <x:c r="N30" s="83" t="n"/>
      <x:c r="O30" s="83" t="n">
        <x:v>5</x:v>
      </x:c>
      <x:c r="P30" s="36" t="inlineStr">
        <x:is>
          <x:t xml:space="preserve">vps</x:t>
        </x:is>
      </x:c>
      <x:c r="Q30" s="36" t="n"/>
    </x:row>
    <x:row r="31">
      <x:c r="A31" s="79" t="n">
        <x:v>46285</x:v>
      </x:c>
      <x:c r="B31" s="37" t="inlineStr">
        <x:is>
          <x:t xml:space="preserve">Chưa chạy</x:t>
        </x:is>
      </x:c>
      <x:c r="C31" s="37" t="n"/>
      <x:c r="D31" s="84" t="n"/>
      <x:c r="E31" s="84" t="n"/>
      <x:c r="F31" s="85" t="str">
        <x:f>IF(OR(D31="",E31=""),"",24*(E31-D31))</x:f>
      </x:c>
      <x:c r="G31" s="86" t="n"/>
      <x:c r="H31" s="86" t="n"/>
      <x:c r="I31" s="86" t="n"/>
      <x:c r="J31" s="86" t="n"/>
      <x:c r="K31" s="86" t="n"/>
      <x:c r="L31" s="86" t="n"/>
      <x:c r="M31" s="86" t="n"/>
      <x:c r="N31" s="86" t="n"/>
      <x:c r="O31" s="86" t="n">
        <x:v>5</x:v>
      </x:c>
      <x:c r="P31" s="37" t="inlineStr">
        <x:is>
          <x:t xml:space="preserve">vps</x:t>
        </x:is>
      </x:c>
      <x:c r="Q31" s="37" t="n"/>
    </x:row>
    <x:row r="32">
      <x:c r="A32" s="76" t="n">
        <x:v>46286</x:v>
      </x:c>
      <x:c r="B32" s="36" t="inlineStr">
        <x:is>
          <x:t xml:space="preserve">Chưa chạy</x:t>
        </x:is>
      </x:c>
      <x:c r="C32" s="36" t="n"/>
      <x:c r="D32" s="81" t="n"/>
      <x:c r="E32" s="81" t="n"/>
      <x:c r="F32" s="82" t="str">
        <x:f>IF(OR(D32="",E32=""),"",24*(E32-D32))</x:f>
      </x:c>
      <x:c r="G32" s="83" t="n"/>
      <x:c r="H32" s="83" t="n"/>
      <x:c r="I32" s="83" t="n"/>
      <x:c r="J32" s="83" t="n"/>
      <x:c r="K32" s="83" t="n"/>
      <x:c r="L32" s="83" t="n"/>
      <x:c r="M32" s="83" t="n"/>
      <x:c r="N32" s="83" t="n"/>
      <x:c r="O32" s="83" t="n">
        <x:v>5</x:v>
      </x:c>
      <x:c r="P32" s="36" t="inlineStr">
        <x:is>
          <x:t xml:space="preserve">vps</x:t>
        </x:is>
      </x:c>
      <x:c r="Q32" s="36" t="n"/>
    </x:row>
    <x:row r="33">
      <x:c r="A33" s="79" t="n">
        <x:v>46287</x:v>
      </x:c>
      <x:c r="B33" s="37" t="inlineStr">
        <x:is>
          <x:t xml:space="preserve">Chưa chạy</x:t>
        </x:is>
      </x:c>
      <x:c r="C33" s="37" t="n"/>
      <x:c r="D33" s="84" t="n"/>
      <x:c r="E33" s="84" t="n"/>
      <x:c r="F33" s="85" t="str">
        <x:f>IF(OR(D33="",E33=""),"",24*(E33-D33))</x:f>
      </x:c>
      <x:c r="G33" s="86" t="n"/>
      <x:c r="H33" s="86" t="n"/>
      <x:c r="I33" s="86" t="n"/>
      <x:c r="J33" s="86" t="n"/>
      <x:c r="K33" s="86" t="n"/>
      <x:c r="L33" s="86" t="n"/>
      <x:c r="M33" s="86" t="n"/>
      <x:c r="N33" s="86" t="n"/>
      <x:c r="O33" s="86" t="n">
        <x:v>5</x:v>
      </x:c>
      <x:c r="P33" s="37" t="inlineStr">
        <x:is>
          <x:t xml:space="preserve">vps</x:t>
        </x:is>
      </x:c>
      <x:c r="Q33" s="37" t="n"/>
    </x:row>
    <x:row r="34">
      <x:c r="A34" s="76" t="n">
        <x:v>46288</x:v>
      </x:c>
      <x:c r="B34" s="36" t="inlineStr">
        <x:is>
          <x:t xml:space="preserve">Chưa chạy</x:t>
        </x:is>
      </x:c>
      <x:c r="C34" s="36" t="n"/>
      <x:c r="D34" s="81" t="n"/>
      <x:c r="E34" s="81" t="n"/>
      <x:c r="F34" s="82" t="str">
        <x:f>IF(OR(D34="",E34=""),"",24*(E34-D34))</x:f>
      </x:c>
      <x:c r="G34" s="83" t="n"/>
      <x:c r="H34" s="83" t="n"/>
      <x:c r="I34" s="83" t="n"/>
      <x:c r="J34" s="83" t="n"/>
      <x:c r="K34" s="83" t="n"/>
      <x:c r="L34" s="83" t="n"/>
      <x:c r="M34" s="83" t="n"/>
      <x:c r="N34" s="83" t="n"/>
      <x:c r="O34" s="83" t="n">
        <x:v>5</x:v>
      </x:c>
      <x:c r="P34" s="36" t="inlineStr">
        <x:is>
          <x:t xml:space="preserve">vps</x:t>
        </x:is>
      </x:c>
      <x:c r="Q34" s="36" t="n"/>
    </x:row>
    <x:row r="35">
      <x:c r="A35" s="79" t="n">
        <x:v>46289</x:v>
      </x:c>
      <x:c r="B35" s="37" t="inlineStr">
        <x:is>
          <x:t xml:space="preserve">Chưa chạy</x:t>
        </x:is>
      </x:c>
      <x:c r="C35" s="37" t="n"/>
      <x:c r="D35" s="84" t="n"/>
      <x:c r="E35" s="84" t="n"/>
      <x:c r="F35" s="85" t="str">
        <x:f>IF(OR(D35="",E35=""),"",24*(E35-D35))</x:f>
      </x:c>
      <x:c r="G35" s="86" t="n"/>
      <x:c r="H35" s="86" t="n"/>
      <x:c r="I35" s="86" t="n"/>
      <x:c r="J35" s="86" t="n"/>
      <x:c r="K35" s="86" t="n"/>
      <x:c r="L35" s="86" t="n"/>
      <x:c r="M35" s="86" t="n"/>
      <x:c r="N35" s="86" t="n"/>
      <x:c r="O35" s="86" t="n">
        <x:v>5</x:v>
      </x:c>
      <x:c r="P35" s="37" t="inlineStr">
        <x:is>
          <x:t xml:space="preserve">vps</x:t>
        </x:is>
      </x:c>
      <x:c r="Q35" s="37" t="n"/>
    </x:row>
    <x:row r="36">
      <x:c r="A36" s="76" t="n">
        <x:v>46290</x:v>
      </x:c>
      <x:c r="B36" s="36" t="inlineStr">
        <x:is>
          <x:t xml:space="preserve">Chưa chạy</x:t>
        </x:is>
      </x:c>
      <x:c r="C36" s="36" t="n"/>
      <x:c r="D36" s="81" t="n"/>
      <x:c r="E36" s="81" t="n"/>
      <x:c r="F36" s="82" t="str">
        <x:f>IF(OR(D36="",E36=""),"",24*(E36-D36))</x:f>
      </x:c>
      <x:c r="G36" s="83" t="n"/>
      <x:c r="H36" s="83" t="n"/>
      <x:c r="I36" s="83" t="n"/>
      <x:c r="J36" s="83" t="n"/>
      <x:c r="K36" s="83" t="n"/>
      <x:c r="L36" s="83" t="n"/>
      <x:c r="M36" s="83" t="n"/>
      <x:c r="N36" s="83" t="n"/>
      <x:c r="O36" s="83" t="n">
        <x:v>5</x:v>
      </x:c>
      <x:c r="P36" s="36" t="inlineStr">
        <x:is>
          <x:t xml:space="preserve">vps</x:t>
        </x:is>
      </x:c>
      <x:c r="Q36" s="36" t="n"/>
    </x:row>
    <x:row r="37">
      <x:c r="A37" s="79" t="n">
        <x:v>46291</x:v>
      </x:c>
      <x:c r="B37" s="37" t="inlineStr">
        <x:is>
          <x:t xml:space="preserve">Chưa chạy</x:t>
        </x:is>
      </x:c>
      <x:c r="C37" s="37" t="n"/>
      <x:c r="D37" s="84" t="n"/>
      <x:c r="E37" s="84" t="n"/>
      <x:c r="F37" s="85" t="str">
        <x:f>IF(OR(D37="",E37=""),"",24*(E37-D37))</x:f>
      </x:c>
      <x:c r="G37" s="86" t="n"/>
      <x:c r="H37" s="86" t="n"/>
      <x:c r="I37" s="86" t="n"/>
      <x:c r="J37" s="86" t="n"/>
      <x:c r="K37" s="86" t="n"/>
      <x:c r="L37" s="86" t="n"/>
      <x:c r="M37" s="86" t="n"/>
      <x:c r="N37" s="86" t="n"/>
      <x:c r="O37" s="86" t="n">
        <x:v>5</x:v>
      </x:c>
      <x:c r="P37" s="37" t="inlineStr">
        <x:is>
          <x:t xml:space="preserve">vps</x:t>
        </x:is>
      </x:c>
      <x:c r="Q37" s="37" t="n"/>
    </x:row>
    <x:row r="38">
      <x:c r="A38" s="76" t="n">
        <x:v>46292</x:v>
      </x:c>
      <x:c r="B38" s="36" t="inlineStr">
        <x:is>
          <x:t xml:space="preserve">Chưa chạy</x:t>
        </x:is>
      </x:c>
      <x:c r="C38" s="36" t="n"/>
      <x:c r="D38" s="81" t="n"/>
      <x:c r="E38" s="81" t="n"/>
      <x:c r="F38" s="82" t="str">
        <x:f>IF(OR(D38="",E38=""),"",24*(E38-D38))</x:f>
      </x:c>
      <x:c r="G38" s="83" t="n"/>
      <x:c r="H38" s="83" t="n"/>
      <x:c r="I38" s="83" t="n"/>
      <x:c r="J38" s="83" t="n"/>
      <x:c r="K38" s="83" t="n"/>
      <x:c r="L38" s="83" t="n"/>
      <x:c r="M38" s="83" t="n"/>
      <x:c r="N38" s="83" t="n"/>
      <x:c r="O38" s="83" t="n">
        <x:v>5</x:v>
      </x:c>
      <x:c r="P38" s="36" t="inlineStr">
        <x:is>
          <x:t xml:space="preserve">vps</x:t>
        </x:is>
      </x:c>
      <x:c r="Q38" s="36" t="n"/>
    </x:row>
    <x:row r="39">
      <x:c r="A39" s="79" t="n">
        <x:v>46293</x:v>
      </x:c>
      <x:c r="B39" s="37" t="inlineStr">
        <x:is>
          <x:t xml:space="preserve">Chưa chạy</x:t>
        </x:is>
      </x:c>
      <x:c r="C39" s="37" t="n"/>
      <x:c r="D39" s="84" t="n"/>
      <x:c r="E39" s="84" t="n"/>
      <x:c r="F39" s="85" t="str">
        <x:f>IF(OR(D39="",E39=""),"",24*(E39-D39))</x:f>
      </x:c>
      <x:c r="G39" s="86" t="n"/>
      <x:c r="H39" s="86" t="n"/>
      <x:c r="I39" s="86" t="n"/>
      <x:c r="J39" s="86" t="n"/>
      <x:c r="K39" s="86" t="n"/>
      <x:c r="L39" s="86" t="n"/>
      <x:c r="M39" s="86" t="n"/>
      <x:c r="N39" s="86" t="n"/>
      <x:c r="O39" s="86" t="n">
        <x:v>5</x:v>
      </x:c>
      <x:c r="P39" s="37" t="inlineStr">
        <x:is>
          <x:t xml:space="preserve">vps</x:t>
        </x:is>
      </x:c>
      <x:c r="Q39" s="37" t="n"/>
    </x:row>
    <x:row r="40">
      <x:c r="A40" s="76" t="n">
        <x:v>46294</x:v>
      </x:c>
      <x:c r="B40" s="36" t="inlineStr">
        <x:is>
          <x:t xml:space="preserve">Chưa chạy</x:t>
        </x:is>
      </x:c>
      <x:c r="C40" s="36" t="n"/>
      <x:c r="D40" s="81" t="n"/>
      <x:c r="E40" s="81" t="n"/>
      <x:c r="F40" s="82" t="str">
        <x:f>IF(OR(D40="",E40=""),"",24*(E40-D40))</x:f>
      </x:c>
      <x:c r="G40" s="83" t="n"/>
      <x:c r="H40" s="83" t="n"/>
      <x:c r="I40" s="83" t="n"/>
      <x:c r="J40" s="83" t="n"/>
      <x:c r="K40" s="83" t="n"/>
      <x:c r="L40" s="83" t="n"/>
      <x:c r="M40" s="83" t="n"/>
      <x:c r="N40" s="83" t="n"/>
      <x:c r="O40" s="83" t="n">
        <x:v>5</x:v>
      </x:c>
      <x:c r="P40" s="36" t="inlineStr">
        <x:is>
          <x:t xml:space="preserve">vps</x:t>
        </x:is>
      </x:c>
      <x:c r="Q40" s="36" t="n"/>
    </x:row>
    <x:row r="41">
      <x:c r="A41" s="79" t="n">
        <x:v>46295</x:v>
      </x:c>
      <x:c r="B41" s="37" t="inlineStr">
        <x:is>
          <x:t xml:space="preserve">Chưa chạy</x:t>
        </x:is>
      </x:c>
      <x:c r="C41" s="37" t="n"/>
      <x:c r="D41" s="84" t="n"/>
      <x:c r="E41" s="84" t="n"/>
      <x:c r="F41" s="85" t="str">
        <x:f>IF(OR(D41="",E41=""),"",24*(E41-D41))</x:f>
      </x:c>
      <x:c r="G41" s="86" t="n"/>
      <x:c r="H41" s="86" t="n"/>
      <x:c r="I41" s="86" t="n"/>
      <x:c r="J41" s="86" t="n"/>
      <x:c r="K41" s="86" t="n"/>
      <x:c r="L41" s="86" t="n"/>
      <x:c r="M41" s="86" t="n"/>
      <x:c r="N41" s="86" t="n"/>
      <x:c r="O41" s="86" t="n">
        <x:v>5</x:v>
      </x:c>
      <x:c r="P41" s="37" t="inlineStr">
        <x:is>
          <x:t xml:space="preserve">vps</x:t>
        </x:is>
      </x:c>
      <x:c r="Q41" s="37" t="n"/>
    </x:row>
    <x:row r="42">
      <x:c r="A42" s="76" t="n">
        <x:v>46296</x:v>
      </x:c>
      <x:c r="B42" s="36" t="inlineStr">
        <x:is>
          <x:t xml:space="preserve">Chưa chạy</x:t>
        </x:is>
      </x:c>
      <x:c r="C42" s="36" t="n"/>
      <x:c r="D42" s="81" t="n"/>
      <x:c r="E42" s="81" t="n"/>
      <x:c r="F42" s="82" t="str">
        <x:f>IF(OR(D42="",E42=""),"",24*(E42-D42))</x:f>
      </x:c>
      <x:c r="G42" s="83" t="n"/>
      <x:c r="H42" s="83" t="n"/>
      <x:c r="I42" s="83" t="n"/>
      <x:c r="J42" s="83" t="n"/>
      <x:c r="K42" s="83" t="n"/>
      <x:c r="L42" s="83" t="n"/>
      <x:c r="M42" s="83" t="n"/>
      <x:c r="N42" s="83" t="n"/>
      <x:c r="O42" s="83" t="n">
        <x:v>5</x:v>
      </x:c>
      <x:c r="P42" s="36" t="inlineStr">
        <x:is>
          <x:t xml:space="preserve">vps</x:t>
        </x:is>
      </x:c>
      <x:c r="Q42" s="36" t="n"/>
    </x:row>
    <x:row r="43">
      <x:c r="A43" s="79" t="n">
        <x:v>46297</x:v>
      </x:c>
      <x:c r="B43" s="37" t="inlineStr">
        <x:is>
          <x:t xml:space="preserve">Chưa chạy</x:t>
        </x:is>
      </x:c>
      <x:c r="C43" s="37" t="n"/>
      <x:c r="D43" s="84" t="n"/>
      <x:c r="E43" s="84" t="n"/>
      <x:c r="F43" s="85" t="str">
        <x:f>IF(OR(D43="",E43=""),"",24*(E43-D43))</x:f>
      </x:c>
      <x:c r="G43" s="86" t="n"/>
      <x:c r="H43" s="86" t="n"/>
      <x:c r="I43" s="86" t="n"/>
      <x:c r="J43" s="86" t="n"/>
      <x:c r="K43" s="86" t="n"/>
      <x:c r="L43" s="86" t="n"/>
      <x:c r="M43" s="86" t="n"/>
      <x:c r="N43" s="86" t="n"/>
      <x:c r="O43" s="86" t="n">
        <x:v>5</x:v>
      </x:c>
      <x:c r="P43" s="37" t="inlineStr">
        <x:is>
          <x:t xml:space="preserve">vps</x:t>
        </x:is>
      </x:c>
      <x:c r="Q43" s="37" t="n"/>
    </x:row>
    <x:row r="44">
      <x:c r="A44" s="76" t="n">
        <x:v>46298</x:v>
      </x:c>
      <x:c r="B44" s="36" t="inlineStr">
        <x:is>
          <x:t xml:space="preserve">Chưa chạy</x:t>
        </x:is>
      </x:c>
      <x:c r="C44" s="36" t="n"/>
      <x:c r="D44" s="81" t="n"/>
      <x:c r="E44" s="81" t="n"/>
      <x:c r="F44" s="82" t="str">
        <x:f>IF(OR(D44="",E44=""),"",24*(E44-D44))</x:f>
      </x:c>
      <x:c r="G44" s="83" t="n"/>
      <x:c r="H44" s="83" t="n"/>
      <x:c r="I44" s="83" t="n"/>
      <x:c r="J44" s="83" t="n"/>
      <x:c r="K44" s="83" t="n"/>
      <x:c r="L44" s="83" t="n"/>
      <x:c r="M44" s="83" t="n"/>
      <x:c r="N44" s="83" t="n"/>
      <x:c r="O44" s="83" t="n">
        <x:v>5</x:v>
      </x:c>
      <x:c r="P44" s="36" t="inlineStr">
        <x:is>
          <x:t xml:space="preserve">vps</x:t>
        </x:is>
      </x:c>
      <x:c r="Q44" s="36" t="n"/>
    </x:row>
    <x:row r="45">
      <x:c r="A45" s="79" t="n">
        <x:v>46299</x:v>
      </x:c>
      <x:c r="B45" s="37" t="inlineStr">
        <x:is>
          <x:t xml:space="preserve">Chưa chạy</x:t>
        </x:is>
      </x:c>
      <x:c r="C45" s="37" t="n"/>
      <x:c r="D45" s="84" t="n"/>
      <x:c r="E45" s="84" t="n"/>
      <x:c r="F45" s="85" t="str">
        <x:f>IF(OR(D45="",E45=""),"",24*(E45-D45))</x:f>
      </x:c>
      <x:c r="G45" s="86" t="n"/>
      <x:c r="H45" s="86" t="n"/>
      <x:c r="I45" s="86" t="n"/>
      <x:c r="J45" s="86" t="n"/>
      <x:c r="K45" s="86" t="n"/>
      <x:c r="L45" s="86" t="n"/>
      <x:c r="M45" s="86" t="n"/>
      <x:c r="N45" s="86" t="n"/>
      <x:c r="O45" s="86" t="n">
        <x:v>5</x:v>
      </x:c>
      <x:c r="P45" s="37" t="inlineStr">
        <x:is>
          <x:t xml:space="preserve">vps</x:t>
        </x:is>
      </x:c>
      <x:c r="Q45" s="37" t="n"/>
    </x:row>
    <x:row r="46">
      <x:c r="A46" s="76" t="n">
        <x:v>46300</x:v>
      </x:c>
      <x:c r="B46" s="36" t="inlineStr">
        <x:is>
          <x:t xml:space="preserve">Chưa chạy</x:t>
        </x:is>
      </x:c>
      <x:c r="C46" s="36" t="n"/>
      <x:c r="D46" s="81" t="n"/>
      <x:c r="E46" s="81" t="n"/>
      <x:c r="F46" s="82" t="str">
        <x:f>IF(OR(D46="",E46=""),"",24*(E46-D46))</x:f>
      </x:c>
      <x:c r="G46" s="83" t="n"/>
      <x:c r="H46" s="83" t="n"/>
      <x:c r="I46" s="83" t="n"/>
      <x:c r="J46" s="83" t="n"/>
      <x:c r="K46" s="83" t="n"/>
      <x:c r="L46" s="83" t="n"/>
      <x:c r="M46" s="83" t="n"/>
      <x:c r="N46" s="83" t="n"/>
      <x:c r="O46" s="83" t="n">
        <x:v>5</x:v>
      </x:c>
      <x:c r="P46" s="36" t="inlineStr">
        <x:is>
          <x:t xml:space="preserve">vps</x:t>
        </x:is>
      </x:c>
      <x:c r="Q46" s="36" t="n"/>
    </x:row>
    <x:row r="47">
      <x:c r="A47" s="79" t="n">
        <x:v>46301</x:v>
      </x:c>
      <x:c r="B47" s="37" t="inlineStr">
        <x:is>
          <x:t xml:space="preserve">Chưa chạy</x:t>
        </x:is>
      </x:c>
      <x:c r="C47" s="37" t="n"/>
      <x:c r="D47" s="84" t="n"/>
      <x:c r="E47" s="84" t="n"/>
      <x:c r="F47" s="85" t="str">
        <x:f>IF(OR(D47="",E47=""),"",24*(E47-D47))</x:f>
      </x:c>
      <x:c r="G47" s="86" t="n"/>
      <x:c r="H47" s="86" t="n"/>
      <x:c r="I47" s="86" t="n"/>
      <x:c r="J47" s="86" t="n"/>
      <x:c r="K47" s="86" t="n"/>
      <x:c r="L47" s="86" t="n"/>
      <x:c r="M47" s="86" t="n"/>
      <x:c r="N47" s="86" t="n"/>
      <x:c r="O47" s="86" t="n">
        <x:v>5</x:v>
      </x:c>
      <x:c r="P47" s="37" t="inlineStr">
        <x:is>
          <x:t xml:space="preserve">vps</x:t>
        </x:is>
      </x:c>
      <x:c r="Q47" s="37" t="n"/>
    </x:row>
    <x:row r="48">
      <x:c r="A48" s="76" t="n">
        <x:v>46302</x:v>
      </x:c>
      <x:c r="B48" s="36" t="inlineStr">
        <x:is>
          <x:t xml:space="preserve">Chưa chạy</x:t>
        </x:is>
      </x:c>
      <x:c r="C48" s="36" t="n"/>
      <x:c r="D48" s="81" t="n"/>
      <x:c r="E48" s="81" t="n"/>
      <x:c r="F48" s="82" t="str">
        <x:f>IF(OR(D48="",E48=""),"",24*(E48-D48))</x:f>
      </x:c>
      <x:c r="G48" s="83" t="n"/>
      <x:c r="H48" s="83" t="n"/>
      <x:c r="I48" s="83" t="n"/>
      <x:c r="J48" s="83" t="n"/>
      <x:c r="K48" s="83" t="n"/>
      <x:c r="L48" s="83" t="n"/>
      <x:c r="M48" s="83" t="n"/>
      <x:c r="N48" s="83" t="n"/>
      <x:c r="O48" s="83" t="n">
        <x:v>5</x:v>
      </x:c>
      <x:c r="P48" s="36" t="inlineStr">
        <x:is>
          <x:t xml:space="preserve">vps</x:t>
        </x:is>
      </x:c>
      <x:c r="Q48" s="36" t="n"/>
    </x:row>
    <x:row r="49">
      <x:c r="A49" s="79" t="n">
        <x:v>46303</x:v>
      </x:c>
      <x:c r="B49" s="37" t="inlineStr">
        <x:is>
          <x:t xml:space="preserve">Chưa chạy</x:t>
        </x:is>
      </x:c>
      <x:c r="C49" s="37" t="n"/>
      <x:c r="D49" s="84" t="n"/>
      <x:c r="E49" s="84" t="n"/>
      <x:c r="F49" s="85" t="str">
        <x:f>IF(OR(D49="",E49=""),"",24*(E49-D49))</x:f>
      </x:c>
      <x:c r="G49" s="86" t="n"/>
      <x:c r="H49" s="86" t="n"/>
      <x:c r="I49" s="86" t="n"/>
      <x:c r="J49" s="86" t="n"/>
      <x:c r="K49" s="86" t="n"/>
      <x:c r="L49" s="86" t="n"/>
      <x:c r="M49" s="86" t="n"/>
      <x:c r="N49" s="86" t="n"/>
      <x:c r="O49" s="86" t="n">
        <x:v>5</x:v>
      </x:c>
      <x:c r="P49" s="37" t="inlineStr">
        <x:is>
          <x:t xml:space="preserve">vps</x:t>
        </x:is>
      </x:c>
      <x:c r="Q49" s="37" t="n"/>
    </x:row>
    <x:row r="50">
      <x:c r="A50" s="76" t="n">
        <x:v>46304</x:v>
      </x:c>
      <x:c r="B50" s="36" t="inlineStr">
        <x:is>
          <x:t xml:space="preserve">Chưa chạy</x:t>
        </x:is>
      </x:c>
      <x:c r="C50" s="36" t="n"/>
      <x:c r="D50" s="81" t="n"/>
      <x:c r="E50" s="81" t="n"/>
      <x:c r="F50" s="82" t="str">
        <x:f>IF(OR(D50="",E50=""),"",24*(E50-D50))</x:f>
      </x:c>
      <x:c r="G50" s="83" t="n"/>
      <x:c r="H50" s="83" t="n"/>
      <x:c r="I50" s="83" t="n"/>
      <x:c r="J50" s="83" t="n"/>
      <x:c r="K50" s="83" t="n"/>
      <x:c r="L50" s="83" t="n"/>
      <x:c r="M50" s="83" t="n"/>
      <x:c r="N50" s="83" t="n"/>
      <x:c r="O50" s="83" t="n">
        <x:v>5</x:v>
      </x:c>
      <x:c r="P50" s="36" t="inlineStr">
        <x:is>
          <x:t xml:space="preserve">vps</x:t>
        </x:is>
      </x:c>
      <x:c r="Q50" s="36" t="n"/>
    </x:row>
    <x:row r="51">
      <x:c r="A51" s="79" t="n">
        <x:v>46305</x:v>
      </x:c>
      <x:c r="B51" s="37" t="inlineStr">
        <x:is>
          <x:t xml:space="preserve">Chưa chạy</x:t>
        </x:is>
      </x:c>
      <x:c r="C51" s="37" t="n"/>
      <x:c r="D51" s="84" t="n"/>
      <x:c r="E51" s="84" t="n"/>
      <x:c r="F51" s="85" t="str">
        <x:f>IF(OR(D51="",E51=""),"",24*(E51-D51))</x:f>
      </x:c>
      <x:c r="G51" s="86" t="n"/>
      <x:c r="H51" s="86" t="n"/>
      <x:c r="I51" s="86" t="n"/>
      <x:c r="J51" s="86" t="n"/>
      <x:c r="K51" s="86" t="n"/>
      <x:c r="L51" s="86" t="n"/>
      <x:c r="M51" s="86" t="n"/>
      <x:c r="N51" s="86" t="n"/>
      <x:c r="O51" s="86" t="n">
        <x:v>5</x:v>
      </x:c>
      <x:c r="P51" s="37" t="inlineStr">
        <x:is>
          <x:t xml:space="preserve">vps</x:t>
        </x:is>
      </x:c>
      <x:c r="Q51" s="37" t="n"/>
    </x:row>
    <x:row r="52">
      <x:c r="A52" s="76" t="n">
        <x:v>46306</x:v>
      </x:c>
      <x:c r="B52" s="36" t="inlineStr">
        <x:is>
          <x:t xml:space="preserve">Chưa chạy</x:t>
        </x:is>
      </x:c>
      <x:c r="C52" s="36" t="n"/>
      <x:c r="D52" s="81" t="n"/>
      <x:c r="E52" s="81" t="n"/>
      <x:c r="F52" s="82" t="str">
        <x:f>IF(OR(D52="",E52=""),"",24*(E52-D52))</x:f>
      </x:c>
      <x:c r="G52" s="83" t="n"/>
      <x:c r="H52" s="83" t="n"/>
      <x:c r="I52" s="83" t="n"/>
      <x:c r="J52" s="83" t="n"/>
      <x:c r="K52" s="83" t="n"/>
      <x:c r="L52" s="83" t="n"/>
      <x:c r="M52" s="83" t="n"/>
      <x:c r="N52" s="83" t="n"/>
      <x:c r="O52" s="83" t="n">
        <x:v>5</x:v>
      </x:c>
      <x:c r="P52" s="36" t="inlineStr">
        <x:is>
          <x:t xml:space="preserve">vps</x:t>
        </x:is>
      </x:c>
      <x:c r="Q52" s="36" t="n"/>
    </x:row>
    <x:row r="53">
      <x:c r="A53" s="79" t="n">
        <x:v>46307</x:v>
      </x:c>
      <x:c r="B53" s="37" t="inlineStr">
        <x:is>
          <x:t xml:space="preserve">Chưa chạy</x:t>
        </x:is>
      </x:c>
      <x:c r="C53" s="37" t="n"/>
      <x:c r="D53" s="84" t="n"/>
      <x:c r="E53" s="84" t="n"/>
      <x:c r="F53" s="85" t="str">
        <x:f>IF(OR(D53="",E53=""),"",24*(E53-D53))</x:f>
      </x:c>
      <x:c r="G53" s="86" t="n"/>
      <x:c r="H53" s="86" t="n"/>
      <x:c r="I53" s="86" t="n"/>
      <x:c r="J53" s="86" t="n"/>
      <x:c r="K53" s="86" t="n"/>
      <x:c r="L53" s="86" t="n"/>
      <x:c r="M53" s="86" t="n"/>
      <x:c r="N53" s="86" t="n"/>
      <x:c r="O53" s="86" t="n">
        <x:v>5</x:v>
      </x:c>
      <x:c r="P53" s="37" t="inlineStr">
        <x:is>
          <x:t xml:space="preserve">vps</x:t>
        </x:is>
      </x:c>
      <x:c r="Q53" s="37" t="n"/>
    </x:row>
    <x:row r="54">
      <x:c r="A54" s="76" t="n">
        <x:v>46308</x:v>
      </x:c>
      <x:c r="B54" s="36" t="inlineStr">
        <x:is>
          <x:t xml:space="preserve">Chưa chạy</x:t>
        </x:is>
      </x:c>
      <x:c r="C54" s="36" t="n"/>
      <x:c r="D54" s="81" t="n"/>
      <x:c r="E54" s="81" t="n"/>
      <x:c r="F54" s="82" t="str">
        <x:f>IF(OR(D54="",E54=""),"",24*(E54-D54))</x:f>
      </x:c>
      <x:c r="G54" s="83" t="n"/>
      <x:c r="H54" s="83" t="n"/>
      <x:c r="I54" s="83" t="n"/>
      <x:c r="J54" s="83" t="n"/>
      <x:c r="K54" s="83" t="n"/>
      <x:c r="L54" s="83" t="n"/>
      <x:c r="M54" s="83" t="n"/>
      <x:c r="N54" s="83" t="n"/>
      <x:c r="O54" s="83" t="n">
        <x:v>5</x:v>
      </x:c>
      <x:c r="P54" s="36" t="inlineStr">
        <x:is>
          <x:t xml:space="preserve">vps</x:t>
        </x:is>
      </x:c>
      <x:c r="Q54" s="36" t="n"/>
    </x:row>
    <x:row r="55">
      <x:c r="A55" s="79" t="n">
        <x:v>46309</x:v>
      </x:c>
      <x:c r="B55" s="37" t="inlineStr">
        <x:is>
          <x:t xml:space="preserve">Chưa chạy</x:t>
        </x:is>
      </x:c>
      <x:c r="C55" s="37" t="n"/>
      <x:c r="D55" s="84" t="n"/>
      <x:c r="E55" s="84" t="n"/>
      <x:c r="F55" s="85" t="str">
        <x:f>IF(OR(D55="",E55=""),"",24*(E55-D55))</x:f>
      </x:c>
      <x:c r="G55" s="86" t="n"/>
      <x:c r="H55" s="86" t="n"/>
      <x:c r="I55" s="86" t="n"/>
      <x:c r="J55" s="86" t="n"/>
      <x:c r="K55" s="86" t="n"/>
      <x:c r="L55" s="86" t="n"/>
      <x:c r="M55" s="86" t="n"/>
      <x:c r="N55" s="86" t="n"/>
      <x:c r="O55" s="86" t="n">
        <x:v>5</x:v>
      </x:c>
      <x:c r="P55" s="37" t="inlineStr">
        <x:is>
          <x:t xml:space="preserve">vps</x:t>
        </x:is>
      </x:c>
      <x:c r="Q55" s="37" t="n"/>
    </x:row>
    <x:row r="56">
      <x:c r="A56" s="76" t="n">
        <x:v>46310</x:v>
      </x:c>
      <x:c r="B56" s="36" t="inlineStr">
        <x:is>
          <x:t xml:space="preserve">Chưa chạy</x:t>
        </x:is>
      </x:c>
      <x:c r="C56" s="36" t="n"/>
      <x:c r="D56" s="81" t="n"/>
      <x:c r="E56" s="81" t="n"/>
      <x:c r="F56" s="82" t="str">
        <x:f>IF(OR(D56="",E56=""),"",24*(E56-D56))</x:f>
      </x:c>
      <x:c r="G56" s="83" t="n"/>
      <x:c r="H56" s="83" t="n"/>
      <x:c r="I56" s="83" t="n"/>
      <x:c r="J56" s="83" t="n"/>
      <x:c r="K56" s="83" t="n"/>
      <x:c r="L56" s="83" t="n"/>
      <x:c r="M56" s="83" t="n"/>
      <x:c r="N56" s="83" t="n"/>
      <x:c r="O56" s="83" t="n">
        <x:v>5</x:v>
      </x:c>
      <x:c r="P56" s="36" t="inlineStr">
        <x:is>
          <x:t xml:space="preserve">vps</x:t>
        </x:is>
      </x:c>
      <x:c r="Q56" s="36" t="n"/>
    </x:row>
    <x:row r="57">
      <x:c r="A57" s="79" t="n">
        <x:v>46311</x:v>
      </x:c>
      <x:c r="B57" s="37" t="inlineStr">
        <x:is>
          <x:t xml:space="preserve">Chưa chạy</x:t>
        </x:is>
      </x:c>
      <x:c r="C57" s="37" t="n"/>
      <x:c r="D57" s="84" t="n"/>
      <x:c r="E57" s="84" t="n"/>
      <x:c r="F57" s="85" t="str">
        <x:f>IF(OR(D57="",E57=""),"",24*(E57-D57))</x:f>
      </x:c>
      <x:c r="G57" s="86" t="n"/>
      <x:c r="H57" s="86" t="n"/>
      <x:c r="I57" s="86" t="n"/>
      <x:c r="J57" s="86" t="n"/>
      <x:c r="K57" s="86" t="n"/>
      <x:c r="L57" s="86" t="n"/>
      <x:c r="M57" s="86" t="n"/>
      <x:c r="N57" s="86" t="n"/>
      <x:c r="O57" s="86" t="n">
        <x:v>5</x:v>
      </x:c>
      <x:c r="P57" s="37" t="inlineStr">
        <x:is>
          <x:t xml:space="preserve">vps</x:t>
        </x:is>
      </x:c>
      <x:c r="Q57" s="37" t="n"/>
    </x:row>
    <x:row r="58">
      <x:c r="A58" s="76" t="n">
        <x:v>46312</x:v>
      </x:c>
      <x:c r="B58" s="36" t="inlineStr">
        <x:is>
          <x:t xml:space="preserve">Chưa chạy</x:t>
        </x:is>
      </x:c>
      <x:c r="C58" s="36" t="n"/>
      <x:c r="D58" s="81" t="n"/>
      <x:c r="E58" s="81" t="n"/>
      <x:c r="F58" s="82" t="str">
        <x:f>IF(OR(D58="",E58=""),"",24*(E58-D58))</x:f>
      </x:c>
      <x:c r="G58" s="83" t="n"/>
      <x:c r="H58" s="83" t="n"/>
      <x:c r="I58" s="83" t="n"/>
      <x:c r="J58" s="83" t="n"/>
      <x:c r="K58" s="83" t="n"/>
      <x:c r="L58" s="83" t="n"/>
      <x:c r="M58" s="83" t="n"/>
      <x:c r="N58" s="83" t="n"/>
      <x:c r="O58" s="83" t="n">
        <x:v>5</x:v>
      </x:c>
      <x:c r="P58" s="36" t="inlineStr">
        <x:is>
          <x:t xml:space="preserve">vps</x:t>
        </x:is>
      </x:c>
      <x:c r="Q58" s="36" t="n"/>
    </x:row>
    <x:row r="59">
      <x:c r="A59" s="79" t="n">
        <x:v>46313</x:v>
      </x:c>
      <x:c r="B59" s="37" t="inlineStr">
        <x:is>
          <x:t xml:space="preserve">Chưa chạy</x:t>
        </x:is>
      </x:c>
      <x:c r="C59" s="37" t="n"/>
      <x:c r="D59" s="84" t="n"/>
      <x:c r="E59" s="84" t="n"/>
      <x:c r="F59" s="85" t="str">
        <x:f>IF(OR(D59="",E59=""),"",24*(E59-D59))</x:f>
      </x:c>
      <x:c r="G59" s="86" t="n"/>
      <x:c r="H59" s="86" t="n"/>
      <x:c r="I59" s="86" t="n"/>
      <x:c r="J59" s="86" t="n"/>
      <x:c r="K59" s="86" t="n"/>
      <x:c r="L59" s="86" t="n"/>
      <x:c r="M59" s="86" t="n"/>
      <x:c r="N59" s="86" t="n"/>
      <x:c r="O59" s="86" t="n">
        <x:v>5</x:v>
      </x:c>
      <x:c r="P59" s="37" t="inlineStr">
        <x:is>
          <x:t xml:space="preserve">vps</x:t>
        </x:is>
      </x:c>
      <x:c r="Q59" s="37" t="n"/>
    </x:row>
    <x:row r="60">
      <x:c r="A60" s="76" t="n">
        <x:v>46314</x:v>
      </x:c>
      <x:c r="B60" s="36" t="inlineStr">
        <x:is>
          <x:t xml:space="preserve">Chưa chạy</x:t>
        </x:is>
      </x:c>
      <x:c r="C60" s="36" t="n"/>
      <x:c r="D60" s="81" t="n"/>
      <x:c r="E60" s="81" t="n"/>
      <x:c r="F60" s="82" t="str">
        <x:f>IF(OR(D60="",E60=""),"",24*(E60-D60))</x:f>
      </x:c>
      <x:c r="G60" s="83" t="n"/>
      <x:c r="H60" s="83" t="n"/>
      <x:c r="I60" s="83" t="n"/>
      <x:c r="J60" s="83" t="n"/>
      <x:c r="K60" s="83" t="n"/>
      <x:c r="L60" s="83" t="n"/>
      <x:c r="M60" s="83" t="n"/>
      <x:c r="N60" s="83" t="n"/>
      <x:c r="O60" s="83" t="n">
        <x:v>5</x:v>
      </x:c>
      <x:c r="P60" s="36" t="inlineStr">
        <x:is>
          <x:t xml:space="preserve">vps</x:t>
        </x:is>
      </x:c>
      <x:c r="Q60" s="36" t="n"/>
    </x:row>
    <x:row r="61">
      <x:c r="A61" s="79" t="n">
        <x:v>46315</x:v>
      </x:c>
      <x:c r="B61" s="37" t="inlineStr">
        <x:is>
          <x:t xml:space="preserve">Chưa chạy</x:t>
        </x:is>
      </x:c>
      <x:c r="C61" s="37" t="n"/>
      <x:c r="D61" s="84" t="n"/>
      <x:c r="E61" s="84" t="n"/>
      <x:c r="F61" s="85" t="str">
        <x:f>IF(OR(D61="",E61=""),"",24*(E61-D61))</x:f>
      </x:c>
      <x:c r="G61" s="86" t="n"/>
      <x:c r="H61" s="86" t="n"/>
      <x:c r="I61" s="86" t="n"/>
      <x:c r="J61" s="86" t="n"/>
      <x:c r="K61" s="86" t="n"/>
      <x:c r="L61" s="86" t="n"/>
      <x:c r="M61" s="86" t="n"/>
      <x:c r="N61" s="86" t="n"/>
      <x:c r="O61" s="86" t="n">
        <x:v>5</x:v>
      </x:c>
      <x:c r="P61" s="37" t="inlineStr">
        <x:is>
          <x:t xml:space="preserve">vps</x:t>
        </x:is>
      </x:c>
      <x:c r="Q61" s="37" t="n"/>
    </x:row>
    <x:row r="62">
      <x:c r="A62" s="76" t="n">
        <x:v>46316</x:v>
      </x:c>
      <x:c r="B62" s="36" t="inlineStr">
        <x:is>
          <x:t xml:space="preserve">Chưa chạy</x:t>
        </x:is>
      </x:c>
      <x:c r="C62" s="36" t="n"/>
      <x:c r="D62" s="81" t="n"/>
      <x:c r="E62" s="81" t="n"/>
      <x:c r="F62" s="82" t="str">
        <x:f>IF(OR(D62="",E62=""),"",24*(E62-D62))</x:f>
      </x:c>
      <x:c r="G62" s="83" t="n"/>
      <x:c r="H62" s="83" t="n"/>
      <x:c r="I62" s="83" t="n"/>
      <x:c r="J62" s="83" t="n"/>
      <x:c r="K62" s="83" t="n"/>
      <x:c r="L62" s="83" t="n"/>
      <x:c r="M62" s="83" t="n"/>
      <x:c r="N62" s="83" t="n"/>
      <x:c r="O62" s="83" t="n">
        <x:v>5</x:v>
      </x:c>
      <x:c r="P62" s="36" t="inlineStr">
        <x:is>
          <x:t xml:space="preserve">vps</x:t>
        </x:is>
      </x:c>
      <x:c r="Q62" s="36" t="n"/>
    </x:row>
    <x:row r="63">
      <x:c r="A63" s="79" t="n">
        <x:v>46317</x:v>
      </x:c>
      <x:c r="B63" s="37" t="inlineStr">
        <x:is>
          <x:t xml:space="preserve">Chưa chạy</x:t>
        </x:is>
      </x:c>
      <x:c r="C63" s="37" t="n"/>
      <x:c r="D63" s="84" t="n"/>
      <x:c r="E63" s="84" t="n"/>
      <x:c r="F63" s="85" t="str">
        <x:f>IF(OR(D63="",E63=""),"",24*(E63-D63))</x:f>
      </x:c>
      <x:c r="G63" s="86" t="n"/>
      <x:c r="H63" s="86" t="n"/>
      <x:c r="I63" s="86" t="n"/>
      <x:c r="J63" s="86" t="n"/>
      <x:c r="K63" s="86" t="n"/>
      <x:c r="L63" s="86" t="n"/>
      <x:c r="M63" s="86" t="n"/>
      <x:c r="N63" s="86" t="n"/>
      <x:c r="O63" s="86" t="n">
        <x:v>5</x:v>
      </x:c>
      <x:c r="P63" s="37" t="inlineStr">
        <x:is>
          <x:t xml:space="preserve">vps</x:t>
        </x:is>
      </x:c>
      <x:c r="Q63" s="37" t="n"/>
    </x:row>
    <x:row r="64">
      <x:c r="A64" s="76" t="n">
        <x:v>46318</x:v>
      </x:c>
      <x:c r="B64" s="36" t="inlineStr">
        <x:is>
          <x:t xml:space="preserve">Chưa chạy</x:t>
        </x:is>
      </x:c>
      <x:c r="C64" s="36" t="n"/>
      <x:c r="D64" s="81" t="n"/>
      <x:c r="E64" s="81" t="n"/>
      <x:c r="F64" s="82" t="str">
        <x:f>IF(OR(D64="",E64=""),"",24*(E64-D64))</x:f>
      </x:c>
      <x:c r="G64" s="83" t="n"/>
      <x:c r="H64" s="83" t="n"/>
      <x:c r="I64" s="83" t="n"/>
      <x:c r="J64" s="83" t="n"/>
      <x:c r="K64" s="83" t="n"/>
      <x:c r="L64" s="83" t="n"/>
      <x:c r="M64" s="83" t="n"/>
      <x:c r="N64" s="83" t="n"/>
      <x:c r="O64" s="83" t="n">
        <x:v>5</x:v>
      </x:c>
      <x:c r="P64" s="36" t="inlineStr">
        <x:is>
          <x:t xml:space="preserve">vps</x:t>
        </x:is>
      </x:c>
      <x:c r="Q64" s="36" t="n"/>
    </x:row>
    <x:row r="65">
      <x:c r="A65" s="79" t="n">
        <x:v>46319</x:v>
      </x:c>
      <x:c r="B65" s="37" t="inlineStr">
        <x:is>
          <x:t xml:space="preserve">Chưa chạy</x:t>
        </x:is>
      </x:c>
      <x:c r="C65" s="37" t="n"/>
      <x:c r="D65" s="84" t="n"/>
      <x:c r="E65" s="84" t="n"/>
      <x:c r="F65" s="85" t="str">
        <x:f>IF(OR(D65="",E65=""),"",24*(E65-D65))</x:f>
      </x:c>
      <x:c r="G65" s="86" t="n"/>
      <x:c r="H65" s="86" t="n"/>
      <x:c r="I65" s="86" t="n"/>
      <x:c r="J65" s="86" t="n"/>
      <x:c r="K65" s="86" t="n"/>
      <x:c r="L65" s="86" t="n"/>
      <x:c r="M65" s="86" t="n"/>
      <x:c r="N65" s="86" t="n"/>
      <x:c r="O65" s="86" t="n">
        <x:v>5</x:v>
      </x:c>
      <x:c r="P65" s="37" t="inlineStr">
        <x:is>
          <x:t xml:space="preserve">vps</x:t>
        </x:is>
      </x:c>
      <x:c r="Q65" s="37" t="n"/>
    </x:row>
    <x:row r="66">
      <x:c r="A66" s="76" t="n">
        <x:v>46320</x:v>
      </x:c>
      <x:c r="B66" s="36" t="inlineStr">
        <x:is>
          <x:t xml:space="preserve">Chưa chạy</x:t>
        </x:is>
      </x:c>
      <x:c r="C66" s="36" t="n"/>
      <x:c r="D66" s="81" t="n"/>
      <x:c r="E66" s="81" t="n"/>
      <x:c r="F66" s="82" t="str">
        <x:f>IF(OR(D66="",E66=""),"",24*(E66-D66))</x:f>
      </x:c>
      <x:c r="G66" s="83" t="n"/>
      <x:c r="H66" s="83" t="n"/>
      <x:c r="I66" s="83" t="n"/>
      <x:c r="J66" s="83" t="n"/>
      <x:c r="K66" s="83" t="n"/>
      <x:c r="L66" s="83" t="n"/>
      <x:c r="M66" s="83" t="n"/>
      <x:c r="N66" s="83" t="n"/>
      <x:c r="O66" s="83" t="n">
        <x:v>5</x:v>
      </x:c>
      <x:c r="P66" s="36" t="inlineStr">
        <x:is>
          <x:t xml:space="preserve">vps</x:t>
        </x:is>
      </x:c>
      <x:c r="Q66" s="36" t="n"/>
    </x:row>
    <x:row r="67">
      <x:c r="A67" s="79" t="n">
        <x:v>46321</x:v>
      </x:c>
      <x:c r="B67" s="37" t="inlineStr">
        <x:is>
          <x:t xml:space="preserve">Chưa chạy</x:t>
        </x:is>
      </x:c>
      <x:c r="C67" s="37" t="n"/>
      <x:c r="D67" s="84" t="n"/>
      <x:c r="E67" s="84" t="n"/>
      <x:c r="F67" s="85" t="str">
        <x:f>IF(OR(D67="",E67=""),"",24*(E67-D67))</x:f>
      </x:c>
      <x:c r="G67" s="86" t="n"/>
      <x:c r="H67" s="86" t="n"/>
      <x:c r="I67" s="86" t="n"/>
      <x:c r="J67" s="86" t="n"/>
      <x:c r="K67" s="86" t="n"/>
      <x:c r="L67" s="86" t="n"/>
      <x:c r="M67" s="86" t="n"/>
      <x:c r="N67" s="86" t="n"/>
      <x:c r="O67" s="86" t="n">
        <x:v>5</x:v>
      </x:c>
      <x:c r="P67" s="37" t="inlineStr">
        <x:is>
          <x:t xml:space="preserve">vps</x:t>
        </x:is>
      </x:c>
      <x:c r="Q67" s="37" t="n"/>
    </x:row>
    <x:row r="68">
      <x:c r="A68" s="76" t="n">
        <x:v>46322</x:v>
      </x:c>
      <x:c r="B68" s="36" t="inlineStr">
        <x:is>
          <x:t xml:space="preserve">Chưa chạy</x:t>
        </x:is>
      </x:c>
      <x:c r="C68" s="36" t="n"/>
      <x:c r="D68" s="81" t="n"/>
      <x:c r="E68" s="81" t="n"/>
      <x:c r="F68" s="82" t="str">
        <x:f>IF(OR(D68="",E68=""),"",24*(E68-D68))</x:f>
      </x:c>
      <x:c r="G68" s="83" t="n"/>
      <x:c r="H68" s="83" t="n"/>
      <x:c r="I68" s="83" t="n"/>
      <x:c r="J68" s="83" t="n"/>
      <x:c r="K68" s="83" t="n"/>
      <x:c r="L68" s="83" t="n"/>
      <x:c r="M68" s="83" t="n"/>
      <x:c r="N68" s="83" t="n"/>
      <x:c r="O68" s="83" t="n">
        <x:v>5</x:v>
      </x:c>
      <x:c r="P68" s="36" t="inlineStr">
        <x:is>
          <x:t xml:space="preserve">vps</x:t>
        </x:is>
      </x:c>
      <x:c r="Q68" s="36" t="n"/>
    </x:row>
    <x:row r="69">
      <x:c r="A69" s="79" t="n">
        <x:v>46323</x:v>
      </x:c>
      <x:c r="B69" s="37" t="inlineStr">
        <x:is>
          <x:t xml:space="preserve">Chưa chạy</x:t>
        </x:is>
      </x:c>
      <x:c r="C69" s="37" t="n"/>
      <x:c r="D69" s="84" t="n"/>
      <x:c r="E69" s="84" t="n"/>
      <x:c r="F69" s="85" t="str">
        <x:f>IF(OR(D69="",E69=""),"",24*(E69-D69))</x:f>
      </x:c>
      <x:c r="G69" s="86" t="n"/>
      <x:c r="H69" s="86" t="n"/>
      <x:c r="I69" s="86" t="n"/>
      <x:c r="J69" s="86" t="n"/>
      <x:c r="K69" s="86" t="n"/>
      <x:c r="L69" s="86" t="n"/>
      <x:c r="M69" s="86" t="n"/>
      <x:c r="N69" s="86" t="n"/>
      <x:c r="O69" s="86" t="n">
        <x:v>5</x:v>
      </x:c>
      <x:c r="P69" s="37" t="inlineStr">
        <x:is>
          <x:t xml:space="preserve">vps</x:t>
        </x:is>
      </x:c>
      <x:c r="Q69" s="37" t="n"/>
    </x:row>
    <x:row r="70">
      <x:c r="A70" s="76" t="n">
        <x:v>46324</x:v>
      </x:c>
      <x:c r="B70" s="36" t="inlineStr">
        <x:is>
          <x:t xml:space="preserve">Chưa chạy</x:t>
        </x:is>
      </x:c>
      <x:c r="C70" s="36" t="n"/>
      <x:c r="D70" s="81" t="n"/>
      <x:c r="E70" s="81" t="n"/>
      <x:c r="F70" s="82" t="str">
        <x:f>IF(OR(D70="",E70=""),"",24*(E70-D70))</x:f>
      </x:c>
      <x:c r="G70" s="83" t="n"/>
      <x:c r="H70" s="83" t="n"/>
      <x:c r="I70" s="83" t="n"/>
      <x:c r="J70" s="83" t="n"/>
      <x:c r="K70" s="83" t="n"/>
      <x:c r="L70" s="83" t="n"/>
      <x:c r="M70" s="83" t="n"/>
      <x:c r="N70" s="83" t="n"/>
      <x:c r="O70" s="83" t="n">
        <x:v>5</x:v>
      </x:c>
      <x:c r="P70" s="36" t="inlineStr">
        <x:is>
          <x:t xml:space="preserve">vps</x:t>
        </x:is>
      </x:c>
      <x:c r="Q70" s="36" t="n"/>
    </x:row>
    <x:row r="71">
      <x:c r="A71" s="79" t="n">
        <x:v>46325</x:v>
      </x:c>
      <x:c r="B71" s="37" t="inlineStr">
        <x:is>
          <x:t xml:space="preserve">Chưa chạy</x:t>
        </x:is>
      </x:c>
      <x:c r="C71" s="37" t="n"/>
      <x:c r="D71" s="84" t="n"/>
      <x:c r="E71" s="84" t="n"/>
      <x:c r="F71" s="85" t="str">
        <x:f>IF(OR(D71="",E71=""),"",24*(E71-D71))</x:f>
      </x:c>
      <x:c r="G71" s="86" t="n"/>
      <x:c r="H71" s="86" t="n"/>
      <x:c r="I71" s="86" t="n"/>
      <x:c r="J71" s="86" t="n"/>
      <x:c r="K71" s="86" t="n"/>
      <x:c r="L71" s="86" t="n"/>
      <x:c r="M71" s="86" t="n"/>
      <x:c r="N71" s="86" t="n"/>
      <x:c r="O71" s="86" t="n">
        <x:v>5</x:v>
      </x:c>
      <x:c r="P71" s="37" t="inlineStr">
        <x:is>
          <x:t xml:space="preserve">vps</x:t>
        </x:is>
      </x:c>
      <x:c r="Q71" s="37" t="n"/>
    </x:row>
    <x:row r="72">
      <x:c r="A72" s="76" t="n">
        <x:v>46326</x:v>
      </x:c>
      <x:c r="B72" s="36" t="inlineStr">
        <x:is>
          <x:t xml:space="preserve">Chưa chạy</x:t>
        </x:is>
      </x:c>
      <x:c r="C72" s="36" t="n"/>
      <x:c r="D72" s="81" t="n"/>
      <x:c r="E72" s="81" t="n"/>
      <x:c r="F72" s="82" t="str">
        <x:f>IF(OR(D72="",E72=""),"",24*(E72-D72))</x:f>
      </x:c>
      <x:c r="G72" s="83" t="n"/>
      <x:c r="H72" s="83" t="n"/>
      <x:c r="I72" s="83" t="n"/>
      <x:c r="J72" s="83" t="n"/>
      <x:c r="K72" s="83" t="n"/>
      <x:c r="L72" s="83" t="n"/>
      <x:c r="M72" s="83" t="n"/>
      <x:c r="N72" s="83" t="n"/>
      <x:c r="O72" s="83" t="n">
        <x:v>5</x:v>
      </x:c>
      <x:c r="P72" s="36" t="inlineStr">
        <x:is>
          <x:t xml:space="preserve">vps</x:t>
        </x:is>
      </x:c>
      <x:c r="Q72" s="36" t="n"/>
    </x:row>
    <x:row r="73">
      <x:c r="A73" s="79" t="n">
        <x:v>46327</x:v>
      </x:c>
      <x:c r="B73" s="37" t="inlineStr">
        <x:is>
          <x:t xml:space="preserve">Chưa chạy</x:t>
        </x:is>
      </x:c>
      <x:c r="C73" s="37" t="n"/>
      <x:c r="D73" s="84" t="n"/>
      <x:c r="E73" s="84" t="n"/>
      <x:c r="F73" s="85" t="str">
        <x:f>IF(OR(D73="",E73=""),"",24*(E73-D73))</x:f>
      </x:c>
      <x:c r="G73" s="86" t="n"/>
      <x:c r="H73" s="86" t="n"/>
      <x:c r="I73" s="86" t="n"/>
      <x:c r="J73" s="86" t="n"/>
      <x:c r="K73" s="86" t="n"/>
      <x:c r="L73" s="86" t="n"/>
      <x:c r="M73" s="86" t="n"/>
      <x:c r="N73" s="86" t="n"/>
      <x:c r="O73" s="86" t="n">
        <x:v>5</x:v>
      </x:c>
      <x:c r="P73" s="37" t="inlineStr">
        <x:is>
          <x:t xml:space="preserve">vps</x:t>
        </x:is>
      </x:c>
      <x:c r="Q73" s="37" t="n"/>
    </x:row>
    <x:row r="74">
      <x:c r="A74" s="76" t="n">
        <x:v>46328</x:v>
      </x:c>
      <x:c r="B74" s="36" t="inlineStr">
        <x:is>
          <x:t xml:space="preserve">Chưa chạy</x:t>
        </x:is>
      </x:c>
      <x:c r="C74" s="36" t="n"/>
      <x:c r="D74" s="81" t="n"/>
      <x:c r="E74" s="81" t="n"/>
      <x:c r="F74" s="82" t="str">
        <x:f>IF(OR(D74="",E74=""),"",24*(E74-D74))</x:f>
      </x:c>
      <x:c r="G74" s="83" t="n"/>
      <x:c r="H74" s="83" t="n"/>
      <x:c r="I74" s="83" t="n"/>
      <x:c r="J74" s="83" t="n"/>
      <x:c r="K74" s="83" t="n"/>
      <x:c r="L74" s="83" t="n"/>
      <x:c r="M74" s="83" t="n"/>
      <x:c r="N74" s="83" t="n"/>
      <x:c r="O74" s="83" t="n">
        <x:v>5</x:v>
      </x:c>
      <x:c r="P74" s="36" t="inlineStr">
        <x:is>
          <x:t xml:space="preserve">vps</x:t>
        </x:is>
      </x:c>
      <x:c r="Q74" s="36" t="n"/>
    </x:row>
    <x:row r="75">
      <x:c r="A75" s="79" t="n">
        <x:v>46329</x:v>
      </x:c>
      <x:c r="B75" s="37" t="inlineStr">
        <x:is>
          <x:t xml:space="preserve">Chưa chạy</x:t>
        </x:is>
      </x:c>
      <x:c r="C75" s="37" t="n"/>
      <x:c r="D75" s="84" t="n"/>
      <x:c r="E75" s="84" t="n"/>
      <x:c r="F75" s="85" t="str">
        <x:f>IF(OR(D75="",E75=""),"",24*(E75-D75))</x:f>
      </x:c>
      <x:c r="G75" s="86" t="n"/>
      <x:c r="H75" s="86" t="n"/>
      <x:c r="I75" s="86" t="n"/>
      <x:c r="J75" s="86" t="n"/>
      <x:c r="K75" s="86" t="n"/>
      <x:c r="L75" s="86" t="n"/>
      <x:c r="M75" s="86" t="n"/>
      <x:c r="N75" s="86" t="n"/>
      <x:c r="O75" s="86" t="n">
        <x:v>5</x:v>
      </x:c>
      <x:c r="P75" s="37" t="inlineStr">
        <x:is>
          <x:t xml:space="preserve">vps</x:t>
        </x:is>
      </x:c>
      <x:c r="Q75" s="37" t="n"/>
    </x:row>
    <x:row r="76">
      <x:c r="A76" s="76" t="n">
        <x:v>46330</x:v>
      </x:c>
      <x:c r="B76" s="36" t="inlineStr">
        <x:is>
          <x:t xml:space="preserve">Chưa chạy</x:t>
        </x:is>
      </x:c>
      <x:c r="C76" s="36" t="n"/>
      <x:c r="D76" s="81" t="n"/>
      <x:c r="E76" s="81" t="n"/>
      <x:c r="F76" s="82" t="str">
        <x:f>IF(OR(D76="",E76=""),"",24*(E76-D76))</x:f>
      </x:c>
      <x:c r="G76" s="83" t="n"/>
      <x:c r="H76" s="83" t="n"/>
      <x:c r="I76" s="83" t="n"/>
      <x:c r="J76" s="83" t="n"/>
      <x:c r="K76" s="83" t="n"/>
      <x:c r="L76" s="83" t="n"/>
      <x:c r="M76" s="83" t="n"/>
      <x:c r="N76" s="83" t="n"/>
      <x:c r="O76" s="83" t="n">
        <x:v>5</x:v>
      </x:c>
      <x:c r="P76" s="36" t="inlineStr">
        <x:is>
          <x:t xml:space="preserve">vps</x:t>
        </x:is>
      </x:c>
      <x:c r="Q76" s="36" t="n"/>
    </x:row>
    <x:row r="77">
      <x:c r="A77" s="79" t="n">
        <x:v>46331</x:v>
      </x:c>
      <x:c r="B77" s="37" t="inlineStr">
        <x:is>
          <x:t xml:space="preserve">Chưa chạy</x:t>
        </x:is>
      </x:c>
      <x:c r="C77" s="37" t="n"/>
      <x:c r="D77" s="84" t="n"/>
      <x:c r="E77" s="84" t="n"/>
      <x:c r="F77" s="85" t="str">
        <x:f>IF(OR(D77="",E77=""),"",24*(E77-D77))</x:f>
      </x:c>
      <x:c r="G77" s="86" t="n"/>
      <x:c r="H77" s="86" t="n"/>
      <x:c r="I77" s="86" t="n"/>
      <x:c r="J77" s="86" t="n"/>
      <x:c r="K77" s="86" t="n"/>
      <x:c r="L77" s="86" t="n"/>
      <x:c r="M77" s="86" t="n"/>
      <x:c r="N77" s="86" t="n"/>
      <x:c r="O77" s="86" t="n">
        <x:v>5</x:v>
      </x:c>
      <x:c r="P77" s="37" t="inlineStr">
        <x:is>
          <x:t xml:space="preserve">vps</x:t>
        </x:is>
      </x:c>
      <x:c r="Q77" s="37" t="n"/>
    </x:row>
    <x:row r="78">
      <x:c r="A78" s="76" t="n">
        <x:v>46332</x:v>
      </x:c>
      <x:c r="B78" s="36" t="inlineStr">
        <x:is>
          <x:t xml:space="preserve">Chưa chạy</x:t>
        </x:is>
      </x:c>
      <x:c r="C78" s="36" t="n"/>
      <x:c r="D78" s="81" t="n"/>
      <x:c r="E78" s="81" t="n"/>
      <x:c r="F78" s="82" t="str">
        <x:f>IF(OR(D78="",E78=""),"",24*(E78-D78))</x:f>
      </x:c>
      <x:c r="G78" s="83" t="n"/>
      <x:c r="H78" s="83" t="n"/>
      <x:c r="I78" s="83" t="n"/>
      <x:c r="J78" s="83" t="n"/>
      <x:c r="K78" s="83" t="n"/>
      <x:c r="L78" s="83" t="n"/>
      <x:c r="M78" s="83" t="n"/>
      <x:c r="N78" s="83" t="n"/>
      <x:c r="O78" s="83" t="n">
        <x:v>5</x:v>
      </x:c>
      <x:c r="P78" s="36" t="inlineStr">
        <x:is>
          <x:t xml:space="preserve">vps</x:t>
        </x:is>
      </x:c>
      <x:c r="Q78" s="36" t="n"/>
    </x:row>
    <x:row r="79">
      <x:c r="A79" s="79" t="n">
        <x:v>46333</x:v>
      </x:c>
      <x:c r="B79" s="37" t="inlineStr">
        <x:is>
          <x:t xml:space="preserve">Chưa chạy</x:t>
        </x:is>
      </x:c>
      <x:c r="C79" s="37" t="n"/>
      <x:c r="D79" s="84" t="n"/>
      <x:c r="E79" s="84" t="n"/>
      <x:c r="F79" s="85" t="str">
        <x:f>IF(OR(D79="",E79=""),"",24*(E79-D79))</x:f>
      </x:c>
      <x:c r="G79" s="86" t="n"/>
      <x:c r="H79" s="86" t="n"/>
      <x:c r="I79" s="86" t="n"/>
      <x:c r="J79" s="86" t="n"/>
      <x:c r="K79" s="86" t="n"/>
      <x:c r="L79" s="86" t="n"/>
      <x:c r="M79" s="86" t="n"/>
      <x:c r="N79" s="86" t="n"/>
      <x:c r="O79" s="86" t="n">
        <x:v>5</x:v>
      </x:c>
      <x:c r="P79" s="37" t="inlineStr">
        <x:is>
          <x:t xml:space="preserve">vps</x:t>
        </x:is>
      </x:c>
      <x:c r="Q79" s="37" t="n"/>
    </x:row>
    <x:row r="80">
      <x:c r="A80" s="76" t="n">
        <x:v>46334</x:v>
      </x:c>
      <x:c r="B80" s="36" t="inlineStr">
        <x:is>
          <x:t xml:space="preserve">Chưa chạy</x:t>
        </x:is>
      </x:c>
      <x:c r="C80" s="36" t="n"/>
      <x:c r="D80" s="81" t="n"/>
      <x:c r="E80" s="81" t="n"/>
      <x:c r="F80" s="82" t="str">
        <x:f>IF(OR(D80="",E80=""),"",24*(E80-D80))</x:f>
      </x:c>
      <x:c r="G80" s="83" t="n"/>
      <x:c r="H80" s="83" t="n"/>
      <x:c r="I80" s="83" t="n"/>
      <x:c r="J80" s="83" t="n"/>
      <x:c r="K80" s="83" t="n"/>
      <x:c r="L80" s="83" t="n"/>
      <x:c r="M80" s="83" t="n"/>
      <x:c r="N80" s="83" t="n"/>
      <x:c r="O80" s="83" t="n">
        <x:v>5</x:v>
      </x:c>
      <x:c r="P80" s="36" t="inlineStr">
        <x:is>
          <x:t xml:space="preserve">vps</x:t>
        </x:is>
      </x:c>
      <x:c r="Q80" s="36" t="n"/>
    </x:row>
    <x:row r="81">
      <x:c r="A81" s="79" t="n">
        <x:v>46335</x:v>
      </x:c>
      <x:c r="B81" s="37" t="inlineStr">
        <x:is>
          <x:t xml:space="preserve">Chưa chạy</x:t>
        </x:is>
      </x:c>
      <x:c r="C81" s="37" t="n"/>
      <x:c r="D81" s="84" t="n"/>
      <x:c r="E81" s="84" t="n"/>
      <x:c r="F81" s="85" t="str">
        <x:f>IF(OR(D81="",E81=""),"",24*(E81-D81))</x:f>
      </x:c>
      <x:c r="G81" s="86" t="n"/>
      <x:c r="H81" s="86" t="n"/>
      <x:c r="I81" s="86" t="n"/>
      <x:c r="J81" s="86" t="n"/>
      <x:c r="K81" s="86" t="n"/>
      <x:c r="L81" s="86" t="n"/>
      <x:c r="M81" s="86" t="n"/>
      <x:c r="N81" s="86" t="n"/>
      <x:c r="O81" s="86" t="n">
        <x:v>5</x:v>
      </x:c>
      <x:c r="P81" s="37" t="inlineStr">
        <x:is>
          <x:t xml:space="preserve">vps</x:t>
        </x:is>
      </x:c>
      <x:c r="Q81" s="37" t="n"/>
    </x:row>
    <x:row r="82">
      <x:c r="A82" s="76" t="n">
        <x:v>46336</x:v>
      </x:c>
      <x:c r="B82" s="36" t="inlineStr">
        <x:is>
          <x:t xml:space="preserve">Chưa chạy</x:t>
        </x:is>
      </x:c>
      <x:c r="C82" s="36" t="n"/>
      <x:c r="D82" s="81" t="n"/>
      <x:c r="E82" s="81" t="n"/>
      <x:c r="F82" s="82" t="str">
        <x:f>IF(OR(D82="",E82=""),"",24*(E82-D82))</x:f>
      </x:c>
      <x:c r="G82" s="83" t="n"/>
      <x:c r="H82" s="83" t="n"/>
      <x:c r="I82" s="83" t="n"/>
      <x:c r="J82" s="83" t="n"/>
      <x:c r="K82" s="83" t="n"/>
      <x:c r="L82" s="83" t="n"/>
      <x:c r="M82" s="83" t="n"/>
      <x:c r="N82" s="83" t="n"/>
      <x:c r="O82" s="83" t="n">
        <x:v>5</x:v>
      </x:c>
      <x:c r="P82" s="36" t="inlineStr">
        <x:is>
          <x:t xml:space="preserve">vps</x:t>
        </x:is>
      </x:c>
      <x:c r="Q82" s="36" t="n"/>
    </x:row>
    <x:row r="83">
      <x:c r="A83" s="79" t="n">
        <x:v>46337</x:v>
      </x:c>
      <x:c r="B83" s="37" t="inlineStr">
        <x:is>
          <x:t xml:space="preserve">Chưa chạy</x:t>
        </x:is>
      </x:c>
      <x:c r="C83" s="37" t="n"/>
      <x:c r="D83" s="84" t="n"/>
      <x:c r="E83" s="84" t="n"/>
      <x:c r="F83" s="85" t="str">
        <x:f>IF(OR(D83="",E83=""),"",24*(E83-D83))</x:f>
      </x:c>
      <x:c r="G83" s="86" t="n"/>
      <x:c r="H83" s="86" t="n"/>
      <x:c r="I83" s="86" t="n"/>
      <x:c r="J83" s="86" t="n"/>
      <x:c r="K83" s="86" t="n"/>
      <x:c r="L83" s="86" t="n"/>
      <x:c r="M83" s="86" t="n"/>
      <x:c r="N83" s="86" t="n"/>
      <x:c r="O83" s="86" t="n">
        <x:v>5</x:v>
      </x:c>
      <x:c r="P83" s="37" t="inlineStr">
        <x:is>
          <x:t xml:space="preserve">vps</x:t>
        </x:is>
      </x:c>
      <x:c r="Q83" s="37" t="n"/>
    </x:row>
    <x:row r="84">
      <x:c r="A84" s="76" t="n">
        <x:v>46338</x:v>
      </x:c>
      <x:c r="B84" s="36" t="inlineStr">
        <x:is>
          <x:t xml:space="preserve">Chưa chạy</x:t>
        </x:is>
      </x:c>
      <x:c r="C84" s="36" t="n"/>
      <x:c r="D84" s="81" t="n"/>
      <x:c r="E84" s="81" t="n"/>
      <x:c r="F84" s="82" t="str">
        <x:f>IF(OR(D84="",E84=""),"",24*(E84-D84))</x:f>
      </x:c>
      <x:c r="G84" s="83" t="n"/>
      <x:c r="H84" s="83" t="n"/>
      <x:c r="I84" s="83" t="n"/>
      <x:c r="J84" s="83" t="n"/>
      <x:c r="K84" s="83" t="n"/>
      <x:c r="L84" s="83" t="n"/>
      <x:c r="M84" s="83" t="n"/>
      <x:c r="N84" s="83" t="n"/>
      <x:c r="O84" s="83" t="n">
        <x:v>5</x:v>
      </x:c>
      <x:c r="P84" s="36" t="inlineStr">
        <x:is>
          <x:t xml:space="preserve">vps</x:t>
        </x:is>
      </x:c>
      <x:c r="Q84" s="36" t="n"/>
    </x:row>
    <x:row r="85">
      <x:c r="A85" s="79" t="n">
        <x:v>46339</x:v>
      </x:c>
      <x:c r="B85" s="37" t="inlineStr">
        <x:is>
          <x:t xml:space="preserve">Chưa chạy</x:t>
        </x:is>
      </x:c>
      <x:c r="C85" s="37" t="n"/>
      <x:c r="D85" s="84" t="n"/>
      <x:c r="E85" s="84" t="n"/>
      <x:c r="F85" s="85" t="str">
        <x:f>IF(OR(D85="",E85=""),"",24*(E85-D85))</x:f>
      </x:c>
      <x:c r="G85" s="86" t="n"/>
      <x:c r="H85" s="86" t="n"/>
      <x:c r="I85" s="86" t="n"/>
      <x:c r="J85" s="86" t="n"/>
      <x:c r="K85" s="86" t="n"/>
      <x:c r="L85" s="86" t="n"/>
      <x:c r="M85" s="86" t="n"/>
      <x:c r="N85" s="86" t="n"/>
      <x:c r="O85" s="86" t="n">
        <x:v>5</x:v>
      </x:c>
      <x:c r="P85" s="37" t="inlineStr">
        <x:is>
          <x:t xml:space="preserve">vps</x:t>
        </x:is>
      </x:c>
      <x:c r="Q85" s="37" t="n"/>
    </x:row>
    <x:row r="86">
      <x:c r="A86" s="76" t="n">
        <x:v>46340</x:v>
      </x:c>
      <x:c r="B86" s="36" t="inlineStr">
        <x:is>
          <x:t xml:space="preserve">Chưa chạy</x:t>
        </x:is>
      </x:c>
      <x:c r="C86" s="36" t="n"/>
      <x:c r="D86" s="81" t="n"/>
      <x:c r="E86" s="81" t="n"/>
      <x:c r="F86" s="82" t="str">
        <x:f>IF(OR(D86="",E86=""),"",24*(E86-D86))</x:f>
      </x:c>
      <x:c r="G86" s="83" t="n"/>
      <x:c r="H86" s="83" t="n"/>
      <x:c r="I86" s="83" t="n"/>
      <x:c r="J86" s="83" t="n"/>
      <x:c r="K86" s="83" t="n"/>
      <x:c r="L86" s="83" t="n"/>
      <x:c r="M86" s="83" t="n"/>
      <x:c r="N86" s="83" t="n"/>
      <x:c r="O86" s="83" t="n">
        <x:v>5</x:v>
      </x:c>
      <x:c r="P86" s="36" t="inlineStr">
        <x:is>
          <x:t xml:space="preserve">vps</x:t>
        </x:is>
      </x:c>
      <x:c r="Q86" s="36" t="n"/>
    </x:row>
    <x:row r="87">
      <x:c r="A87" s="79" t="n">
        <x:v>46341</x:v>
      </x:c>
      <x:c r="B87" s="37" t="inlineStr">
        <x:is>
          <x:t xml:space="preserve">Chưa chạy</x:t>
        </x:is>
      </x:c>
      <x:c r="C87" s="37" t="n"/>
      <x:c r="D87" s="84" t="n"/>
      <x:c r="E87" s="84" t="n"/>
      <x:c r="F87" s="85" t="str">
        <x:f>IF(OR(D87="",E87=""),"",24*(E87-D87))</x:f>
      </x:c>
      <x:c r="G87" s="86" t="n"/>
      <x:c r="H87" s="86" t="n"/>
      <x:c r="I87" s="86" t="n"/>
      <x:c r="J87" s="86" t="n"/>
      <x:c r="K87" s="86" t="n"/>
      <x:c r="L87" s="86" t="n"/>
      <x:c r="M87" s="86" t="n"/>
      <x:c r="N87" s="86" t="n"/>
      <x:c r="O87" s="86" t="n">
        <x:v>5</x:v>
      </x:c>
      <x:c r="P87" s="37" t="inlineStr">
        <x:is>
          <x:t xml:space="preserve">vps</x:t>
        </x:is>
      </x:c>
      <x:c r="Q87" s="37" t="n"/>
    </x:row>
    <x:row r="88">
      <x:c r="A88" s="76" t="n">
        <x:v>46342</x:v>
      </x:c>
      <x:c r="B88" s="36" t="inlineStr">
        <x:is>
          <x:t xml:space="preserve">Chưa chạy</x:t>
        </x:is>
      </x:c>
      <x:c r="C88" s="36" t="n"/>
      <x:c r="D88" s="81" t="n"/>
      <x:c r="E88" s="81" t="n"/>
      <x:c r="F88" s="82" t="str">
        <x:f>IF(OR(D88="",E88=""),"",24*(E88-D88))</x:f>
      </x:c>
      <x:c r="G88" s="83" t="n"/>
      <x:c r="H88" s="83" t="n"/>
      <x:c r="I88" s="83" t="n"/>
      <x:c r="J88" s="83" t="n"/>
      <x:c r="K88" s="83" t="n"/>
      <x:c r="L88" s="83" t="n"/>
      <x:c r="M88" s="83" t="n"/>
      <x:c r="N88" s="83" t="n"/>
      <x:c r="O88" s="83" t="n">
        <x:v>5</x:v>
      </x:c>
      <x:c r="P88" s="36" t="inlineStr">
        <x:is>
          <x:t xml:space="preserve">vps</x:t>
        </x:is>
      </x:c>
      <x:c r="Q88" s="36" t="n"/>
    </x:row>
    <x:row r="89">
      <x:c r="A89" s="79" t="n">
        <x:v>46343</x:v>
      </x:c>
      <x:c r="B89" s="37" t="inlineStr">
        <x:is>
          <x:t xml:space="preserve">Chưa chạy</x:t>
        </x:is>
      </x:c>
      <x:c r="C89" s="37" t="n"/>
      <x:c r="D89" s="84" t="n"/>
      <x:c r="E89" s="84" t="n"/>
      <x:c r="F89" s="85" t="str">
        <x:f>IF(OR(D89="",E89=""),"",24*(E89-D89))</x:f>
      </x:c>
      <x:c r="G89" s="86" t="n"/>
      <x:c r="H89" s="86" t="n"/>
      <x:c r="I89" s="86" t="n"/>
      <x:c r="J89" s="86" t="n"/>
      <x:c r="K89" s="86" t="n"/>
      <x:c r="L89" s="86" t="n"/>
      <x:c r="M89" s="86" t="n"/>
      <x:c r="N89" s="86" t="n"/>
      <x:c r="O89" s="86" t="n">
        <x:v>5</x:v>
      </x:c>
      <x:c r="P89" s="37" t="inlineStr">
        <x:is>
          <x:t xml:space="preserve">vps</x:t>
        </x:is>
      </x:c>
      <x:c r="Q89" s="37" t="n"/>
    </x:row>
    <x:row r="90">
      <x:c r="A90" s="76" t="n">
        <x:v>46344</x:v>
      </x:c>
      <x:c r="B90" s="36" t="inlineStr">
        <x:is>
          <x:t xml:space="preserve">Chưa chạy</x:t>
        </x:is>
      </x:c>
      <x:c r="C90" s="36" t="n"/>
      <x:c r="D90" s="81" t="n"/>
      <x:c r="E90" s="81" t="n"/>
      <x:c r="F90" s="82" t="str">
        <x:f>IF(OR(D90="",E90=""),"",24*(E90-D90))</x:f>
      </x:c>
      <x:c r="G90" s="83" t="n"/>
      <x:c r="H90" s="83" t="n"/>
      <x:c r="I90" s="83" t="n"/>
      <x:c r="J90" s="83" t="n"/>
      <x:c r="K90" s="83" t="n"/>
      <x:c r="L90" s="83" t="n"/>
      <x:c r="M90" s="83" t="n"/>
      <x:c r="N90" s="83" t="n"/>
      <x:c r="O90" s="83" t="n">
        <x:v>5</x:v>
      </x:c>
      <x:c r="P90" s="36" t="inlineStr">
        <x:is>
          <x:t xml:space="preserve">vps</x:t>
        </x:is>
      </x:c>
      <x:c r="Q90" s="36" t="n"/>
    </x:row>
    <x:row r="91">
      <x:c r="A91" s="79" t="n">
        <x:v>46345</x:v>
      </x:c>
      <x:c r="B91" s="37" t="inlineStr">
        <x:is>
          <x:t xml:space="preserve">Chưa chạy</x:t>
        </x:is>
      </x:c>
      <x:c r="C91" s="37" t="n"/>
      <x:c r="D91" s="84" t="n"/>
      <x:c r="E91" s="84" t="n"/>
      <x:c r="F91" s="85" t="str">
        <x:f>IF(OR(D91="",E91=""),"",24*(E91-D91))</x:f>
      </x:c>
      <x:c r="G91" s="86" t="n"/>
      <x:c r="H91" s="86" t="n"/>
      <x:c r="I91" s="86" t="n"/>
      <x:c r="J91" s="86" t="n"/>
      <x:c r="K91" s="86" t="n"/>
      <x:c r="L91" s="86" t="n"/>
      <x:c r="M91" s="86" t="n"/>
      <x:c r="N91" s="86" t="n"/>
      <x:c r="O91" s="86" t="n">
        <x:v>5</x:v>
      </x:c>
      <x:c r="P91" s="37" t="inlineStr">
        <x:is>
          <x:t xml:space="preserve">vps</x:t>
        </x:is>
      </x:c>
      <x:c r="Q91" s="37" t="n"/>
    </x:row>
    <x:row r="92">
      <x:c r="A92" s="76" t="n">
        <x:v>46346</x:v>
      </x:c>
      <x:c r="B92" s="36" t="inlineStr">
        <x:is>
          <x:t xml:space="preserve">Chưa chạy</x:t>
        </x:is>
      </x:c>
      <x:c r="C92" s="36" t="n"/>
      <x:c r="D92" s="81" t="n"/>
      <x:c r="E92" s="81" t="n"/>
      <x:c r="F92" s="82" t="str">
        <x:f>IF(OR(D92="",E92=""),"",24*(E92-D92))</x:f>
      </x:c>
      <x:c r="G92" s="83" t="n"/>
      <x:c r="H92" s="83" t="n"/>
      <x:c r="I92" s="83" t="n"/>
      <x:c r="J92" s="83" t="n"/>
      <x:c r="K92" s="83" t="n"/>
      <x:c r="L92" s="83" t="n"/>
      <x:c r="M92" s="83" t="n"/>
      <x:c r="N92" s="83" t="n"/>
      <x:c r="O92" s="83" t="n">
        <x:v>5</x:v>
      </x:c>
      <x:c r="P92" s="36" t="inlineStr">
        <x:is>
          <x:t xml:space="preserve">vps</x:t>
        </x:is>
      </x:c>
      <x:c r="Q92" s="36" t="n"/>
    </x:row>
    <x:row r="93">
      <x:c r="A93" s="79" t="n">
        <x:v>46347</x:v>
      </x:c>
      <x:c r="B93" s="37" t="inlineStr">
        <x:is>
          <x:t xml:space="preserve">Chưa chạy</x:t>
        </x:is>
      </x:c>
      <x:c r="C93" s="37" t="n"/>
      <x:c r="D93" s="84" t="n"/>
      <x:c r="E93" s="84" t="n"/>
      <x:c r="F93" s="85" t="str">
        <x:f>IF(OR(D93="",E93=""),"",24*(E93-D93))</x:f>
      </x:c>
      <x:c r="G93" s="86" t="n"/>
      <x:c r="H93" s="86" t="n"/>
      <x:c r="I93" s="86" t="n"/>
      <x:c r="J93" s="86" t="n"/>
      <x:c r="K93" s="86" t="n"/>
      <x:c r="L93" s="86" t="n"/>
      <x:c r="M93" s="86" t="n"/>
      <x:c r="N93" s="86" t="n"/>
      <x:c r="O93" s="86" t="n">
        <x:v>5</x:v>
      </x:c>
      <x:c r="P93" s="37" t="inlineStr">
        <x:is>
          <x:t xml:space="preserve">vps</x:t>
        </x:is>
      </x:c>
      <x:c r="Q93" s="37" t="n"/>
    </x:row>
    <x:row r="94">
      <x:c r="A94" s="76" t="n">
        <x:v>46348</x:v>
      </x:c>
      <x:c r="B94" s="36" t="inlineStr">
        <x:is>
          <x:t xml:space="preserve">Chưa chạy</x:t>
        </x:is>
      </x:c>
      <x:c r="C94" s="36" t="n"/>
      <x:c r="D94" s="81" t="n"/>
      <x:c r="E94" s="81" t="n"/>
      <x:c r="F94" s="82" t="str">
        <x:f>IF(OR(D94="",E94=""),"",24*(E94-D94))</x:f>
      </x:c>
      <x:c r="G94" s="83" t="n"/>
      <x:c r="H94" s="83" t="n"/>
      <x:c r="I94" s="83" t="n"/>
      <x:c r="J94" s="83" t="n"/>
      <x:c r="K94" s="83" t="n"/>
      <x:c r="L94" s="83" t="n"/>
      <x:c r="M94" s="83" t="n"/>
      <x:c r="N94" s="83" t="n"/>
      <x:c r="O94" s="83" t="n">
        <x:v>5</x:v>
      </x:c>
      <x:c r="P94" s="36" t="inlineStr">
        <x:is>
          <x:t xml:space="preserve">vps</x:t>
        </x:is>
      </x:c>
      <x:c r="Q94" s="36" t="n"/>
    </x:row>
    <x:row r="95">
      <x:c r="A95" s="79" t="n">
        <x:v>46349</x:v>
      </x:c>
      <x:c r="B95" s="37" t="inlineStr">
        <x:is>
          <x:t xml:space="preserve">Chưa chạy</x:t>
        </x:is>
      </x:c>
      <x:c r="C95" s="37" t="n"/>
      <x:c r="D95" s="84" t="n"/>
      <x:c r="E95" s="84" t="n"/>
      <x:c r="F95" s="85" t="str">
        <x:f>IF(OR(D95="",E95=""),"",24*(E95-D95))</x:f>
      </x:c>
      <x:c r="G95" s="86" t="n"/>
      <x:c r="H95" s="86" t="n"/>
      <x:c r="I95" s="86" t="n"/>
      <x:c r="J95" s="86" t="n"/>
      <x:c r="K95" s="86" t="n"/>
      <x:c r="L95" s="86" t="n"/>
      <x:c r="M95" s="86" t="n"/>
      <x:c r="N95" s="86" t="n"/>
      <x:c r="O95" s="86" t="n">
        <x:v>5</x:v>
      </x:c>
      <x:c r="P95" s="37" t="inlineStr">
        <x:is>
          <x:t xml:space="preserve">vps</x:t>
        </x:is>
      </x:c>
      <x:c r="Q95" s="37" t="n"/>
    </x:row>
    <x:row r="96">
      <x:c r="A96" s="76" t="n">
        <x:v>46350</x:v>
      </x:c>
      <x:c r="B96" s="36" t="inlineStr">
        <x:is>
          <x:t xml:space="preserve">Chưa chạy</x:t>
        </x:is>
      </x:c>
      <x:c r="C96" s="36" t="n"/>
      <x:c r="D96" s="81" t="n"/>
      <x:c r="E96" s="81" t="n"/>
      <x:c r="F96" s="82" t="str">
        <x:f>IF(OR(D96="",E96=""),"",24*(E96-D96))</x:f>
      </x:c>
      <x:c r="G96" s="83" t="n"/>
      <x:c r="H96" s="83" t="n"/>
      <x:c r="I96" s="83" t="n"/>
      <x:c r="J96" s="83" t="n"/>
      <x:c r="K96" s="83" t="n"/>
      <x:c r="L96" s="83" t="n"/>
      <x:c r="M96" s="83" t="n"/>
      <x:c r="N96" s="83" t="n"/>
      <x:c r="O96" s="83" t="n">
        <x:v>5</x:v>
      </x:c>
      <x:c r="P96" s="36" t="inlineStr">
        <x:is>
          <x:t xml:space="preserve">vps</x:t>
        </x:is>
      </x:c>
      <x:c r="Q96" s="36" t="n"/>
    </x:row>
    <x:row r="97">
      <x:c r="A97" s="79" t="n">
        <x:v>46351</x:v>
      </x:c>
      <x:c r="B97" s="37" t="inlineStr">
        <x:is>
          <x:t xml:space="preserve">Chưa chạy</x:t>
        </x:is>
      </x:c>
      <x:c r="C97" s="37" t="n"/>
      <x:c r="D97" s="84" t="n"/>
      <x:c r="E97" s="84" t="n"/>
      <x:c r="F97" s="85" t="str">
        <x:f>IF(OR(D97="",E97=""),"",24*(E97-D97))</x:f>
      </x:c>
      <x:c r="G97" s="86" t="n"/>
      <x:c r="H97" s="86" t="n"/>
      <x:c r="I97" s="86" t="n"/>
      <x:c r="J97" s="86" t="n"/>
      <x:c r="K97" s="86" t="n"/>
      <x:c r="L97" s="86" t="n"/>
      <x:c r="M97" s="86" t="n"/>
      <x:c r="N97" s="86" t="n"/>
      <x:c r="O97" s="86" t="n">
        <x:v>5</x:v>
      </x:c>
      <x:c r="P97" s="37" t="inlineStr">
        <x:is>
          <x:t xml:space="preserve">vps</x:t>
        </x:is>
      </x:c>
      <x:c r="Q97" s="37" t="n"/>
    </x:row>
    <x:row r="98">
      <x:c r="A98" s="76" t="n">
        <x:v>46352</x:v>
      </x:c>
      <x:c r="B98" s="36" t="inlineStr">
        <x:is>
          <x:t xml:space="preserve">Chưa chạy</x:t>
        </x:is>
      </x:c>
      <x:c r="C98" s="36" t="n"/>
      <x:c r="D98" s="81" t="n"/>
      <x:c r="E98" s="81" t="n"/>
      <x:c r="F98" s="82" t="str">
        <x:f>IF(OR(D98="",E98=""),"",24*(E98-D98))</x:f>
      </x:c>
      <x:c r="G98" s="83" t="n"/>
      <x:c r="H98" s="83" t="n"/>
      <x:c r="I98" s="83" t="n"/>
      <x:c r="J98" s="83" t="n"/>
      <x:c r="K98" s="83" t="n"/>
      <x:c r="L98" s="83" t="n"/>
      <x:c r="M98" s="83" t="n"/>
      <x:c r="N98" s="83" t="n"/>
      <x:c r="O98" s="83" t="n">
        <x:v>5</x:v>
      </x:c>
      <x:c r="P98" s="36" t="inlineStr">
        <x:is>
          <x:t xml:space="preserve">vps</x:t>
        </x:is>
      </x:c>
      <x:c r="Q98" s="36" t="n"/>
    </x:row>
    <x:row r="99">
      <x:c r="A99" s="79" t="n">
        <x:v>46353</x:v>
      </x:c>
      <x:c r="B99" s="37" t="inlineStr">
        <x:is>
          <x:t xml:space="preserve">Chưa chạy</x:t>
        </x:is>
      </x:c>
      <x:c r="C99" s="37" t="n"/>
      <x:c r="D99" s="84" t="n"/>
      <x:c r="E99" s="84" t="n"/>
      <x:c r="F99" s="85" t="str">
        <x:f>IF(OR(D99="",E99=""),"",24*(E99-D99))</x:f>
      </x:c>
      <x:c r="G99" s="86" t="n"/>
      <x:c r="H99" s="86" t="n"/>
      <x:c r="I99" s="86" t="n"/>
      <x:c r="J99" s="86" t="n"/>
      <x:c r="K99" s="86" t="n"/>
      <x:c r="L99" s="86" t="n"/>
      <x:c r="M99" s="86" t="n"/>
      <x:c r="N99" s="86" t="n"/>
      <x:c r="O99" s="86" t="n">
        <x:v>5</x:v>
      </x:c>
      <x:c r="P99" s="37" t="inlineStr">
        <x:is>
          <x:t xml:space="preserve">vps</x:t>
        </x:is>
      </x:c>
      <x:c r="Q99" s="37" t="n"/>
    </x:row>
    <x:row r="100">
      <x:c r="A100" s="76" t="n">
        <x:v>46354</x:v>
      </x:c>
      <x:c r="B100" s="36" t="inlineStr">
        <x:is>
          <x:t xml:space="preserve">Chưa chạy</x:t>
        </x:is>
      </x:c>
      <x:c r="C100" s="36" t="n"/>
      <x:c r="D100" s="81" t="n"/>
      <x:c r="E100" s="81" t="n"/>
      <x:c r="F100" s="82" t="str">
        <x:f>IF(OR(D100="",E100=""),"",24*(E100-D100))</x:f>
      </x:c>
      <x:c r="G100" s="83" t="n"/>
      <x:c r="H100" s="83" t="n"/>
      <x:c r="I100" s="83" t="n"/>
      <x:c r="J100" s="83" t="n"/>
      <x:c r="K100" s="83" t="n"/>
      <x:c r="L100" s="83" t="n"/>
      <x:c r="M100" s="83" t="n"/>
      <x:c r="N100" s="83" t="n"/>
      <x:c r="O100" s="83" t="n">
        <x:v>5</x:v>
      </x:c>
      <x:c r="P100" s="36" t="inlineStr">
        <x:is>
          <x:t xml:space="preserve">vps</x:t>
        </x:is>
      </x:c>
      <x:c r="Q100" s="36" t="n"/>
    </x:row>
    <x:row r="101">
      <x:c r="A101" s="79" t="n">
        <x:v>46355</x:v>
      </x:c>
      <x:c r="B101" s="37" t="inlineStr">
        <x:is>
          <x:t xml:space="preserve">Chưa chạy</x:t>
        </x:is>
      </x:c>
      <x:c r="C101" s="37" t="n"/>
      <x:c r="D101" s="84" t="n"/>
      <x:c r="E101" s="84" t="n"/>
      <x:c r="F101" s="85" t="str">
        <x:f>IF(OR(D101="",E101=""),"",24*(E101-D101))</x:f>
      </x:c>
      <x:c r="G101" s="86" t="n"/>
      <x:c r="H101" s="86" t="n"/>
      <x:c r="I101" s="86" t="n"/>
      <x:c r="J101" s="86" t="n"/>
      <x:c r="K101" s="86" t="n"/>
      <x:c r="L101" s="86" t="n"/>
      <x:c r="M101" s="86" t="n"/>
      <x:c r="N101" s="86" t="n"/>
      <x:c r="O101" s="86" t="n">
        <x:v>5</x:v>
      </x:c>
      <x:c r="P101" s="37" t="inlineStr">
        <x:is>
          <x:t xml:space="preserve">vps</x:t>
        </x:is>
      </x:c>
      <x:c r="Q101" s="37" t="n"/>
    </x:row>
    <x:row r="102">
      <x:c r="A102" s="76" t="n">
        <x:v>46356</x:v>
      </x:c>
      <x:c r="B102" s="36" t="inlineStr">
        <x:is>
          <x:t xml:space="preserve">Chưa chạy</x:t>
        </x:is>
      </x:c>
      <x:c r="C102" s="36" t="n"/>
      <x:c r="D102" s="81" t="n"/>
      <x:c r="E102" s="81" t="n"/>
      <x:c r="F102" s="82" t="str">
        <x:f>IF(OR(D102="",E102=""),"",24*(E102-D102))</x:f>
      </x:c>
      <x:c r="G102" s="83" t="n"/>
      <x:c r="H102" s="83" t="n"/>
      <x:c r="I102" s="83" t="n"/>
      <x:c r="J102" s="83" t="n"/>
      <x:c r="K102" s="83" t="n"/>
      <x:c r="L102" s="83" t="n"/>
      <x:c r="M102" s="83" t="n"/>
      <x:c r="N102" s="83" t="n"/>
      <x:c r="O102" s="83" t="n">
        <x:v>5</x:v>
      </x:c>
      <x:c r="P102" s="36" t="inlineStr">
        <x:is>
          <x:t xml:space="preserve">vps</x:t>
        </x:is>
      </x:c>
      <x:c r="Q102" s="36" t="n"/>
    </x:row>
  </x:sheetData>
  <x:mergeCells>
    <x:mergeCell ref="A2:Q2"/>
    <x:mergeCell ref="A1:Q1"/>
  </x:mergeCells>
  <x:conditionalFormatting sqref="B4:B102">
    <x:cfRule type="containsText" dxfId="0" priority="1" operator="containsText" text="Hoàn thành"/>
    <x:cfRule type="containsText" dxfId="2" priority="2" operator="containsText" text="Thất bại"/>
    <x:cfRule type="containsText" dxfId="1" priority="3" operator="containsText" text="Đang chạy"/>
  </x:conditionalFormatting>
  <x:dataValidations count="1">
    <x:dataValidation type="list" allowBlank="0" showDropDown="0" showInputMessage="0" showErrorMessage="0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a68b3337454f9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12" customWidth="1"/>
    <x:col min="4" max="4" width="13" customWidth="1"/>
    <x:col min="5" max="5" width="13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27" customWidth="1"/>
  </x:cols>
  <x:sheetData>
    <x:row r="1" ht="28" customHeight="1">
      <x:c r="A1" s="4" t="inlineStr">
        <x:is>
          <x:t xml:space="preserve">LOCAL REFERENCE — 12 CHECK-IN DÙNG ĐỂ LOẠI TRÙNG</x:t>
        </x:is>
      </x:c>
    </x:row>
    <x:row r="2">
      <x:c r="A2" s="35" t="inlineStr">
        <x:is>
          <x:t xml:space="preserve">Nguồn: D:/MSE/CAPSTONE/outputs/crawl-data-planner-20260816/crawl_sampling_master.xlsx. Đây là snapshot lịch local tại thời điểm tạo workbook VPS; cập nhật lại file VPS nếu lịch local thay đổi.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Thứ</x:t>
        </x:is>
      </x:c>
      <x:c r="C3" s="10" t="inlineStr">
        <x:is>
          <x:t xml:space="preserve">Start time</x:t>
        </x:is>
      </x:c>
      <x:c r="D3" s="10" t="inlineStr">
        <x:is>
          <x:t xml:space="preserve">N1</x:t>
        </x:is>
      </x:c>
      <x:c r="E3" s="10" t="inlineStr">
        <x:is>
          <x:t xml:space="preserve">N2</x:t>
        </x:is>
      </x:c>
      <x:c r="F3" s="10" t="inlineStr">
        <x:is>
          <x:t xml:space="preserve">N3</x:t>
        </x:is>
      </x:c>
      <x:c r="G3" s="10" t="inlineStr">
        <x:is>
          <x:t xml:space="preserve">N4</x:t>
        </x:is>
      </x:c>
      <x:c r="H3" s="10" t="inlineStr">
        <x:is>
          <x:t xml:space="preserve">N5</x:t>
        </x:is>
      </x:c>
      <x:c r="I3" s="10" t="inlineStr">
        <x:is>
          <x:t xml:space="preserve">N6</x:t>
        </x:is>
      </x:c>
      <x:c r="J3" s="10" t="inlineStr">
        <x:is>
          <x:t xml:space="preserve">N7</x:t>
        </x:is>
      </x:c>
      <x:c r="K3" s="10" t="inlineStr">
        <x:is>
          <x:t xml:space="preserve">N8</x:t>
        </x:is>
      </x:c>
      <x:c r="L3" s="10" t="inlineStr">
        <x:is>
          <x:t xml:space="preserve">N9</x:t>
        </x:is>
      </x:c>
      <x:c r="M3" s="10" t="inlineStr">
        <x:is>
          <x:t xml:space="preserve">F1</x:t>
        </x:is>
      </x:c>
      <x:c r="N3" s="10" t="inlineStr">
        <x:is>
          <x:t xml:space="preserve">F2</x:t>
        </x:is>
      </x:c>
      <x:c r="O3" s="10" t="inlineStr">
        <x:is>
          <x:t xml:space="preserve">F3</x:t>
        </x:is>
      </x:c>
      <x:c r="P3" s="10" t="inlineStr">
        <x:is>
          <x:t xml:space="preserve">Source file</x:t>
        </x:is>
      </x:c>
    </x:row>
    <x:row r="4">
      <x:c r="A4" s="76" t="n">
        <x:v>46258</x:v>
      </x:c>
      <x:c r="B4" s="36" t="inlineStr">
        <x:is>
          <x:t xml:space="preserve">Thứ Hai</x:t>
        </x:is>
      </x:c>
      <x:c r="C4" s="36" t="inlineStr">
        <x:is>
          <x:t xml:space="preserve">00:30</x:t>
        </x:is>
      </x:c>
      <x:c r="D4" s="76" t="n">
        <x:v>46282</x:v>
      </x:c>
      <x:c r="E4" s="76" t="n">
        <x:v>46284</x:v>
      </x:c>
      <x:c r="F4" s="76" t="n">
        <x:v>46259</x:v>
      </x:c>
      <x:c r="G4" s="76" t="n">
        <x:v>46263</x:v>
      </x:c>
      <x:c r="H4" s="76" t="n">
        <x:v>46267</x:v>
      </x:c>
      <x:c r="I4" s="76" t="n">
        <x:v>46271</x:v>
      </x:c>
      <x:c r="J4" s="76" t="n">
        <x:v>46274</x:v>
      </x:c>
      <x:c r="K4" s="76" t="n">
        <x:v>46277</x:v>
      </x:c>
      <x:c r="L4" s="76" t="n">
        <x:v>46279</x:v>
      </x:c>
      <x:c r="M4" s="76" t="n">
        <x:v>46306</x:v>
      </x:c>
      <x:c r="N4" s="76" t="n">
        <x:v>46344</x:v>
      </x:c>
      <x:c r="O4" s="76" t="n">
        <x:v>46388</x:v>
      </x:c>
      <x:c r="P4" s="36" t="inlineStr">
        <x:is>
          <x:t xml:space="preserve">crawl_sampling_master.xlsx</x:t>
        </x:is>
      </x:c>
    </x:row>
    <x:row r="5">
      <x:c r="A5" s="79" t="n">
        <x:v>46259</x:v>
      </x:c>
      <x:c r="B5" s="37" t="inlineStr">
        <x:is>
          <x:t xml:space="preserve">Thứ Ba</x:t>
        </x:is>
      </x:c>
      <x:c r="C5" s="37" t="inlineStr">
        <x:is>
          <x:t xml:space="preserve">00:30</x:t>
        </x:is>
      </x:c>
      <x:c r="D5" s="79" t="n">
        <x:v>46282</x:v>
      </x:c>
      <x:c r="E5" s="79" t="n">
        <x:v>46284</x:v>
      </x:c>
      <x:c r="F5" s="79" t="n">
        <x:v>46259</x:v>
      </x:c>
      <x:c r="G5" s="79" t="n">
        <x:v>46263</x:v>
      </x:c>
      <x:c r="H5" s="79" t="n">
        <x:v>46267</x:v>
      </x:c>
      <x:c r="I5" s="79" t="n">
        <x:v>46271</x:v>
      </x:c>
      <x:c r="J5" s="79" t="n">
        <x:v>46274</x:v>
      </x:c>
      <x:c r="K5" s="79" t="n">
        <x:v>46277</x:v>
      </x:c>
      <x:c r="L5" s="79" t="n">
        <x:v>46279</x:v>
      </x:c>
      <x:c r="M5" s="79" t="n">
        <x:v>46306</x:v>
      </x:c>
      <x:c r="N5" s="79" t="n">
        <x:v>46344</x:v>
      </x:c>
      <x:c r="O5" s="79" t="n">
        <x:v>46388</x:v>
      </x:c>
      <x:c r="P5" s="37" t="inlineStr">
        <x:is>
          <x:t xml:space="preserve">crawl_sampling_master.xlsx</x:t>
        </x:is>
      </x:c>
    </x:row>
    <x:row r="6">
      <x:c r="A6" s="76" t="n">
        <x:v>46260</x:v>
      </x:c>
      <x:c r="B6" s="36" t="inlineStr">
        <x:is>
          <x:t xml:space="preserve">Thứ Tư</x:t>
        </x:is>
      </x:c>
      <x:c r="C6" s="36" t="inlineStr">
        <x:is>
          <x:t xml:space="preserve">00:30</x:t>
        </x:is>
      </x:c>
      <x:c r="D6" s="76" t="n">
        <x:v>46282</x:v>
      </x:c>
      <x:c r="E6" s="76" t="n">
        <x:v>46284</x:v>
      </x:c>
      <x:c r="F6" s="76" t="n">
        <x:v>46287</x:v>
      </x:c>
      <x:c r="G6" s="76" t="n">
        <x:v>46263</x:v>
      </x:c>
      <x:c r="H6" s="76" t="n">
        <x:v>46267</x:v>
      </x:c>
      <x:c r="I6" s="76" t="n">
        <x:v>46271</x:v>
      </x:c>
      <x:c r="J6" s="76" t="n">
        <x:v>46274</x:v>
      </x:c>
      <x:c r="K6" s="76" t="n">
        <x:v>46277</x:v>
      </x:c>
      <x:c r="L6" s="76" t="n">
        <x:v>46279</x:v>
      </x:c>
      <x:c r="M6" s="76" t="n">
        <x:v>46306</x:v>
      </x:c>
      <x:c r="N6" s="76" t="n">
        <x:v>46344</x:v>
      </x:c>
      <x:c r="O6" s="76" t="n">
        <x:v>46388</x:v>
      </x:c>
      <x:c r="P6" s="36" t="inlineStr">
        <x:is>
          <x:t xml:space="preserve">crawl_sampling_master.xlsx</x:t>
        </x:is>
      </x:c>
    </x:row>
    <x:row r="7">
      <x:c r="A7" s="79" t="n">
        <x:v>46261</x:v>
      </x:c>
      <x:c r="B7" s="37" t="inlineStr">
        <x:is>
          <x:t xml:space="preserve">Thứ Năm</x:t>
        </x:is>
      </x:c>
      <x:c r="C7" s="37" t="inlineStr">
        <x:is>
          <x:t xml:space="preserve">00:30</x:t>
        </x:is>
      </x:c>
      <x:c r="D7" s="79" t="n">
        <x:v>46282</x:v>
      </x:c>
      <x:c r="E7" s="79" t="n">
        <x:v>46284</x:v>
      </x:c>
      <x:c r="F7" s="79" t="n">
        <x:v>46287</x:v>
      </x:c>
      <x:c r="G7" s="79" t="n">
        <x:v>46263</x:v>
      </x:c>
      <x:c r="H7" s="79" t="n">
        <x:v>46267</x:v>
      </x:c>
      <x:c r="I7" s="79" t="n">
        <x:v>46271</x:v>
      </x:c>
      <x:c r="J7" s="79" t="n">
        <x:v>46274</x:v>
      </x:c>
      <x:c r="K7" s="79" t="n">
        <x:v>46277</x:v>
      </x:c>
      <x:c r="L7" s="79" t="n">
        <x:v>46279</x:v>
      </x:c>
      <x:c r="M7" s="79" t="n">
        <x:v>46306</x:v>
      </x:c>
      <x:c r="N7" s="79" t="n">
        <x:v>46344</x:v>
      </x:c>
      <x:c r="O7" s="79" t="n">
        <x:v>46388</x:v>
      </x:c>
      <x:c r="P7" s="37" t="inlineStr">
        <x:is>
          <x:t xml:space="preserve">crawl_sampling_master.xlsx</x:t>
        </x:is>
      </x:c>
    </x:row>
    <x:row r="8">
      <x:c r="A8" s="76" t="n">
        <x:v>46262</x:v>
      </x:c>
      <x:c r="B8" s="36" t="inlineStr">
        <x:is>
          <x:t xml:space="preserve">Thứ Sáu</x:t>
        </x:is>
      </x:c>
      <x:c r="C8" s="36" t="inlineStr">
        <x:is>
          <x:t xml:space="preserve">00:30</x:t>
        </x:is>
      </x:c>
      <x:c r="D8" s="76" t="n">
        <x:v>46282</x:v>
      </x:c>
      <x:c r="E8" s="76" t="n">
        <x:v>46284</x:v>
      </x:c>
      <x:c r="F8" s="76" t="n">
        <x:v>46287</x:v>
      </x:c>
      <x:c r="G8" s="76" t="n">
        <x:v>46263</x:v>
      </x:c>
      <x:c r="H8" s="76" t="n">
        <x:v>46267</x:v>
      </x:c>
      <x:c r="I8" s="76" t="n">
        <x:v>46271</x:v>
      </x:c>
      <x:c r="J8" s="76" t="n">
        <x:v>46274</x:v>
      </x:c>
      <x:c r="K8" s="76" t="n">
        <x:v>46277</x:v>
      </x:c>
      <x:c r="L8" s="76" t="n">
        <x:v>46279</x:v>
      </x:c>
      <x:c r="M8" s="76" t="n">
        <x:v>46306</x:v>
      </x:c>
      <x:c r="N8" s="76" t="n">
        <x:v>46344</x:v>
      </x:c>
      <x:c r="O8" s="76" t="n">
        <x:v>46388</x:v>
      </x:c>
      <x:c r="P8" s="36" t="inlineStr">
        <x:is>
          <x:t xml:space="preserve">crawl_sampling_master.xlsx</x:t>
        </x:is>
      </x:c>
    </x:row>
    <x:row r="9">
      <x:c r="A9" s="79" t="n">
        <x:v>46263</x:v>
      </x:c>
      <x:c r="B9" s="37" t="inlineStr">
        <x:is>
          <x:t xml:space="preserve">Thứ Bảy</x:t>
        </x:is>
      </x:c>
      <x:c r="C9" s="37" t="inlineStr">
        <x:is>
          <x:t xml:space="preserve">00:30</x:t>
        </x:is>
      </x:c>
      <x:c r="D9" s="79" t="n">
        <x:v>46282</x:v>
      </x:c>
      <x:c r="E9" s="79" t="n">
        <x:v>46284</x:v>
      </x:c>
      <x:c r="F9" s="79" t="n">
        <x:v>46287</x:v>
      </x:c>
      <x:c r="G9" s="79" t="n">
        <x:v>46263</x:v>
      </x:c>
      <x:c r="H9" s="79" t="n">
        <x:v>46267</x:v>
      </x:c>
      <x:c r="I9" s="79" t="n">
        <x:v>46271</x:v>
      </x:c>
      <x:c r="J9" s="79" t="n">
        <x:v>46274</x:v>
      </x:c>
      <x:c r="K9" s="79" t="n">
        <x:v>46277</x:v>
      </x:c>
      <x:c r="L9" s="79" t="n">
        <x:v>46279</x:v>
      </x:c>
      <x:c r="M9" s="79" t="n">
        <x:v>46306</x:v>
      </x:c>
      <x:c r="N9" s="79" t="n">
        <x:v>46344</x:v>
      </x:c>
      <x:c r="O9" s="79" t="n">
        <x:v>46388</x:v>
      </x:c>
      <x:c r="P9" s="37" t="inlineStr">
        <x:is>
          <x:t xml:space="preserve">crawl_sampling_master.xlsx</x:t>
        </x:is>
      </x:c>
    </x:row>
    <x:row r="10">
      <x:c r="A10" s="76" t="n">
        <x:v>46264</x:v>
      </x:c>
      <x:c r="B10" s="36" t="inlineStr">
        <x:is>
          <x:t xml:space="preserve">Chủ Nhật</x:t>
        </x:is>
      </x:c>
      <x:c r="C10" s="36" t="inlineStr">
        <x:is>
          <x:t xml:space="preserve">00:30</x:t>
        </x:is>
      </x:c>
      <x:c r="D10" s="76" t="n">
        <x:v>46282</x:v>
      </x:c>
      <x:c r="E10" s="76" t="n">
        <x:v>46284</x:v>
      </x:c>
      <x:c r="F10" s="76" t="n">
        <x:v>46287</x:v>
      </x:c>
      <x:c r="G10" s="76" t="n">
        <x:v>46291</x:v>
      </x:c>
      <x:c r="H10" s="76" t="n">
        <x:v>46267</x:v>
      </x:c>
      <x:c r="I10" s="76" t="n">
        <x:v>46271</x:v>
      </x:c>
      <x:c r="J10" s="76" t="n">
        <x:v>46274</x:v>
      </x:c>
      <x:c r="K10" s="76" t="n">
        <x:v>46277</x:v>
      </x:c>
      <x:c r="L10" s="76" t="n">
        <x:v>46279</x:v>
      </x:c>
      <x:c r="M10" s="76" t="n">
        <x:v>46306</x:v>
      </x:c>
      <x:c r="N10" s="76" t="n">
        <x:v>46344</x:v>
      </x:c>
      <x:c r="O10" s="76" t="n">
        <x:v>46388</x:v>
      </x:c>
      <x:c r="P10" s="36" t="inlineStr">
        <x:is>
          <x:t xml:space="preserve">crawl_sampling_master.xlsx</x:t>
        </x:is>
      </x:c>
    </x:row>
    <x:row r="11">
      <x:c r="A11" s="79" t="n">
        <x:v>46265</x:v>
      </x:c>
      <x:c r="B11" s="37" t="inlineStr">
        <x:is>
          <x:t xml:space="preserve">Thứ Hai</x:t>
        </x:is>
      </x:c>
      <x:c r="C11" s="37" t="inlineStr">
        <x:is>
          <x:t xml:space="preserve">00:30</x:t>
        </x:is>
      </x:c>
      <x:c r="D11" s="79" t="n">
        <x:v>46282</x:v>
      </x:c>
      <x:c r="E11" s="79" t="n">
        <x:v>46284</x:v>
      </x:c>
      <x:c r="F11" s="79" t="n">
        <x:v>46287</x:v>
      </x:c>
      <x:c r="G11" s="79" t="n">
        <x:v>46291</x:v>
      </x:c>
      <x:c r="H11" s="79" t="n">
        <x:v>46267</x:v>
      </x:c>
      <x:c r="I11" s="79" t="n">
        <x:v>46271</x:v>
      </x:c>
      <x:c r="J11" s="79" t="n">
        <x:v>46274</x:v>
      </x:c>
      <x:c r="K11" s="79" t="n">
        <x:v>46277</x:v>
      </x:c>
      <x:c r="L11" s="79" t="n">
        <x:v>46279</x:v>
      </x:c>
      <x:c r="M11" s="79" t="n">
        <x:v>46306</x:v>
      </x:c>
      <x:c r="N11" s="79" t="n">
        <x:v>46344</x:v>
      </x:c>
      <x:c r="O11" s="79" t="n">
        <x:v>46388</x:v>
      </x:c>
      <x:c r="P11" s="37" t="inlineStr">
        <x:is>
          <x:t xml:space="preserve">crawl_sampling_master.xlsx</x:t>
        </x:is>
      </x:c>
    </x:row>
    <x:row r="12">
      <x:c r="A12" s="76" t="n">
        <x:v>46266</x:v>
      </x:c>
      <x:c r="B12" s="36" t="inlineStr">
        <x:is>
          <x:t xml:space="preserve">Thứ Ba</x:t>
        </x:is>
      </x:c>
      <x:c r="C12" s="36" t="inlineStr">
        <x:is>
          <x:t xml:space="preserve">00:30</x:t>
        </x:is>
      </x:c>
      <x:c r="D12" s="76" t="n">
        <x:v>46282</x:v>
      </x:c>
      <x:c r="E12" s="76" t="n">
        <x:v>46284</x:v>
      </x:c>
      <x:c r="F12" s="76" t="n">
        <x:v>46287</x:v>
      </x:c>
      <x:c r="G12" s="76" t="n">
        <x:v>46291</x:v>
      </x:c>
      <x:c r="H12" s="76" t="n">
        <x:v>46267</x:v>
      </x:c>
      <x:c r="I12" s="76" t="n">
        <x:v>46271</x:v>
      </x:c>
      <x:c r="J12" s="76" t="n">
        <x:v>46274</x:v>
      </x:c>
      <x:c r="K12" s="76" t="n">
        <x:v>46277</x:v>
      </x:c>
      <x:c r="L12" s="76" t="n">
        <x:v>46279</x:v>
      </x:c>
      <x:c r="M12" s="76" t="n">
        <x:v>46306</x:v>
      </x:c>
      <x:c r="N12" s="76" t="n">
        <x:v>46344</x:v>
      </x:c>
      <x:c r="O12" s="76" t="n">
        <x:v>46388</x:v>
      </x:c>
      <x:c r="P12" s="36" t="inlineStr">
        <x:is>
          <x:t xml:space="preserve">crawl_sampling_master.xlsx</x:t>
        </x:is>
      </x:c>
    </x:row>
    <x:row r="13">
      <x:c r="A13" s="79" t="n">
        <x:v>46267</x:v>
      </x:c>
      <x:c r="B13" s="37" t="inlineStr">
        <x:is>
          <x:t xml:space="preserve">Thứ Tư</x:t>
        </x:is>
      </x:c>
      <x:c r="C13" s="37" t="inlineStr">
        <x:is>
          <x:t xml:space="preserve">00:30</x:t>
        </x:is>
      </x:c>
      <x:c r="D13" s="79" t="n">
        <x:v>46282</x:v>
      </x:c>
      <x:c r="E13" s="79" t="n">
        <x:v>46284</x:v>
      </x:c>
      <x:c r="F13" s="79" t="n">
        <x:v>46287</x:v>
      </x:c>
      <x:c r="G13" s="79" t="n">
        <x:v>46291</x:v>
      </x:c>
      <x:c r="H13" s="79" t="n">
        <x:v>46267</x:v>
      </x:c>
      <x:c r="I13" s="79" t="n">
        <x:v>46271</x:v>
      </x:c>
      <x:c r="J13" s="79" t="n">
        <x:v>46274</x:v>
      </x:c>
      <x:c r="K13" s="79" t="n">
        <x:v>46277</x:v>
      </x:c>
      <x:c r="L13" s="79" t="n">
        <x:v>46279</x:v>
      </x:c>
      <x:c r="M13" s="79" t="n">
        <x:v>46306</x:v>
      </x:c>
      <x:c r="N13" s="79" t="n">
        <x:v>46344</x:v>
      </x:c>
      <x:c r="O13" s="79" t="n">
        <x:v>46388</x:v>
      </x:c>
      <x:c r="P13" s="37" t="inlineStr">
        <x:is>
          <x:t xml:space="preserve">crawl_sampling_master.xlsx</x:t>
        </x:is>
      </x:c>
    </x:row>
    <x:row r="14">
      <x:c r="A14" s="76" t="n">
        <x:v>46268</x:v>
      </x:c>
      <x:c r="B14" s="36" t="inlineStr">
        <x:is>
          <x:t xml:space="preserve">Thứ Năm</x:t>
        </x:is>
      </x:c>
      <x:c r="C14" s="36" t="inlineStr">
        <x:is>
          <x:t xml:space="preserve">00:30</x:t>
        </x:is>
      </x:c>
      <x:c r="D14" s="76" t="n">
        <x:v>46282</x:v>
      </x:c>
      <x:c r="E14" s="76" t="n">
        <x:v>46284</x:v>
      </x:c>
      <x:c r="F14" s="76" t="n">
        <x:v>46287</x:v>
      </x:c>
      <x:c r="G14" s="76" t="n">
        <x:v>46291</x:v>
      </x:c>
      <x:c r="H14" s="76" t="n">
        <x:v>46295</x:v>
      </x:c>
      <x:c r="I14" s="76" t="n">
        <x:v>46271</x:v>
      </x:c>
      <x:c r="J14" s="76" t="n">
        <x:v>46274</x:v>
      </x:c>
      <x:c r="K14" s="76" t="n">
        <x:v>46277</x:v>
      </x:c>
      <x:c r="L14" s="76" t="n">
        <x:v>46279</x:v>
      </x:c>
      <x:c r="M14" s="76" t="n">
        <x:v>46306</x:v>
      </x:c>
      <x:c r="N14" s="76" t="n">
        <x:v>46344</x:v>
      </x:c>
      <x:c r="O14" s="76" t="n">
        <x:v>46388</x:v>
      </x:c>
      <x:c r="P14" s="36" t="inlineStr">
        <x:is>
          <x:t xml:space="preserve">crawl_sampling_master.xlsx</x:t>
        </x:is>
      </x:c>
    </x:row>
    <x:row r="15">
      <x:c r="A15" s="79" t="n">
        <x:v>46269</x:v>
      </x:c>
      <x:c r="B15" s="37" t="inlineStr">
        <x:is>
          <x:t xml:space="preserve">Thứ Sáu</x:t>
        </x:is>
      </x:c>
      <x:c r="C15" s="37" t="inlineStr">
        <x:is>
          <x:t xml:space="preserve">00:30</x:t>
        </x:is>
      </x:c>
      <x:c r="D15" s="79" t="n">
        <x:v>46282</x:v>
      </x:c>
      <x:c r="E15" s="79" t="n">
        <x:v>46284</x:v>
      </x:c>
      <x:c r="F15" s="79" t="n">
        <x:v>46287</x:v>
      </x:c>
      <x:c r="G15" s="79" t="n">
        <x:v>46291</x:v>
      </x:c>
      <x:c r="H15" s="79" t="n">
        <x:v>46295</x:v>
      </x:c>
      <x:c r="I15" s="79" t="n">
        <x:v>46271</x:v>
      </x:c>
      <x:c r="J15" s="79" t="n">
        <x:v>46274</x:v>
      </x:c>
      <x:c r="K15" s="79" t="n">
        <x:v>46277</x:v>
      </x:c>
      <x:c r="L15" s="79" t="n">
        <x:v>46279</x:v>
      </x:c>
      <x:c r="M15" s="79" t="n">
        <x:v>46306</x:v>
      </x:c>
      <x:c r="N15" s="79" t="n">
        <x:v>46344</x:v>
      </x:c>
      <x:c r="O15" s="79" t="n">
        <x:v>46388</x:v>
      </x:c>
      <x:c r="P15" s="37" t="inlineStr">
        <x:is>
          <x:t xml:space="preserve">crawl_sampling_master.xlsx</x:t>
        </x:is>
      </x:c>
    </x:row>
    <x:row r="16">
      <x:c r="A16" s="76" t="n">
        <x:v>46270</x:v>
      </x:c>
      <x:c r="B16" s="36" t="inlineStr">
        <x:is>
          <x:t xml:space="preserve">Thứ Bảy</x:t>
        </x:is>
      </x:c>
      <x:c r="C16" s="36" t="inlineStr">
        <x:is>
          <x:t xml:space="preserve">00:30</x:t>
        </x:is>
      </x:c>
      <x:c r="D16" s="76" t="n">
        <x:v>46282</x:v>
      </x:c>
      <x:c r="E16" s="76" t="n">
        <x:v>46284</x:v>
      </x:c>
      <x:c r="F16" s="76" t="n">
        <x:v>46287</x:v>
      </x:c>
      <x:c r="G16" s="76" t="n">
        <x:v>46291</x:v>
      </x:c>
      <x:c r="H16" s="76" t="n">
        <x:v>46295</x:v>
      </x:c>
      <x:c r="I16" s="76" t="n">
        <x:v>46271</x:v>
      </x:c>
      <x:c r="J16" s="76" t="n">
        <x:v>46274</x:v>
      </x:c>
      <x:c r="K16" s="76" t="n">
        <x:v>46277</x:v>
      </x:c>
      <x:c r="L16" s="76" t="n">
        <x:v>46279</x:v>
      </x:c>
      <x:c r="M16" s="76" t="n">
        <x:v>46306</x:v>
      </x:c>
      <x:c r="N16" s="76" t="n">
        <x:v>46344</x:v>
      </x:c>
      <x:c r="O16" s="76" t="n">
        <x:v>46388</x:v>
      </x:c>
      <x:c r="P16" s="36" t="inlineStr">
        <x:is>
          <x:t xml:space="preserve">crawl_sampling_master.xlsx</x:t>
        </x:is>
      </x:c>
    </x:row>
    <x:row r="17">
      <x:c r="A17" s="79" t="n">
        <x:v>46271</x:v>
      </x:c>
      <x:c r="B17" s="37" t="inlineStr">
        <x:is>
          <x:t xml:space="preserve">Chủ Nhật</x:t>
        </x:is>
      </x:c>
      <x:c r="C17" s="37" t="inlineStr">
        <x:is>
          <x:t xml:space="preserve">00:30</x:t>
        </x:is>
      </x:c>
      <x:c r="D17" s="79" t="n">
        <x:v>46282</x:v>
      </x:c>
      <x:c r="E17" s="79" t="n">
        <x:v>46284</x:v>
      </x:c>
      <x:c r="F17" s="79" t="n">
        <x:v>46287</x:v>
      </x:c>
      <x:c r="G17" s="79" t="n">
        <x:v>46291</x:v>
      </x:c>
      <x:c r="H17" s="79" t="n">
        <x:v>46295</x:v>
      </x:c>
      <x:c r="I17" s="79" t="n">
        <x:v>46271</x:v>
      </x:c>
      <x:c r="J17" s="79" t="n">
        <x:v>46274</x:v>
      </x:c>
      <x:c r="K17" s="79" t="n">
        <x:v>46277</x:v>
      </x:c>
      <x:c r="L17" s="79" t="n">
        <x:v>46279</x:v>
      </x:c>
      <x:c r="M17" s="79" t="n">
        <x:v>46306</x:v>
      </x:c>
      <x:c r="N17" s="79" t="n">
        <x:v>46344</x:v>
      </x:c>
      <x:c r="O17" s="79" t="n">
        <x:v>46388</x:v>
      </x:c>
      <x:c r="P17" s="37" t="inlineStr">
        <x:is>
          <x:t xml:space="preserve">crawl_sampling_master.xlsx</x:t>
        </x:is>
      </x:c>
    </x:row>
    <x:row r="18">
      <x:c r="A18" s="76" t="n">
        <x:v>46272</x:v>
      </x:c>
      <x:c r="B18" s="36" t="inlineStr">
        <x:is>
          <x:t xml:space="preserve">Thứ Hai</x:t>
        </x:is>
      </x:c>
      <x:c r="C18" s="36" t="inlineStr">
        <x:is>
          <x:t xml:space="preserve">00:30</x:t>
        </x:is>
      </x:c>
      <x:c r="D18" s="76" t="n">
        <x:v>46282</x:v>
      </x:c>
      <x:c r="E18" s="76" t="n">
        <x:v>46284</x:v>
      </x:c>
      <x:c r="F18" s="76" t="n">
        <x:v>46287</x:v>
      </x:c>
      <x:c r="G18" s="76" t="n">
        <x:v>46291</x:v>
      </x:c>
      <x:c r="H18" s="76" t="n">
        <x:v>46295</x:v>
      </x:c>
      <x:c r="I18" s="76" t="n">
        <x:v>46299</x:v>
      </x:c>
      <x:c r="J18" s="76" t="n">
        <x:v>46274</x:v>
      </x:c>
      <x:c r="K18" s="76" t="n">
        <x:v>46277</x:v>
      </x:c>
      <x:c r="L18" s="76" t="n">
        <x:v>46279</x:v>
      </x:c>
      <x:c r="M18" s="76" t="n">
        <x:v>46306</x:v>
      </x:c>
      <x:c r="N18" s="76" t="n">
        <x:v>46344</x:v>
      </x:c>
      <x:c r="O18" s="76" t="n">
        <x:v>46388</x:v>
      </x:c>
      <x:c r="P18" s="36" t="inlineStr">
        <x:is>
          <x:t xml:space="preserve">crawl_sampling_master.xlsx</x:t>
        </x:is>
      </x:c>
    </x:row>
    <x:row r="19">
      <x:c r="A19" s="79" t="n">
        <x:v>46273</x:v>
      </x:c>
      <x:c r="B19" s="37" t="inlineStr">
        <x:is>
          <x:t xml:space="preserve">Thứ Ba</x:t>
        </x:is>
      </x:c>
      <x:c r="C19" s="37" t="inlineStr">
        <x:is>
          <x:t xml:space="preserve">00:30</x:t>
        </x:is>
      </x:c>
      <x:c r="D19" s="79" t="n">
        <x:v>46282</x:v>
      </x:c>
      <x:c r="E19" s="79" t="n">
        <x:v>46284</x:v>
      </x:c>
      <x:c r="F19" s="79" t="n">
        <x:v>46287</x:v>
      </x:c>
      <x:c r="G19" s="79" t="n">
        <x:v>46291</x:v>
      </x:c>
      <x:c r="H19" s="79" t="n">
        <x:v>46295</x:v>
      </x:c>
      <x:c r="I19" s="79" t="n">
        <x:v>46299</x:v>
      </x:c>
      <x:c r="J19" s="79" t="n">
        <x:v>46274</x:v>
      </x:c>
      <x:c r="K19" s="79" t="n">
        <x:v>46277</x:v>
      </x:c>
      <x:c r="L19" s="79" t="n">
        <x:v>46279</x:v>
      </x:c>
      <x:c r="M19" s="79" t="n">
        <x:v>46306</x:v>
      </x:c>
      <x:c r="N19" s="79" t="n">
        <x:v>46344</x:v>
      </x:c>
      <x:c r="O19" s="79" t="n">
        <x:v>46388</x:v>
      </x:c>
      <x:c r="P19" s="37" t="inlineStr">
        <x:is>
          <x:t xml:space="preserve">crawl_sampling_master.xlsx</x:t>
        </x:is>
      </x:c>
    </x:row>
    <x:row r="20">
      <x:c r="A20" s="76" t="n">
        <x:v>46274</x:v>
      </x:c>
      <x:c r="B20" s="36" t="inlineStr">
        <x:is>
          <x:t xml:space="preserve">Thứ Tư</x:t>
        </x:is>
      </x:c>
      <x:c r="C20" s="36" t="inlineStr">
        <x:is>
          <x:t xml:space="preserve">00:30</x:t>
        </x:is>
      </x:c>
      <x:c r="D20" s="76" t="n">
        <x:v>46282</x:v>
      </x:c>
      <x:c r="E20" s="76" t="n">
        <x:v>46284</x:v>
      </x:c>
      <x:c r="F20" s="76" t="n">
        <x:v>46287</x:v>
      </x:c>
      <x:c r="G20" s="76" t="n">
        <x:v>46291</x:v>
      </x:c>
      <x:c r="H20" s="76" t="n">
        <x:v>46295</x:v>
      </x:c>
      <x:c r="I20" s="76" t="n">
        <x:v>46299</x:v>
      </x:c>
      <x:c r="J20" s="76" t="n">
        <x:v>46274</x:v>
      </x:c>
      <x:c r="K20" s="76" t="n">
        <x:v>46277</x:v>
      </x:c>
      <x:c r="L20" s="76" t="n">
        <x:v>46279</x:v>
      </x:c>
      <x:c r="M20" s="76" t="n">
        <x:v>46306</x:v>
      </x:c>
      <x:c r="N20" s="76" t="n">
        <x:v>46344</x:v>
      </x:c>
      <x:c r="O20" s="76" t="n">
        <x:v>46388</x:v>
      </x:c>
      <x:c r="P20" s="36" t="inlineStr">
        <x:is>
          <x:t xml:space="preserve">crawl_sampling_master.xlsx</x:t>
        </x:is>
      </x:c>
    </x:row>
    <x:row r="21">
      <x:c r="A21" s="79" t="n">
        <x:v>46275</x:v>
      </x:c>
      <x:c r="B21" s="37" t="inlineStr">
        <x:is>
          <x:t xml:space="preserve">Thứ Năm</x:t>
        </x:is>
      </x:c>
      <x:c r="C21" s="37" t="inlineStr">
        <x:is>
          <x:t xml:space="preserve">00:30</x:t>
        </x:is>
      </x:c>
      <x:c r="D21" s="79" t="n">
        <x:v>46282</x:v>
      </x:c>
      <x:c r="E21" s="79" t="n">
        <x:v>46284</x:v>
      </x:c>
      <x:c r="F21" s="79" t="n">
        <x:v>46287</x:v>
      </x:c>
      <x:c r="G21" s="79" t="n">
        <x:v>46291</x:v>
      </x:c>
      <x:c r="H21" s="79" t="n">
        <x:v>46295</x:v>
      </x:c>
      <x:c r="I21" s="79" t="n">
        <x:v>46299</x:v>
      </x:c>
      <x:c r="J21" s="79" t="n">
        <x:v>46302</x:v>
      </x:c>
      <x:c r="K21" s="79" t="n">
        <x:v>46277</x:v>
      </x:c>
      <x:c r="L21" s="79" t="n">
        <x:v>46279</x:v>
      </x:c>
      <x:c r="M21" s="79" t="n">
        <x:v>46306</x:v>
      </x:c>
      <x:c r="N21" s="79" t="n">
        <x:v>46344</x:v>
      </x:c>
      <x:c r="O21" s="79" t="n">
        <x:v>46388</x:v>
      </x:c>
      <x:c r="P21" s="37" t="inlineStr">
        <x:is>
          <x:t xml:space="preserve">crawl_sampling_master.xlsx</x:t>
        </x:is>
      </x:c>
    </x:row>
    <x:row r="22">
      <x:c r="A22" s="76" t="n">
        <x:v>46276</x:v>
      </x:c>
      <x:c r="B22" s="36" t="inlineStr">
        <x:is>
          <x:t xml:space="preserve">Thứ Sáu</x:t>
        </x:is>
      </x:c>
      <x:c r="C22" s="36" t="inlineStr">
        <x:is>
          <x:t xml:space="preserve">00:30</x:t>
        </x:is>
      </x:c>
      <x:c r="D22" s="76" t="n">
        <x:v>46282</x:v>
      </x:c>
      <x:c r="E22" s="76" t="n">
        <x:v>46284</x:v>
      </x:c>
      <x:c r="F22" s="76" t="n">
        <x:v>46287</x:v>
      </x:c>
      <x:c r="G22" s="76" t="n">
        <x:v>46291</x:v>
      </x:c>
      <x:c r="H22" s="76" t="n">
        <x:v>46295</x:v>
      </x:c>
      <x:c r="I22" s="76" t="n">
        <x:v>46299</x:v>
      </x:c>
      <x:c r="J22" s="76" t="n">
        <x:v>46302</x:v>
      </x:c>
      <x:c r="K22" s="76" t="n">
        <x:v>46277</x:v>
      </x:c>
      <x:c r="L22" s="76" t="n">
        <x:v>46279</x:v>
      </x:c>
      <x:c r="M22" s="76" t="n">
        <x:v>46306</x:v>
      </x:c>
      <x:c r="N22" s="76" t="n">
        <x:v>46344</x:v>
      </x:c>
      <x:c r="O22" s="76" t="n">
        <x:v>46388</x:v>
      </x:c>
      <x:c r="P22" s="36" t="inlineStr">
        <x:is>
          <x:t xml:space="preserve">crawl_sampling_master.xlsx</x:t>
        </x:is>
      </x:c>
    </x:row>
    <x:row r="23">
      <x:c r="A23" s="79" t="n">
        <x:v>46277</x:v>
      </x:c>
      <x:c r="B23" s="37" t="inlineStr">
        <x:is>
          <x:t xml:space="preserve">Thứ Bảy</x:t>
        </x:is>
      </x:c>
      <x:c r="C23" s="37" t="inlineStr">
        <x:is>
          <x:t xml:space="preserve">00:30</x:t>
        </x:is>
      </x:c>
      <x:c r="D23" s="79" t="n">
        <x:v>46282</x:v>
      </x:c>
      <x:c r="E23" s="79" t="n">
        <x:v>46284</x:v>
      </x:c>
      <x:c r="F23" s="79" t="n">
        <x:v>46287</x:v>
      </x:c>
      <x:c r="G23" s="79" t="n">
        <x:v>46291</x:v>
      </x:c>
      <x:c r="H23" s="79" t="n">
        <x:v>46295</x:v>
      </x:c>
      <x:c r="I23" s="79" t="n">
        <x:v>46299</x:v>
      </x:c>
      <x:c r="J23" s="79" t="n">
        <x:v>46302</x:v>
      </x:c>
      <x:c r="K23" s="79" t="n">
        <x:v>46277</x:v>
      </x:c>
      <x:c r="L23" s="79" t="n">
        <x:v>46279</x:v>
      </x:c>
      <x:c r="M23" s="79" t="n">
        <x:v>46306</x:v>
      </x:c>
      <x:c r="N23" s="79" t="n">
        <x:v>46344</x:v>
      </x:c>
      <x:c r="O23" s="79" t="n">
        <x:v>46388</x:v>
      </x:c>
      <x:c r="P23" s="37" t="inlineStr">
        <x:is>
          <x:t xml:space="preserve">crawl_sampling_master.xlsx</x:t>
        </x:is>
      </x:c>
    </x:row>
    <x:row r="24">
      <x:c r="A24" s="76" t="n">
        <x:v>46278</x:v>
      </x:c>
      <x:c r="B24" s="36" t="inlineStr">
        <x:is>
          <x:t xml:space="preserve">Chủ Nhật</x:t>
        </x:is>
      </x:c>
      <x:c r="C24" s="36" t="inlineStr">
        <x:is>
          <x:t xml:space="preserve">00:30</x:t>
        </x:is>
      </x:c>
      <x:c r="D24" s="76" t="n">
        <x:v>46282</x:v>
      </x:c>
      <x:c r="E24" s="76" t="n">
        <x:v>46284</x:v>
      </x:c>
      <x:c r="F24" s="76" t="n">
        <x:v>46287</x:v>
      </x:c>
      <x:c r="G24" s="76" t="n">
        <x:v>46291</x:v>
      </x:c>
      <x:c r="H24" s="76" t="n">
        <x:v>46295</x:v>
      </x:c>
      <x:c r="I24" s="76" t="n">
        <x:v>46299</x:v>
      </x:c>
      <x:c r="J24" s="76" t="n">
        <x:v>46302</x:v>
      </x:c>
      <x:c r="K24" s="76" t="n">
        <x:v>46305</x:v>
      </x:c>
      <x:c r="L24" s="76" t="n">
        <x:v>46279</x:v>
      </x:c>
      <x:c r="M24" s="76" t="n">
        <x:v>46306</x:v>
      </x:c>
      <x:c r="N24" s="76" t="n">
        <x:v>46344</x:v>
      </x:c>
      <x:c r="O24" s="76" t="n">
        <x:v>46388</x:v>
      </x:c>
      <x:c r="P24" s="36" t="inlineStr">
        <x:is>
          <x:t xml:space="preserve">crawl_sampling_master.xlsx</x:t>
        </x:is>
      </x:c>
    </x:row>
    <x:row r="25">
      <x:c r="A25" s="79" t="n">
        <x:v>46279</x:v>
      </x:c>
      <x:c r="B25" s="37" t="inlineStr">
        <x:is>
          <x:t xml:space="preserve">Thứ Hai</x:t>
        </x:is>
      </x:c>
      <x:c r="C25" s="37" t="inlineStr">
        <x:is>
          <x:t xml:space="preserve">00:30</x:t>
        </x:is>
      </x:c>
      <x:c r="D25" s="79" t="n">
        <x:v>46282</x:v>
      </x:c>
      <x:c r="E25" s="79" t="n">
        <x:v>46284</x:v>
      </x:c>
      <x:c r="F25" s="79" t="n">
        <x:v>46287</x:v>
      </x:c>
      <x:c r="G25" s="79" t="n">
        <x:v>46291</x:v>
      </x:c>
      <x:c r="H25" s="79" t="n">
        <x:v>46295</x:v>
      </x:c>
      <x:c r="I25" s="79" t="n">
        <x:v>46299</x:v>
      </x:c>
      <x:c r="J25" s="79" t="n">
        <x:v>46302</x:v>
      </x:c>
      <x:c r="K25" s="79" t="n">
        <x:v>46305</x:v>
      </x:c>
      <x:c r="L25" s="79" t="n">
        <x:v>46279</x:v>
      </x:c>
      <x:c r="M25" s="79" t="n">
        <x:v>46306</x:v>
      </x:c>
      <x:c r="N25" s="79" t="n">
        <x:v>46344</x:v>
      </x:c>
      <x:c r="O25" s="79" t="n">
        <x:v>46388</x:v>
      </x:c>
      <x:c r="P25" s="37" t="inlineStr">
        <x:is>
          <x:t xml:space="preserve">crawl_sampling_master.xlsx</x:t>
        </x:is>
      </x:c>
    </x:row>
    <x:row r="26">
      <x:c r="A26" s="76" t="n">
        <x:v>46280</x:v>
      </x:c>
      <x:c r="B26" s="36" t="inlineStr">
        <x:is>
          <x:t xml:space="preserve">Thứ Ba</x:t>
        </x:is>
      </x:c>
      <x:c r="C26" s="36" t="inlineStr">
        <x:is>
          <x:t xml:space="preserve">00:30</x:t>
        </x:is>
      </x:c>
      <x:c r="D26" s="76" t="n">
        <x:v>46282</x:v>
      </x:c>
      <x:c r="E26" s="76" t="n">
        <x:v>46284</x:v>
      </x:c>
      <x:c r="F26" s="76" t="n">
        <x:v>46287</x:v>
      </x:c>
      <x:c r="G26" s="76" t="n">
        <x:v>46291</x:v>
      </x:c>
      <x:c r="H26" s="76" t="n">
        <x:v>46295</x:v>
      </x:c>
      <x:c r="I26" s="76" t="n">
        <x:v>46299</x:v>
      </x:c>
      <x:c r="J26" s="76" t="n">
        <x:v>46302</x:v>
      </x:c>
      <x:c r="K26" s="76" t="n">
        <x:v>46305</x:v>
      </x:c>
      <x:c r="L26" s="76" t="n">
        <x:v>46307</x:v>
      </x:c>
      <x:c r="M26" s="76" t="n">
        <x:v>46306</x:v>
      </x:c>
      <x:c r="N26" s="76" t="n">
        <x:v>46344</x:v>
      </x:c>
      <x:c r="O26" s="76" t="n">
        <x:v>46388</x:v>
      </x:c>
      <x:c r="P26" s="36" t="inlineStr">
        <x:is>
          <x:t xml:space="preserve">crawl_sampling_master.xlsx</x:t>
        </x:is>
      </x:c>
    </x:row>
    <x:row r="27">
      <x:c r="A27" s="79" t="n">
        <x:v>46281</x:v>
      </x:c>
      <x:c r="B27" s="37" t="inlineStr">
        <x:is>
          <x:t xml:space="preserve">Thứ Tư</x:t>
        </x:is>
      </x:c>
      <x:c r="C27" s="37" t="inlineStr">
        <x:is>
          <x:t xml:space="preserve">00:30</x:t>
        </x:is>
      </x:c>
      <x:c r="D27" s="79" t="n">
        <x:v>46282</x:v>
      </x:c>
      <x:c r="E27" s="79" t="n">
        <x:v>46284</x:v>
      </x:c>
      <x:c r="F27" s="79" t="n">
        <x:v>46287</x:v>
      </x:c>
      <x:c r="G27" s="79" t="n">
        <x:v>46291</x:v>
      </x:c>
      <x:c r="H27" s="79" t="n">
        <x:v>46295</x:v>
      </x:c>
      <x:c r="I27" s="79" t="n">
        <x:v>46299</x:v>
      </x:c>
      <x:c r="J27" s="79" t="n">
        <x:v>46302</x:v>
      </x:c>
      <x:c r="K27" s="79" t="n">
        <x:v>46305</x:v>
      </x:c>
      <x:c r="L27" s="79" t="n">
        <x:v>46307</x:v>
      </x:c>
      <x:c r="M27" s="79" t="n">
        <x:v>46306</x:v>
      </x:c>
      <x:c r="N27" s="79" t="n">
        <x:v>46344</x:v>
      </x:c>
      <x:c r="O27" s="79" t="n">
        <x:v>46388</x:v>
      </x:c>
      <x:c r="P27" s="37" t="inlineStr">
        <x:is>
          <x:t xml:space="preserve">crawl_sampling_master.xlsx</x:t>
        </x:is>
      </x:c>
    </x:row>
    <x:row r="28">
      <x:c r="A28" s="76" t="n">
        <x:v>46282</x:v>
      </x:c>
      <x:c r="B28" s="36" t="inlineStr">
        <x:is>
          <x:t xml:space="preserve">Thứ Năm</x:t>
        </x:is>
      </x:c>
      <x:c r="C28" s="36" t="inlineStr">
        <x:is>
          <x:t xml:space="preserve">00:30</x:t>
        </x:is>
      </x:c>
      <x:c r="D28" s="76" t="n">
        <x:v>46282</x:v>
      </x:c>
      <x:c r="E28" s="76" t="n">
        <x:v>46284</x:v>
      </x:c>
      <x:c r="F28" s="76" t="n">
        <x:v>46287</x:v>
      </x:c>
      <x:c r="G28" s="76" t="n">
        <x:v>46291</x:v>
      </x:c>
      <x:c r="H28" s="76" t="n">
        <x:v>46295</x:v>
      </x:c>
      <x:c r="I28" s="76" t="n">
        <x:v>46299</x:v>
      </x:c>
      <x:c r="J28" s="76" t="n">
        <x:v>46302</x:v>
      </x:c>
      <x:c r="K28" s="76" t="n">
        <x:v>46305</x:v>
      </x:c>
      <x:c r="L28" s="76" t="n">
        <x:v>46307</x:v>
      </x:c>
      <x:c r="M28" s="76" t="n">
        <x:v>46306</x:v>
      </x:c>
      <x:c r="N28" s="76" t="n">
        <x:v>46344</x:v>
      </x:c>
      <x:c r="O28" s="76" t="n">
        <x:v>46388</x:v>
      </x:c>
      <x:c r="P28" s="36" t="inlineStr">
        <x:is>
          <x:t xml:space="preserve">crawl_sampling_master.xlsx</x:t>
        </x:is>
      </x:c>
    </x:row>
    <x:row r="29">
      <x:c r="A29" s="79" t="n">
        <x:v>46283</x:v>
      </x:c>
      <x:c r="B29" s="37" t="inlineStr">
        <x:is>
          <x:t xml:space="preserve">Thứ Sáu</x:t>
        </x:is>
      </x:c>
      <x:c r="C29" s="37" t="inlineStr">
        <x:is>
          <x:t xml:space="preserve">00:30</x:t>
        </x:is>
      </x:c>
      <x:c r="D29" s="79" t="n">
        <x:v>46310</x:v>
      </x:c>
      <x:c r="E29" s="79" t="n">
        <x:v>46284</x:v>
      </x:c>
      <x:c r="F29" s="79" t="n">
        <x:v>46287</x:v>
      </x:c>
      <x:c r="G29" s="79" t="n">
        <x:v>46291</x:v>
      </x:c>
      <x:c r="H29" s="79" t="n">
        <x:v>46295</x:v>
      </x:c>
      <x:c r="I29" s="79" t="n">
        <x:v>46299</x:v>
      </x:c>
      <x:c r="J29" s="79" t="n">
        <x:v>46302</x:v>
      </x:c>
      <x:c r="K29" s="79" t="n">
        <x:v>46305</x:v>
      </x:c>
      <x:c r="L29" s="79" t="n">
        <x:v>46307</x:v>
      </x:c>
      <x:c r="M29" s="79" t="n">
        <x:v>46306</x:v>
      </x:c>
      <x:c r="N29" s="79" t="n">
        <x:v>46344</x:v>
      </x:c>
      <x:c r="O29" s="79" t="n">
        <x:v>46388</x:v>
      </x:c>
      <x:c r="P29" s="37" t="inlineStr">
        <x:is>
          <x:t xml:space="preserve">crawl_sampling_master.xlsx</x:t>
        </x:is>
      </x:c>
    </x:row>
    <x:row r="30">
      <x:c r="A30" s="76" t="n">
        <x:v>46284</x:v>
      </x:c>
      <x:c r="B30" s="36" t="inlineStr">
        <x:is>
          <x:t xml:space="preserve">Thứ Bảy</x:t>
        </x:is>
      </x:c>
      <x:c r="C30" s="36" t="inlineStr">
        <x:is>
          <x:t xml:space="preserve">00:30</x:t>
        </x:is>
      </x:c>
      <x:c r="D30" s="76" t="n">
        <x:v>46310</x:v>
      </x:c>
      <x:c r="E30" s="76" t="n">
        <x:v>46284</x:v>
      </x:c>
      <x:c r="F30" s="76" t="n">
        <x:v>46287</x:v>
      </x:c>
      <x:c r="G30" s="76" t="n">
        <x:v>46291</x:v>
      </x:c>
      <x:c r="H30" s="76" t="n">
        <x:v>46295</x:v>
      </x:c>
      <x:c r="I30" s="76" t="n">
        <x:v>46299</x:v>
      </x:c>
      <x:c r="J30" s="76" t="n">
        <x:v>46302</x:v>
      </x:c>
      <x:c r="K30" s="76" t="n">
        <x:v>46305</x:v>
      </x:c>
      <x:c r="L30" s="76" t="n">
        <x:v>46307</x:v>
      </x:c>
      <x:c r="M30" s="76" t="n">
        <x:v>46306</x:v>
      </x:c>
      <x:c r="N30" s="76" t="n">
        <x:v>46344</x:v>
      </x:c>
      <x:c r="O30" s="76" t="n">
        <x:v>46388</x:v>
      </x:c>
      <x:c r="P30" s="36" t="inlineStr">
        <x:is>
          <x:t xml:space="preserve">crawl_sampling_master.xlsx</x:t>
        </x:is>
      </x:c>
    </x:row>
    <x:row r="31">
      <x:c r="A31" s="79" t="n">
        <x:v>46285</x:v>
      </x:c>
      <x:c r="B31" s="37" t="inlineStr">
        <x:is>
          <x:t xml:space="preserve">Chủ Nhật</x:t>
        </x:is>
      </x:c>
      <x:c r="C31" s="37" t="inlineStr">
        <x:is>
          <x:t xml:space="preserve">00:30</x:t>
        </x:is>
      </x:c>
      <x:c r="D31" s="79" t="n">
        <x:v>46310</x:v>
      </x:c>
      <x:c r="E31" s="79" t="n">
        <x:v>46312</x:v>
      </x:c>
      <x:c r="F31" s="79" t="n">
        <x:v>46287</x:v>
      </x:c>
      <x:c r="G31" s="79" t="n">
        <x:v>46291</x:v>
      </x:c>
      <x:c r="H31" s="79" t="n">
        <x:v>46295</x:v>
      </x:c>
      <x:c r="I31" s="79" t="n">
        <x:v>46299</x:v>
      </x:c>
      <x:c r="J31" s="79" t="n">
        <x:v>46302</x:v>
      </x:c>
      <x:c r="K31" s="79" t="n">
        <x:v>46305</x:v>
      </x:c>
      <x:c r="L31" s="79" t="n">
        <x:v>46307</x:v>
      </x:c>
      <x:c r="M31" s="79" t="n">
        <x:v>46306</x:v>
      </x:c>
      <x:c r="N31" s="79" t="n">
        <x:v>46344</x:v>
      </x:c>
      <x:c r="O31" s="79" t="n">
        <x:v>46388</x:v>
      </x:c>
      <x:c r="P31" s="37" t="inlineStr">
        <x:is>
          <x:t xml:space="preserve">crawl_sampling_master.xlsx</x:t>
        </x:is>
      </x:c>
    </x:row>
    <x:row r="32">
      <x:c r="A32" s="76" t="n">
        <x:v>46286</x:v>
      </x:c>
      <x:c r="B32" s="36" t="inlineStr">
        <x:is>
          <x:t xml:space="preserve">Thứ Hai</x:t>
        </x:is>
      </x:c>
      <x:c r="C32" s="36" t="inlineStr">
        <x:is>
          <x:t xml:space="preserve">00:30</x:t>
        </x:is>
      </x:c>
      <x:c r="D32" s="76" t="n">
        <x:v>46310</x:v>
      </x:c>
      <x:c r="E32" s="76" t="n">
        <x:v>46312</x:v>
      </x:c>
      <x:c r="F32" s="76" t="n">
        <x:v>46287</x:v>
      </x:c>
      <x:c r="G32" s="76" t="n">
        <x:v>46291</x:v>
      </x:c>
      <x:c r="H32" s="76" t="n">
        <x:v>46295</x:v>
      </x:c>
      <x:c r="I32" s="76" t="n">
        <x:v>46299</x:v>
      </x:c>
      <x:c r="J32" s="76" t="n">
        <x:v>46302</x:v>
      </x:c>
      <x:c r="K32" s="76" t="n">
        <x:v>46305</x:v>
      </x:c>
      <x:c r="L32" s="76" t="n">
        <x:v>46307</x:v>
      </x:c>
      <x:c r="M32" s="76" t="n">
        <x:v>46306</x:v>
      </x:c>
      <x:c r="N32" s="76" t="n">
        <x:v>46344</x:v>
      </x:c>
      <x:c r="O32" s="76" t="n">
        <x:v>46388</x:v>
      </x:c>
      <x:c r="P32" s="36" t="inlineStr">
        <x:is>
          <x:t xml:space="preserve">crawl_sampling_master.xlsx</x:t>
        </x:is>
      </x:c>
    </x:row>
    <x:row r="33">
      <x:c r="A33" s="79" t="n">
        <x:v>46287</x:v>
      </x:c>
      <x:c r="B33" s="37" t="inlineStr">
        <x:is>
          <x:t xml:space="preserve">Thứ Ba</x:t>
        </x:is>
      </x:c>
      <x:c r="C33" s="37" t="inlineStr">
        <x:is>
          <x:t xml:space="preserve">00:30</x:t>
        </x:is>
      </x:c>
      <x:c r="D33" s="79" t="n">
        <x:v>46310</x:v>
      </x:c>
      <x:c r="E33" s="79" t="n">
        <x:v>46312</x:v>
      </x:c>
      <x:c r="F33" s="79" t="n">
        <x:v>46287</x:v>
      </x:c>
      <x:c r="G33" s="79" t="n">
        <x:v>46291</x:v>
      </x:c>
      <x:c r="H33" s="79" t="n">
        <x:v>46295</x:v>
      </x:c>
      <x:c r="I33" s="79" t="n">
        <x:v>46299</x:v>
      </x:c>
      <x:c r="J33" s="79" t="n">
        <x:v>46302</x:v>
      </x:c>
      <x:c r="K33" s="79" t="n">
        <x:v>46305</x:v>
      </x:c>
      <x:c r="L33" s="79" t="n">
        <x:v>46307</x:v>
      </x:c>
      <x:c r="M33" s="79" t="n">
        <x:v>46306</x:v>
      </x:c>
      <x:c r="N33" s="79" t="n">
        <x:v>46344</x:v>
      </x:c>
      <x:c r="O33" s="79" t="n">
        <x:v>46388</x:v>
      </x:c>
      <x:c r="P33" s="37" t="inlineStr">
        <x:is>
          <x:t xml:space="preserve">crawl_sampling_master.xlsx</x:t>
        </x:is>
      </x:c>
    </x:row>
    <x:row r="34">
      <x:c r="A34" s="76" t="n">
        <x:v>46288</x:v>
      </x:c>
      <x:c r="B34" s="36" t="inlineStr">
        <x:is>
          <x:t xml:space="preserve">Thứ Tư</x:t>
        </x:is>
      </x:c>
      <x:c r="C34" s="36" t="inlineStr">
        <x:is>
          <x:t xml:space="preserve">00:30</x:t>
        </x:is>
      </x:c>
      <x:c r="D34" s="76" t="n">
        <x:v>46310</x:v>
      </x:c>
      <x:c r="E34" s="76" t="n">
        <x:v>46312</x:v>
      </x:c>
      <x:c r="F34" s="76" t="n">
        <x:v>46315</x:v>
      </x:c>
      <x:c r="G34" s="76" t="n">
        <x:v>46291</x:v>
      </x:c>
      <x:c r="H34" s="76" t="n">
        <x:v>46295</x:v>
      </x:c>
      <x:c r="I34" s="76" t="n">
        <x:v>46299</x:v>
      </x:c>
      <x:c r="J34" s="76" t="n">
        <x:v>46302</x:v>
      </x:c>
      <x:c r="K34" s="76" t="n">
        <x:v>46305</x:v>
      </x:c>
      <x:c r="L34" s="76" t="n">
        <x:v>46307</x:v>
      </x:c>
      <x:c r="M34" s="76" t="n">
        <x:v>46306</x:v>
      </x:c>
      <x:c r="N34" s="76" t="n">
        <x:v>46344</x:v>
      </x:c>
      <x:c r="O34" s="76" t="n">
        <x:v>46388</x:v>
      </x:c>
      <x:c r="P34" s="36" t="inlineStr">
        <x:is>
          <x:t xml:space="preserve">crawl_sampling_master.xlsx</x:t>
        </x:is>
      </x:c>
    </x:row>
    <x:row r="35">
      <x:c r="A35" s="79" t="n">
        <x:v>46289</x:v>
      </x:c>
      <x:c r="B35" s="37" t="inlineStr">
        <x:is>
          <x:t xml:space="preserve">Thứ Năm</x:t>
        </x:is>
      </x:c>
      <x:c r="C35" s="37" t="inlineStr">
        <x:is>
          <x:t xml:space="preserve">00:30</x:t>
        </x:is>
      </x:c>
      <x:c r="D35" s="79" t="n">
        <x:v>46310</x:v>
      </x:c>
      <x:c r="E35" s="79" t="n">
        <x:v>46312</x:v>
      </x:c>
      <x:c r="F35" s="79" t="n">
        <x:v>46315</x:v>
      </x:c>
      <x:c r="G35" s="79" t="n">
        <x:v>46291</x:v>
      </x:c>
      <x:c r="H35" s="79" t="n">
        <x:v>46295</x:v>
      </x:c>
      <x:c r="I35" s="79" t="n">
        <x:v>46299</x:v>
      </x:c>
      <x:c r="J35" s="79" t="n">
        <x:v>46302</x:v>
      </x:c>
      <x:c r="K35" s="79" t="n">
        <x:v>46305</x:v>
      </x:c>
      <x:c r="L35" s="79" t="n">
        <x:v>46307</x:v>
      </x:c>
      <x:c r="M35" s="79" t="n">
        <x:v>46306</x:v>
      </x:c>
      <x:c r="N35" s="79" t="n">
        <x:v>46344</x:v>
      </x:c>
      <x:c r="O35" s="79" t="n">
        <x:v>46388</x:v>
      </x:c>
      <x:c r="P35" s="37" t="inlineStr">
        <x:is>
          <x:t xml:space="preserve">crawl_sampling_master.xlsx</x:t>
        </x:is>
      </x:c>
    </x:row>
    <x:row r="36">
      <x:c r="A36" s="76" t="n">
        <x:v>46290</x:v>
      </x:c>
      <x:c r="B36" s="36" t="inlineStr">
        <x:is>
          <x:t xml:space="preserve">Thứ Sáu</x:t>
        </x:is>
      </x:c>
      <x:c r="C36" s="36" t="inlineStr">
        <x:is>
          <x:t xml:space="preserve">00:30</x:t>
        </x:is>
      </x:c>
      <x:c r="D36" s="76" t="n">
        <x:v>46310</x:v>
      </x:c>
      <x:c r="E36" s="76" t="n">
        <x:v>46312</x:v>
      </x:c>
      <x:c r="F36" s="76" t="n">
        <x:v>46315</x:v>
      </x:c>
      <x:c r="G36" s="76" t="n">
        <x:v>46291</x:v>
      </x:c>
      <x:c r="H36" s="76" t="n">
        <x:v>46295</x:v>
      </x:c>
      <x:c r="I36" s="76" t="n">
        <x:v>46299</x:v>
      </x:c>
      <x:c r="J36" s="76" t="n">
        <x:v>46302</x:v>
      </x:c>
      <x:c r="K36" s="76" t="n">
        <x:v>46305</x:v>
      </x:c>
      <x:c r="L36" s="76" t="n">
        <x:v>46307</x:v>
      </x:c>
      <x:c r="M36" s="76" t="n">
        <x:v>46306</x:v>
      </x:c>
      <x:c r="N36" s="76" t="n">
        <x:v>46344</x:v>
      </x:c>
      <x:c r="O36" s="76" t="n">
        <x:v>46388</x:v>
      </x:c>
      <x:c r="P36" s="36" t="inlineStr">
        <x:is>
          <x:t xml:space="preserve">crawl_sampling_master.xlsx</x:t>
        </x:is>
      </x:c>
    </x:row>
    <x:row r="37">
      <x:c r="A37" s="79" t="n">
        <x:v>46291</x:v>
      </x:c>
      <x:c r="B37" s="37" t="inlineStr">
        <x:is>
          <x:t xml:space="preserve">Thứ Bảy</x:t>
        </x:is>
      </x:c>
      <x:c r="C37" s="37" t="inlineStr">
        <x:is>
          <x:t xml:space="preserve">00:30</x:t>
        </x:is>
      </x:c>
      <x:c r="D37" s="79" t="n">
        <x:v>46310</x:v>
      </x:c>
      <x:c r="E37" s="79" t="n">
        <x:v>46312</x:v>
      </x:c>
      <x:c r="F37" s="79" t="n">
        <x:v>46315</x:v>
      </x:c>
      <x:c r="G37" s="79" t="n">
        <x:v>46291</x:v>
      </x:c>
      <x:c r="H37" s="79" t="n">
        <x:v>46295</x:v>
      </x:c>
      <x:c r="I37" s="79" t="n">
        <x:v>46299</x:v>
      </x:c>
      <x:c r="J37" s="79" t="n">
        <x:v>46302</x:v>
      </x:c>
      <x:c r="K37" s="79" t="n">
        <x:v>46305</x:v>
      </x:c>
      <x:c r="L37" s="79" t="n">
        <x:v>46307</x:v>
      </x:c>
      <x:c r="M37" s="79" t="n">
        <x:v>46306</x:v>
      </x:c>
      <x:c r="N37" s="79" t="n">
        <x:v>46344</x:v>
      </x:c>
      <x:c r="O37" s="79" t="n">
        <x:v>46388</x:v>
      </x:c>
      <x:c r="P37" s="37" t="inlineStr">
        <x:is>
          <x:t xml:space="preserve">crawl_sampling_master.xlsx</x:t>
        </x:is>
      </x:c>
    </x:row>
    <x:row r="38">
      <x:c r="A38" s="76" t="n">
        <x:v>46292</x:v>
      </x:c>
      <x:c r="B38" s="36" t="inlineStr">
        <x:is>
          <x:t xml:space="preserve">Chủ Nhật</x:t>
        </x:is>
      </x:c>
      <x:c r="C38" s="36" t="inlineStr">
        <x:is>
          <x:t xml:space="preserve">00:30</x:t>
        </x:is>
      </x:c>
      <x:c r="D38" s="76" t="n">
        <x:v>46310</x:v>
      </x:c>
      <x:c r="E38" s="76" t="n">
        <x:v>46312</x:v>
      </x:c>
      <x:c r="F38" s="76" t="n">
        <x:v>46315</x:v>
      </x:c>
      <x:c r="G38" s="76" t="n">
        <x:v>46319</x:v>
      </x:c>
      <x:c r="H38" s="76" t="n">
        <x:v>46295</x:v>
      </x:c>
      <x:c r="I38" s="76" t="n">
        <x:v>46299</x:v>
      </x:c>
      <x:c r="J38" s="76" t="n">
        <x:v>46302</x:v>
      </x:c>
      <x:c r="K38" s="76" t="n">
        <x:v>46305</x:v>
      </x:c>
      <x:c r="L38" s="76" t="n">
        <x:v>46307</x:v>
      </x:c>
      <x:c r="M38" s="76" t="n">
        <x:v>46306</x:v>
      </x:c>
      <x:c r="N38" s="76" t="n">
        <x:v>46344</x:v>
      </x:c>
      <x:c r="O38" s="76" t="n">
        <x:v>46388</x:v>
      </x:c>
      <x:c r="P38" s="36" t="inlineStr">
        <x:is>
          <x:t xml:space="preserve">crawl_sampling_master.xlsx</x:t>
        </x:is>
      </x:c>
    </x:row>
    <x:row r="39">
      <x:c r="A39" s="79" t="n">
        <x:v>46293</x:v>
      </x:c>
      <x:c r="B39" s="37" t="inlineStr">
        <x:is>
          <x:t xml:space="preserve">Thứ Hai</x:t>
        </x:is>
      </x:c>
      <x:c r="C39" s="37" t="inlineStr">
        <x:is>
          <x:t xml:space="preserve">00:30</x:t>
        </x:is>
      </x:c>
      <x:c r="D39" s="79" t="n">
        <x:v>46310</x:v>
      </x:c>
      <x:c r="E39" s="79" t="n">
        <x:v>46312</x:v>
      </x:c>
      <x:c r="F39" s="79" t="n">
        <x:v>46315</x:v>
      </x:c>
      <x:c r="G39" s="79" t="n">
        <x:v>46319</x:v>
      </x:c>
      <x:c r="H39" s="79" t="n">
        <x:v>46295</x:v>
      </x:c>
      <x:c r="I39" s="79" t="n">
        <x:v>46299</x:v>
      </x:c>
      <x:c r="J39" s="79" t="n">
        <x:v>46302</x:v>
      </x:c>
      <x:c r="K39" s="79" t="n">
        <x:v>46305</x:v>
      </x:c>
      <x:c r="L39" s="79" t="n">
        <x:v>46307</x:v>
      </x:c>
      <x:c r="M39" s="79" t="n">
        <x:v>46306</x:v>
      </x:c>
      <x:c r="N39" s="79" t="n">
        <x:v>46344</x:v>
      </x:c>
      <x:c r="O39" s="79" t="n">
        <x:v>46388</x:v>
      </x:c>
      <x:c r="P39" s="37" t="inlineStr">
        <x:is>
          <x:t xml:space="preserve">crawl_sampling_master.xlsx</x:t>
        </x:is>
      </x:c>
    </x:row>
    <x:row r="40">
      <x:c r="A40" s="76" t="n">
        <x:v>46294</x:v>
      </x:c>
      <x:c r="B40" s="36" t="inlineStr">
        <x:is>
          <x:t xml:space="preserve">Thứ Ba</x:t>
        </x:is>
      </x:c>
      <x:c r="C40" s="36" t="inlineStr">
        <x:is>
          <x:t xml:space="preserve">00:30</x:t>
        </x:is>
      </x:c>
      <x:c r="D40" s="76" t="n">
        <x:v>46310</x:v>
      </x:c>
      <x:c r="E40" s="76" t="n">
        <x:v>46312</x:v>
      </x:c>
      <x:c r="F40" s="76" t="n">
        <x:v>46315</x:v>
      </x:c>
      <x:c r="G40" s="76" t="n">
        <x:v>46319</x:v>
      </x:c>
      <x:c r="H40" s="76" t="n">
        <x:v>46295</x:v>
      </x:c>
      <x:c r="I40" s="76" t="n">
        <x:v>46299</x:v>
      </x:c>
      <x:c r="J40" s="76" t="n">
        <x:v>46302</x:v>
      </x:c>
      <x:c r="K40" s="76" t="n">
        <x:v>46305</x:v>
      </x:c>
      <x:c r="L40" s="76" t="n">
        <x:v>46307</x:v>
      </x:c>
      <x:c r="M40" s="76" t="n">
        <x:v>46306</x:v>
      </x:c>
      <x:c r="N40" s="76" t="n">
        <x:v>46344</x:v>
      </x:c>
      <x:c r="O40" s="76" t="n">
        <x:v>46388</x:v>
      </x:c>
      <x:c r="P40" s="36" t="inlineStr">
        <x:is>
          <x:t xml:space="preserve">crawl_sampling_master.xlsx</x:t>
        </x:is>
      </x:c>
    </x:row>
    <x:row r="41">
      <x:c r="A41" s="79" t="n">
        <x:v>46295</x:v>
      </x:c>
      <x:c r="B41" s="37" t="inlineStr">
        <x:is>
          <x:t xml:space="preserve">Thứ Tư</x:t>
        </x:is>
      </x:c>
      <x:c r="C41" s="37" t="inlineStr">
        <x:is>
          <x:t xml:space="preserve">00:30</x:t>
        </x:is>
      </x:c>
      <x:c r="D41" s="79" t="n">
        <x:v>46310</x:v>
      </x:c>
      <x:c r="E41" s="79" t="n">
        <x:v>46312</x:v>
      </x:c>
      <x:c r="F41" s="79" t="n">
        <x:v>46315</x:v>
      </x:c>
      <x:c r="G41" s="79" t="n">
        <x:v>46319</x:v>
      </x:c>
      <x:c r="H41" s="79" t="n">
        <x:v>46295</x:v>
      </x:c>
      <x:c r="I41" s="79" t="n">
        <x:v>46299</x:v>
      </x:c>
      <x:c r="J41" s="79" t="n">
        <x:v>46302</x:v>
      </x:c>
      <x:c r="K41" s="79" t="n">
        <x:v>46305</x:v>
      </x:c>
      <x:c r="L41" s="79" t="n">
        <x:v>46307</x:v>
      </x:c>
      <x:c r="M41" s="79" t="n">
        <x:v>46306</x:v>
      </x:c>
      <x:c r="N41" s="79" t="n">
        <x:v>46344</x:v>
      </x:c>
      <x:c r="O41" s="79" t="n">
        <x:v>46388</x:v>
      </x:c>
      <x:c r="P41" s="37" t="inlineStr">
        <x:is>
          <x:t xml:space="preserve">crawl_sampling_master.xlsx</x:t>
        </x:is>
      </x:c>
    </x:row>
    <x:row r="42">
      <x:c r="A42" s="76" t="n">
        <x:v>46296</x:v>
      </x:c>
      <x:c r="B42" s="36" t="inlineStr">
        <x:is>
          <x:t xml:space="preserve">Thứ Năm</x:t>
        </x:is>
      </x:c>
      <x:c r="C42" s="36" t="inlineStr">
        <x:is>
          <x:t xml:space="preserve">00:30</x:t>
        </x:is>
      </x:c>
      <x:c r="D42" s="76" t="n">
        <x:v>46310</x:v>
      </x:c>
      <x:c r="E42" s="76" t="n">
        <x:v>46312</x:v>
      </x:c>
      <x:c r="F42" s="76" t="n">
        <x:v>46315</x:v>
      </x:c>
      <x:c r="G42" s="76" t="n">
        <x:v>46319</x:v>
      </x:c>
      <x:c r="H42" s="76" t="n">
        <x:v>46323</x:v>
      </x:c>
      <x:c r="I42" s="76" t="n">
        <x:v>46299</x:v>
      </x:c>
      <x:c r="J42" s="76" t="n">
        <x:v>46302</x:v>
      </x:c>
      <x:c r="K42" s="76" t="n">
        <x:v>46305</x:v>
      </x:c>
      <x:c r="L42" s="76" t="n">
        <x:v>46307</x:v>
      </x:c>
      <x:c r="M42" s="76" t="n">
        <x:v>46306</x:v>
      </x:c>
      <x:c r="N42" s="76" t="n">
        <x:v>46344</x:v>
      </x:c>
      <x:c r="O42" s="76" t="n">
        <x:v>46388</x:v>
      </x:c>
      <x:c r="P42" s="36" t="inlineStr">
        <x:is>
          <x:t xml:space="preserve">crawl_sampling_master.xlsx</x:t>
        </x:is>
      </x:c>
    </x:row>
    <x:row r="43">
      <x:c r="A43" s="79" t="n">
        <x:v>46297</x:v>
      </x:c>
      <x:c r="B43" s="37" t="inlineStr">
        <x:is>
          <x:t xml:space="preserve">Thứ Sáu</x:t>
        </x:is>
      </x:c>
      <x:c r="C43" s="37" t="inlineStr">
        <x:is>
          <x:t xml:space="preserve">00:30</x:t>
        </x:is>
      </x:c>
      <x:c r="D43" s="79" t="n">
        <x:v>46310</x:v>
      </x:c>
      <x:c r="E43" s="79" t="n">
        <x:v>46312</x:v>
      </x:c>
      <x:c r="F43" s="79" t="n">
        <x:v>46315</x:v>
      </x:c>
      <x:c r="G43" s="79" t="n">
        <x:v>46319</x:v>
      </x:c>
      <x:c r="H43" s="79" t="n">
        <x:v>46323</x:v>
      </x:c>
      <x:c r="I43" s="79" t="n">
        <x:v>46299</x:v>
      </x:c>
      <x:c r="J43" s="79" t="n">
        <x:v>46302</x:v>
      </x:c>
      <x:c r="K43" s="79" t="n">
        <x:v>46305</x:v>
      </x:c>
      <x:c r="L43" s="79" t="n">
        <x:v>46307</x:v>
      </x:c>
      <x:c r="M43" s="79" t="n">
        <x:v>46306</x:v>
      </x:c>
      <x:c r="N43" s="79" t="n">
        <x:v>46344</x:v>
      </x:c>
      <x:c r="O43" s="79" t="n">
        <x:v>46388</x:v>
      </x:c>
      <x:c r="P43" s="37" t="inlineStr">
        <x:is>
          <x:t xml:space="preserve">crawl_sampling_master.xlsx</x:t>
        </x:is>
      </x:c>
    </x:row>
    <x:row r="44">
      <x:c r="A44" s="76" t="n">
        <x:v>46298</x:v>
      </x:c>
      <x:c r="B44" s="36" t="inlineStr">
        <x:is>
          <x:t xml:space="preserve">Thứ Bảy</x:t>
        </x:is>
      </x:c>
      <x:c r="C44" s="36" t="inlineStr">
        <x:is>
          <x:t xml:space="preserve">00:30</x:t>
        </x:is>
      </x:c>
      <x:c r="D44" s="76" t="n">
        <x:v>46310</x:v>
      </x:c>
      <x:c r="E44" s="76" t="n">
        <x:v>46312</x:v>
      </x:c>
      <x:c r="F44" s="76" t="n">
        <x:v>46315</x:v>
      </x:c>
      <x:c r="G44" s="76" t="n">
        <x:v>46319</x:v>
      </x:c>
      <x:c r="H44" s="76" t="n">
        <x:v>46323</x:v>
      </x:c>
      <x:c r="I44" s="76" t="n">
        <x:v>46299</x:v>
      </x:c>
      <x:c r="J44" s="76" t="n">
        <x:v>46302</x:v>
      </x:c>
      <x:c r="K44" s="76" t="n">
        <x:v>46305</x:v>
      </x:c>
      <x:c r="L44" s="76" t="n">
        <x:v>46307</x:v>
      </x:c>
      <x:c r="M44" s="76" t="n">
        <x:v>46306</x:v>
      </x:c>
      <x:c r="N44" s="76" t="n">
        <x:v>46344</x:v>
      </x:c>
      <x:c r="O44" s="76" t="n">
        <x:v>46388</x:v>
      </x:c>
      <x:c r="P44" s="36" t="inlineStr">
        <x:is>
          <x:t xml:space="preserve">crawl_sampling_master.xlsx</x:t>
        </x:is>
      </x:c>
    </x:row>
    <x:row r="45">
      <x:c r="A45" s="79" t="n">
        <x:v>46299</x:v>
      </x:c>
      <x:c r="B45" s="37" t="inlineStr">
        <x:is>
          <x:t xml:space="preserve">Chủ Nhật</x:t>
        </x:is>
      </x:c>
      <x:c r="C45" s="37" t="inlineStr">
        <x:is>
          <x:t xml:space="preserve">00:30</x:t>
        </x:is>
      </x:c>
      <x:c r="D45" s="79" t="n">
        <x:v>46310</x:v>
      </x:c>
      <x:c r="E45" s="79" t="n">
        <x:v>46312</x:v>
      </x:c>
      <x:c r="F45" s="79" t="n">
        <x:v>46315</x:v>
      </x:c>
      <x:c r="G45" s="79" t="n">
        <x:v>46319</x:v>
      </x:c>
      <x:c r="H45" s="79" t="n">
        <x:v>46323</x:v>
      </x:c>
      <x:c r="I45" s="79" t="n">
        <x:v>46299</x:v>
      </x:c>
      <x:c r="J45" s="79" t="n">
        <x:v>46302</x:v>
      </x:c>
      <x:c r="K45" s="79" t="n">
        <x:v>46305</x:v>
      </x:c>
      <x:c r="L45" s="79" t="n">
        <x:v>46307</x:v>
      </x:c>
      <x:c r="M45" s="79" t="n">
        <x:v>46306</x:v>
      </x:c>
      <x:c r="N45" s="79" t="n">
        <x:v>46344</x:v>
      </x:c>
      <x:c r="O45" s="79" t="n">
        <x:v>46388</x:v>
      </x:c>
      <x:c r="P45" s="37" t="inlineStr">
        <x:is>
          <x:t xml:space="preserve">crawl_sampling_master.xlsx</x:t>
        </x:is>
      </x:c>
    </x:row>
    <x:row r="46">
      <x:c r="A46" s="76" t="n">
        <x:v>46300</x:v>
      </x:c>
      <x:c r="B46" s="36" t="inlineStr">
        <x:is>
          <x:t xml:space="preserve">Thứ Hai</x:t>
        </x:is>
      </x:c>
      <x:c r="C46" s="36" t="inlineStr">
        <x:is>
          <x:t xml:space="preserve">00:30</x:t>
        </x:is>
      </x:c>
      <x:c r="D46" s="76" t="n">
        <x:v>46310</x:v>
      </x:c>
      <x:c r="E46" s="76" t="n">
        <x:v>46312</x:v>
      </x:c>
      <x:c r="F46" s="76" t="n">
        <x:v>46315</x:v>
      </x:c>
      <x:c r="G46" s="76" t="n">
        <x:v>46319</x:v>
      </x:c>
      <x:c r="H46" s="76" t="n">
        <x:v>46323</x:v>
      </x:c>
      <x:c r="I46" s="76" t="n">
        <x:v>46327</x:v>
      </x:c>
      <x:c r="J46" s="76" t="n">
        <x:v>46302</x:v>
      </x:c>
      <x:c r="K46" s="76" t="n">
        <x:v>46305</x:v>
      </x:c>
      <x:c r="L46" s="76" t="n">
        <x:v>46307</x:v>
      </x:c>
      <x:c r="M46" s="76" t="n">
        <x:v>46306</x:v>
      </x:c>
      <x:c r="N46" s="76" t="n">
        <x:v>46344</x:v>
      </x:c>
      <x:c r="O46" s="76" t="n">
        <x:v>46388</x:v>
      </x:c>
      <x:c r="P46" s="36" t="inlineStr">
        <x:is>
          <x:t xml:space="preserve">crawl_sampling_master.xlsx</x:t>
        </x:is>
      </x:c>
    </x:row>
    <x:row r="47">
      <x:c r="A47" s="79" t="n">
        <x:v>46301</x:v>
      </x:c>
      <x:c r="B47" s="37" t="inlineStr">
        <x:is>
          <x:t xml:space="preserve">Thứ Ba</x:t>
        </x:is>
      </x:c>
      <x:c r="C47" s="37" t="inlineStr">
        <x:is>
          <x:t xml:space="preserve">00:30</x:t>
        </x:is>
      </x:c>
      <x:c r="D47" s="79" t="n">
        <x:v>46310</x:v>
      </x:c>
      <x:c r="E47" s="79" t="n">
        <x:v>46312</x:v>
      </x:c>
      <x:c r="F47" s="79" t="n">
        <x:v>46315</x:v>
      </x:c>
      <x:c r="G47" s="79" t="n">
        <x:v>46319</x:v>
      </x:c>
      <x:c r="H47" s="79" t="n">
        <x:v>46323</x:v>
      </x:c>
      <x:c r="I47" s="79" t="n">
        <x:v>46327</x:v>
      </x:c>
      <x:c r="J47" s="79" t="n">
        <x:v>46302</x:v>
      </x:c>
      <x:c r="K47" s="79" t="n">
        <x:v>46305</x:v>
      </x:c>
      <x:c r="L47" s="79" t="n">
        <x:v>46307</x:v>
      </x:c>
      <x:c r="M47" s="79" t="n">
        <x:v>46306</x:v>
      </x:c>
      <x:c r="N47" s="79" t="n">
        <x:v>46344</x:v>
      </x:c>
      <x:c r="O47" s="79" t="n">
        <x:v>46388</x:v>
      </x:c>
      <x:c r="P47" s="37" t="inlineStr">
        <x:is>
          <x:t xml:space="preserve">crawl_sampling_master.xlsx</x:t>
        </x:is>
      </x:c>
    </x:row>
    <x:row r="48">
      <x:c r="A48" s="76" t="n">
        <x:v>46302</x:v>
      </x:c>
      <x:c r="B48" s="36" t="inlineStr">
        <x:is>
          <x:t xml:space="preserve">Thứ Tư</x:t>
        </x:is>
      </x:c>
      <x:c r="C48" s="36" t="inlineStr">
        <x:is>
          <x:t xml:space="preserve">00:30</x:t>
        </x:is>
      </x:c>
      <x:c r="D48" s="76" t="n">
        <x:v>46310</x:v>
      </x:c>
      <x:c r="E48" s="76" t="n">
        <x:v>46312</x:v>
      </x:c>
      <x:c r="F48" s="76" t="n">
        <x:v>46315</x:v>
      </x:c>
      <x:c r="G48" s="76" t="n">
        <x:v>46319</x:v>
      </x:c>
      <x:c r="H48" s="76" t="n">
        <x:v>46323</x:v>
      </x:c>
      <x:c r="I48" s="76" t="n">
        <x:v>46327</x:v>
      </x:c>
      <x:c r="J48" s="76" t="n">
        <x:v>46302</x:v>
      </x:c>
      <x:c r="K48" s="76" t="n">
        <x:v>46305</x:v>
      </x:c>
      <x:c r="L48" s="76" t="n">
        <x:v>46307</x:v>
      </x:c>
      <x:c r="M48" s="76" t="n">
        <x:v>46306</x:v>
      </x:c>
      <x:c r="N48" s="76" t="n">
        <x:v>46344</x:v>
      </x:c>
      <x:c r="O48" s="76" t="n">
        <x:v>46388</x:v>
      </x:c>
      <x:c r="P48" s="36" t="inlineStr">
        <x:is>
          <x:t xml:space="preserve">crawl_sampling_master.xlsx</x:t>
        </x:is>
      </x:c>
    </x:row>
    <x:row r="49">
      <x:c r="A49" s="79" t="n">
        <x:v>46303</x:v>
      </x:c>
      <x:c r="B49" s="37" t="inlineStr">
        <x:is>
          <x:t xml:space="preserve">Thứ Năm</x:t>
        </x:is>
      </x:c>
      <x:c r="C49" s="37" t="inlineStr">
        <x:is>
          <x:t xml:space="preserve">00:30</x:t>
        </x:is>
      </x:c>
      <x:c r="D49" s="79" t="n">
        <x:v>46310</x:v>
      </x:c>
      <x:c r="E49" s="79" t="n">
        <x:v>46312</x:v>
      </x:c>
      <x:c r="F49" s="79" t="n">
        <x:v>46315</x:v>
      </x:c>
      <x:c r="G49" s="79" t="n">
        <x:v>46319</x:v>
      </x:c>
      <x:c r="H49" s="79" t="n">
        <x:v>46323</x:v>
      </x:c>
      <x:c r="I49" s="79" t="n">
        <x:v>46327</x:v>
      </x:c>
      <x:c r="J49" s="79" t="n">
        <x:v>46330</x:v>
      </x:c>
      <x:c r="K49" s="79" t="n">
        <x:v>46305</x:v>
      </x:c>
      <x:c r="L49" s="79" t="n">
        <x:v>46307</x:v>
      </x:c>
      <x:c r="M49" s="79" t="n">
        <x:v>46306</x:v>
      </x:c>
      <x:c r="N49" s="79" t="n">
        <x:v>46344</x:v>
      </x:c>
      <x:c r="O49" s="79" t="n">
        <x:v>46388</x:v>
      </x:c>
      <x:c r="P49" s="37" t="inlineStr">
        <x:is>
          <x:t xml:space="preserve">crawl_sampling_master.xlsx</x:t>
        </x:is>
      </x:c>
    </x:row>
    <x:row r="50">
      <x:c r="A50" s="76" t="n">
        <x:v>46304</x:v>
      </x:c>
      <x:c r="B50" s="36" t="inlineStr">
        <x:is>
          <x:t xml:space="preserve">Thứ Sáu</x:t>
        </x:is>
      </x:c>
      <x:c r="C50" s="36" t="inlineStr">
        <x:is>
          <x:t xml:space="preserve">00:30</x:t>
        </x:is>
      </x:c>
      <x:c r="D50" s="76" t="n">
        <x:v>46310</x:v>
      </x:c>
      <x:c r="E50" s="76" t="n">
        <x:v>46312</x:v>
      </x:c>
      <x:c r="F50" s="76" t="n">
        <x:v>46315</x:v>
      </x:c>
      <x:c r="G50" s="76" t="n">
        <x:v>46319</x:v>
      </x:c>
      <x:c r="H50" s="76" t="n">
        <x:v>46323</x:v>
      </x:c>
      <x:c r="I50" s="76" t="n">
        <x:v>46327</x:v>
      </x:c>
      <x:c r="J50" s="76" t="n">
        <x:v>46330</x:v>
      </x:c>
      <x:c r="K50" s="76" t="n">
        <x:v>46305</x:v>
      </x:c>
      <x:c r="L50" s="76" t="n">
        <x:v>46307</x:v>
      </x:c>
      <x:c r="M50" s="76" t="n">
        <x:v>46306</x:v>
      </x:c>
      <x:c r="N50" s="76" t="n">
        <x:v>46344</x:v>
      </x:c>
      <x:c r="O50" s="76" t="n">
        <x:v>46388</x:v>
      </x:c>
      <x:c r="P50" s="36" t="inlineStr">
        <x:is>
          <x:t xml:space="preserve">crawl_sampling_master.xlsx</x:t>
        </x:is>
      </x:c>
    </x:row>
    <x:row r="51">
      <x:c r="A51" s="79" t="n">
        <x:v>46305</x:v>
      </x:c>
      <x:c r="B51" s="37" t="inlineStr">
        <x:is>
          <x:t xml:space="preserve">Thứ Bảy</x:t>
        </x:is>
      </x:c>
      <x:c r="C51" s="37" t="inlineStr">
        <x:is>
          <x:t xml:space="preserve">00:30</x:t>
        </x:is>
      </x:c>
      <x:c r="D51" s="79" t="n">
        <x:v>46310</x:v>
      </x:c>
      <x:c r="E51" s="79" t="n">
        <x:v>46312</x:v>
      </x:c>
      <x:c r="F51" s="79" t="n">
        <x:v>46315</x:v>
      </x:c>
      <x:c r="G51" s="79" t="n">
        <x:v>46319</x:v>
      </x:c>
      <x:c r="H51" s="79" t="n">
        <x:v>46323</x:v>
      </x:c>
      <x:c r="I51" s="79" t="n">
        <x:v>46327</x:v>
      </x:c>
      <x:c r="J51" s="79" t="n">
        <x:v>46330</x:v>
      </x:c>
      <x:c r="K51" s="79" t="n">
        <x:v>46305</x:v>
      </x:c>
      <x:c r="L51" s="79" t="n">
        <x:v>46307</x:v>
      </x:c>
      <x:c r="M51" s="79" t="n">
        <x:v>46306</x:v>
      </x:c>
      <x:c r="N51" s="79" t="n">
        <x:v>46344</x:v>
      </x:c>
      <x:c r="O51" s="79" t="n">
        <x:v>46388</x:v>
      </x:c>
      <x:c r="P51" s="37" t="inlineStr">
        <x:is>
          <x:t xml:space="preserve">crawl_sampling_master.xlsx</x:t>
        </x:is>
      </x:c>
    </x:row>
    <x:row r="52">
      <x:c r="A52" s="76" t="n">
        <x:v>46306</x:v>
      </x:c>
      <x:c r="B52" s="36" t="inlineStr">
        <x:is>
          <x:t xml:space="preserve">Chủ Nhật</x:t>
        </x:is>
      </x:c>
      <x:c r="C52" s="36" t="inlineStr">
        <x:is>
          <x:t xml:space="preserve">00:30</x:t>
        </x:is>
      </x:c>
      <x:c r="D52" s="76" t="n">
        <x:v>46310</x:v>
      </x:c>
      <x:c r="E52" s="76" t="n">
        <x:v>46312</x:v>
      </x:c>
      <x:c r="F52" s="76" t="n">
        <x:v>46315</x:v>
      </x:c>
      <x:c r="G52" s="76" t="n">
        <x:v>46319</x:v>
      </x:c>
      <x:c r="H52" s="76" t="n">
        <x:v>46323</x:v>
      </x:c>
      <x:c r="I52" s="76" t="n">
        <x:v>46327</x:v>
      </x:c>
      <x:c r="J52" s="76" t="n">
        <x:v>46330</x:v>
      </x:c>
      <x:c r="K52" s="76" t="n">
        <x:v>46333</x:v>
      </x:c>
      <x:c r="L52" s="76" t="n">
        <x:v>46307</x:v>
      </x:c>
      <x:c r="M52" s="76" t="n">
        <x:v>46306</x:v>
      </x:c>
      <x:c r="N52" s="76" t="n">
        <x:v>46344</x:v>
      </x:c>
      <x:c r="O52" s="76" t="n">
        <x:v>46388</x:v>
      </x:c>
      <x:c r="P52" s="36" t="inlineStr">
        <x:is>
          <x:t xml:space="preserve">crawl_sampling_master.xlsx</x:t>
        </x:is>
      </x:c>
    </x:row>
    <x:row r="53">
      <x:c r="A53" s="79" t="n">
        <x:v>46307</x:v>
      </x:c>
      <x:c r="B53" s="37" t="inlineStr">
        <x:is>
          <x:t xml:space="preserve">Thứ Hai</x:t>
        </x:is>
      </x:c>
      <x:c r="C53" s="37" t="inlineStr">
        <x:is>
          <x:t xml:space="preserve">00:30</x:t>
        </x:is>
      </x:c>
      <x:c r="D53" s="79" t="n">
        <x:v>46310</x:v>
      </x:c>
      <x:c r="E53" s="79" t="n">
        <x:v>46312</x:v>
      </x:c>
      <x:c r="F53" s="79" t="n">
        <x:v>46315</x:v>
      </x:c>
      <x:c r="G53" s="79" t="n">
        <x:v>46319</x:v>
      </x:c>
      <x:c r="H53" s="79" t="n">
        <x:v>46323</x:v>
      </x:c>
      <x:c r="I53" s="79" t="n">
        <x:v>46327</x:v>
      </x:c>
      <x:c r="J53" s="79" t="n">
        <x:v>46330</x:v>
      </x:c>
      <x:c r="K53" s="79" t="n">
        <x:v>46333</x:v>
      </x:c>
      <x:c r="L53" s="79" t="n">
        <x:v>46307</x:v>
      </x:c>
      <x:c r="M53" s="79" t="n">
        <x:v>46362</x:v>
      </x:c>
      <x:c r="N53" s="79" t="n">
        <x:v>46344</x:v>
      </x:c>
      <x:c r="O53" s="79" t="n">
        <x:v>46388</x:v>
      </x:c>
      <x:c r="P53" s="37" t="inlineStr">
        <x:is>
          <x:t xml:space="preserve">crawl_sampling_master.xlsx</x:t>
        </x:is>
      </x:c>
    </x:row>
    <x:row r="54">
      <x:c r="A54" s="76" t="n">
        <x:v>46308</x:v>
      </x:c>
      <x:c r="B54" s="36" t="inlineStr">
        <x:is>
          <x:t xml:space="preserve">Thứ Ba</x:t>
        </x:is>
      </x:c>
      <x:c r="C54" s="36" t="inlineStr">
        <x:is>
          <x:t xml:space="preserve">00:30</x:t>
        </x:is>
      </x:c>
      <x:c r="D54" s="76" t="n">
        <x:v>46310</x:v>
      </x:c>
      <x:c r="E54" s="76" t="n">
        <x:v>46312</x:v>
      </x:c>
      <x:c r="F54" s="76" t="n">
        <x:v>46315</x:v>
      </x:c>
      <x:c r="G54" s="76" t="n">
        <x:v>46319</x:v>
      </x:c>
      <x:c r="H54" s="76" t="n">
        <x:v>46323</x:v>
      </x:c>
      <x:c r="I54" s="76" t="n">
        <x:v>46327</x:v>
      </x:c>
      <x:c r="J54" s="76" t="n">
        <x:v>46330</x:v>
      </x:c>
      <x:c r="K54" s="76" t="n">
        <x:v>46333</x:v>
      </x:c>
      <x:c r="L54" s="76" t="n">
        <x:v>46335</x:v>
      </x:c>
      <x:c r="M54" s="76" t="n">
        <x:v>46362</x:v>
      </x:c>
      <x:c r="N54" s="76" t="n">
        <x:v>46344</x:v>
      </x:c>
      <x:c r="O54" s="76" t="n">
        <x:v>46388</x:v>
      </x:c>
      <x:c r="P54" s="36" t="inlineStr">
        <x:is>
          <x:t xml:space="preserve">crawl_sampling_master.xlsx</x:t>
        </x:is>
      </x:c>
    </x:row>
    <x:row r="55">
      <x:c r="A55" s="79" t="n">
        <x:v>46309</x:v>
      </x:c>
      <x:c r="B55" s="37" t="inlineStr">
        <x:is>
          <x:t xml:space="preserve">Thứ Tư</x:t>
        </x:is>
      </x:c>
      <x:c r="C55" s="37" t="inlineStr">
        <x:is>
          <x:t xml:space="preserve">00:30</x:t>
        </x:is>
      </x:c>
      <x:c r="D55" s="79" t="n">
        <x:v>46310</x:v>
      </x:c>
      <x:c r="E55" s="79" t="n">
        <x:v>46312</x:v>
      </x:c>
      <x:c r="F55" s="79" t="n">
        <x:v>46315</x:v>
      </x:c>
      <x:c r="G55" s="79" t="n">
        <x:v>46319</x:v>
      </x:c>
      <x:c r="H55" s="79" t="n">
        <x:v>46323</x:v>
      </x:c>
      <x:c r="I55" s="79" t="n">
        <x:v>46327</x:v>
      </x:c>
      <x:c r="J55" s="79" t="n">
        <x:v>46330</x:v>
      </x:c>
      <x:c r="K55" s="79" t="n">
        <x:v>46333</x:v>
      </x:c>
      <x:c r="L55" s="79" t="n">
        <x:v>46335</x:v>
      </x:c>
      <x:c r="M55" s="79" t="n">
        <x:v>46362</x:v>
      </x:c>
      <x:c r="N55" s="79" t="n">
        <x:v>46344</x:v>
      </x:c>
      <x:c r="O55" s="79" t="n">
        <x:v>46388</x:v>
      </x:c>
      <x:c r="P55" s="37" t="inlineStr">
        <x:is>
          <x:t xml:space="preserve">crawl_sampling_master.xlsx</x:t>
        </x:is>
      </x:c>
    </x:row>
    <x:row r="56">
      <x:c r="A56" s="76" t="n">
        <x:v>46310</x:v>
      </x:c>
      <x:c r="B56" s="36" t="inlineStr">
        <x:is>
          <x:t xml:space="preserve">Thứ Năm</x:t>
        </x:is>
      </x:c>
      <x:c r="C56" s="36" t="inlineStr">
        <x:is>
          <x:t xml:space="preserve">00:30</x:t>
        </x:is>
      </x:c>
      <x:c r="D56" s="76" t="n">
        <x:v>46310</x:v>
      </x:c>
      <x:c r="E56" s="76" t="n">
        <x:v>46312</x:v>
      </x:c>
      <x:c r="F56" s="76" t="n">
        <x:v>46315</x:v>
      </x:c>
      <x:c r="G56" s="76" t="n">
        <x:v>46319</x:v>
      </x:c>
      <x:c r="H56" s="76" t="n">
        <x:v>46323</x:v>
      </x:c>
      <x:c r="I56" s="76" t="n">
        <x:v>46327</x:v>
      </x:c>
      <x:c r="J56" s="76" t="n">
        <x:v>46330</x:v>
      </x:c>
      <x:c r="K56" s="76" t="n">
        <x:v>46333</x:v>
      </x:c>
      <x:c r="L56" s="76" t="n">
        <x:v>46335</x:v>
      </x:c>
      <x:c r="M56" s="76" t="n">
        <x:v>46362</x:v>
      </x:c>
      <x:c r="N56" s="76" t="n">
        <x:v>46344</x:v>
      </x:c>
      <x:c r="O56" s="76" t="n">
        <x:v>46388</x:v>
      </x:c>
      <x:c r="P56" s="36" t="inlineStr">
        <x:is>
          <x:t xml:space="preserve">crawl_sampling_master.xlsx</x:t>
        </x:is>
      </x:c>
    </x:row>
    <x:row r="57">
      <x:c r="A57" s="79" t="n">
        <x:v>46311</x:v>
      </x:c>
      <x:c r="B57" s="37" t="inlineStr">
        <x:is>
          <x:t xml:space="preserve">Thứ Sáu</x:t>
        </x:is>
      </x:c>
      <x:c r="C57" s="37" t="inlineStr">
        <x:is>
          <x:t xml:space="preserve">00:30</x:t>
        </x:is>
      </x:c>
      <x:c r="D57" s="79" t="n">
        <x:v>46338</x:v>
      </x:c>
      <x:c r="E57" s="79" t="n">
        <x:v>46312</x:v>
      </x:c>
      <x:c r="F57" s="79" t="n">
        <x:v>46315</x:v>
      </x:c>
      <x:c r="G57" s="79" t="n">
        <x:v>46319</x:v>
      </x:c>
      <x:c r="H57" s="79" t="n">
        <x:v>46323</x:v>
      </x:c>
      <x:c r="I57" s="79" t="n">
        <x:v>46327</x:v>
      </x:c>
      <x:c r="J57" s="79" t="n">
        <x:v>46330</x:v>
      </x:c>
      <x:c r="K57" s="79" t="n">
        <x:v>46333</x:v>
      </x:c>
      <x:c r="L57" s="79" t="n">
        <x:v>46335</x:v>
      </x:c>
      <x:c r="M57" s="79" t="n">
        <x:v>46362</x:v>
      </x:c>
      <x:c r="N57" s="79" t="n">
        <x:v>46344</x:v>
      </x:c>
      <x:c r="O57" s="79" t="n">
        <x:v>46388</x:v>
      </x:c>
      <x:c r="P57" s="37" t="inlineStr">
        <x:is>
          <x:t xml:space="preserve">crawl_sampling_master.xlsx</x:t>
        </x:is>
      </x:c>
    </x:row>
    <x:row r="58">
      <x:c r="A58" s="76" t="n">
        <x:v>46312</x:v>
      </x:c>
      <x:c r="B58" s="36" t="inlineStr">
        <x:is>
          <x:t xml:space="preserve">Thứ Bảy</x:t>
        </x:is>
      </x:c>
      <x:c r="C58" s="36" t="inlineStr">
        <x:is>
          <x:t xml:space="preserve">00:30</x:t>
        </x:is>
      </x:c>
      <x:c r="D58" s="76" t="n">
        <x:v>46338</x:v>
      </x:c>
      <x:c r="E58" s="76" t="n">
        <x:v>46312</x:v>
      </x:c>
      <x:c r="F58" s="76" t="n">
        <x:v>46315</x:v>
      </x:c>
      <x:c r="G58" s="76" t="n">
        <x:v>46319</x:v>
      </x:c>
      <x:c r="H58" s="76" t="n">
        <x:v>46323</x:v>
      </x:c>
      <x:c r="I58" s="76" t="n">
        <x:v>46327</x:v>
      </x:c>
      <x:c r="J58" s="76" t="n">
        <x:v>46330</x:v>
      </x:c>
      <x:c r="K58" s="76" t="n">
        <x:v>46333</x:v>
      </x:c>
      <x:c r="L58" s="76" t="n">
        <x:v>46335</x:v>
      </x:c>
      <x:c r="M58" s="76" t="n">
        <x:v>46362</x:v>
      </x:c>
      <x:c r="N58" s="76" t="n">
        <x:v>46344</x:v>
      </x:c>
      <x:c r="O58" s="76" t="n">
        <x:v>46388</x:v>
      </x:c>
      <x:c r="P58" s="36" t="inlineStr">
        <x:is>
          <x:t xml:space="preserve">crawl_sampling_master.xlsx</x:t>
        </x:is>
      </x:c>
    </x:row>
    <x:row r="59">
      <x:c r="A59" s="79" t="n">
        <x:v>46313</x:v>
      </x:c>
      <x:c r="B59" s="37" t="inlineStr">
        <x:is>
          <x:t xml:space="preserve">Chủ Nhật</x:t>
        </x:is>
      </x:c>
      <x:c r="C59" s="37" t="inlineStr">
        <x:is>
          <x:t xml:space="preserve">00:30</x:t>
        </x:is>
      </x:c>
      <x:c r="D59" s="79" t="n">
        <x:v>46338</x:v>
      </x:c>
      <x:c r="E59" s="79" t="n">
        <x:v>46340</x:v>
      </x:c>
      <x:c r="F59" s="79" t="n">
        <x:v>46315</x:v>
      </x:c>
      <x:c r="G59" s="79" t="n">
        <x:v>46319</x:v>
      </x:c>
      <x:c r="H59" s="79" t="n">
        <x:v>46323</x:v>
      </x:c>
      <x:c r="I59" s="79" t="n">
        <x:v>46327</x:v>
      </x:c>
      <x:c r="J59" s="79" t="n">
        <x:v>46330</x:v>
      </x:c>
      <x:c r="K59" s="79" t="n">
        <x:v>46333</x:v>
      </x:c>
      <x:c r="L59" s="79" t="n">
        <x:v>46335</x:v>
      </x:c>
      <x:c r="M59" s="79" t="n">
        <x:v>46362</x:v>
      </x:c>
      <x:c r="N59" s="79" t="n">
        <x:v>46344</x:v>
      </x:c>
      <x:c r="O59" s="79" t="n">
        <x:v>46388</x:v>
      </x:c>
      <x:c r="P59" s="37" t="inlineStr">
        <x:is>
          <x:t xml:space="preserve">crawl_sampling_master.xlsx</x:t>
        </x:is>
      </x:c>
    </x:row>
    <x:row r="60">
      <x:c r="A60" s="76" t="n">
        <x:v>46314</x:v>
      </x:c>
      <x:c r="B60" s="36" t="inlineStr">
        <x:is>
          <x:t xml:space="preserve">Thứ Hai</x:t>
        </x:is>
      </x:c>
      <x:c r="C60" s="36" t="inlineStr">
        <x:is>
          <x:t xml:space="preserve">00:30</x:t>
        </x:is>
      </x:c>
      <x:c r="D60" s="76" t="n">
        <x:v>46338</x:v>
      </x:c>
      <x:c r="E60" s="76" t="n">
        <x:v>46340</x:v>
      </x:c>
      <x:c r="F60" s="76" t="n">
        <x:v>46315</x:v>
      </x:c>
      <x:c r="G60" s="76" t="n">
        <x:v>46319</x:v>
      </x:c>
      <x:c r="H60" s="76" t="n">
        <x:v>46323</x:v>
      </x:c>
      <x:c r="I60" s="76" t="n">
        <x:v>46327</x:v>
      </x:c>
      <x:c r="J60" s="76" t="n">
        <x:v>46330</x:v>
      </x:c>
      <x:c r="K60" s="76" t="n">
        <x:v>46333</x:v>
      </x:c>
      <x:c r="L60" s="76" t="n">
        <x:v>46335</x:v>
      </x:c>
      <x:c r="M60" s="76" t="n">
        <x:v>46362</x:v>
      </x:c>
      <x:c r="N60" s="76" t="n">
        <x:v>46344</x:v>
      </x:c>
      <x:c r="O60" s="76" t="n">
        <x:v>46388</x:v>
      </x:c>
      <x:c r="P60" s="36" t="inlineStr">
        <x:is>
          <x:t xml:space="preserve">crawl_sampling_master.xlsx</x:t>
        </x:is>
      </x:c>
    </x:row>
    <x:row r="61">
      <x:c r="A61" s="79" t="n">
        <x:v>46315</x:v>
      </x:c>
      <x:c r="B61" s="37" t="inlineStr">
        <x:is>
          <x:t xml:space="preserve">Thứ Ba</x:t>
        </x:is>
      </x:c>
      <x:c r="C61" s="37" t="inlineStr">
        <x:is>
          <x:t xml:space="preserve">00:30</x:t>
        </x:is>
      </x:c>
      <x:c r="D61" s="79" t="n">
        <x:v>46338</x:v>
      </x:c>
      <x:c r="E61" s="79" t="n">
        <x:v>46340</x:v>
      </x:c>
      <x:c r="F61" s="79" t="n">
        <x:v>46315</x:v>
      </x:c>
      <x:c r="G61" s="79" t="n">
        <x:v>46319</x:v>
      </x:c>
      <x:c r="H61" s="79" t="n">
        <x:v>46323</x:v>
      </x:c>
      <x:c r="I61" s="79" t="n">
        <x:v>46327</x:v>
      </x:c>
      <x:c r="J61" s="79" t="n">
        <x:v>46330</x:v>
      </x:c>
      <x:c r="K61" s="79" t="n">
        <x:v>46333</x:v>
      </x:c>
      <x:c r="L61" s="79" t="n">
        <x:v>46335</x:v>
      </x:c>
      <x:c r="M61" s="79" t="n">
        <x:v>46362</x:v>
      </x:c>
      <x:c r="N61" s="79" t="n">
        <x:v>46344</x:v>
      </x:c>
      <x:c r="O61" s="79" t="n">
        <x:v>46388</x:v>
      </x:c>
      <x:c r="P61" s="37" t="inlineStr">
        <x:is>
          <x:t xml:space="preserve">crawl_sampling_master.xlsx</x:t>
        </x:is>
      </x:c>
    </x:row>
    <x:row r="62">
      <x:c r="A62" s="76" t="n">
        <x:v>46316</x:v>
      </x:c>
      <x:c r="B62" s="36" t="inlineStr">
        <x:is>
          <x:t xml:space="preserve">Thứ Tư</x:t>
        </x:is>
      </x:c>
      <x:c r="C62" s="36" t="inlineStr">
        <x:is>
          <x:t xml:space="preserve">00:30</x:t>
        </x:is>
      </x:c>
      <x:c r="D62" s="76" t="n">
        <x:v>46338</x:v>
      </x:c>
      <x:c r="E62" s="76" t="n">
        <x:v>46340</x:v>
      </x:c>
      <x:c r="F62" s="76" t="n">
        <x:v>46343</x:v>
      </x:c>
      <x:c r="G62" s="76" t="n">
        <x:v>46319</x:v>
      </x:c>
      <x:c r="H62" s="76" t="n">
        <x:v>46323</x:v>
      </x:c>
      <x:c r="I62" s="76" t="n">
        <x:v>46327</x:v>
      </x:c>
      <x:c r="J62" s="76" t="n">
        <x:v>46330</x:v>
      </x:c>
      <x:c r="K62" s="76" t="n">
        <x:v>46333</x:v>
      </x:c>
      <x:c r="L62" s="76" t="n">
        <x:v>46335</x:v>
      </x:c>
      <x:c r="M62" s="76" t="n">
        <x:v>46362</x:v>
      </x:c>
      <x:c r="N62" s="76" t="n">
        <x:v>46344</x:v>
      </x:c>
      <x:c r="O62" s="76" t="n">
        <x:v>46388</x:v>
      </x:c>
      <x:c r="P62" s="36" t="inlineStr">
        <x:is>
          <x:t xml:space="preserve">crawl_sampling_master.xlsx</x:t>
        </x:is>
      </x:c>
    </x:row>
    <x:row r="63">
      <x:c r="A63" s="79" t="n">
        <x:v>46317</x:v>
      </x:c>
      <x:c r="B63" s="37" t="inlineStr">
        <x:is>
          <x:t xml:space="preserve">Thứ Năm</x:t>
        </x:is>
      </x:c>
      <x:c r="C63" s="37" t="inlineStr">
        <x:is>
          <x:t xml:space="preserve">00:30</x:t>
        </x:is>
      </x:c>
      <x:c r="D63" s="79" t="n">
        <x:v>46338</x:v>
      </x:c>
      <x:c r="E63" s="79" t="n">
        <x:v>46340</x:v>
      </x:c>
      <x:c r="F63" s="79" t="n">
        <x:v>46343</x:v>
      </x:c>
      <x:c r="G63" s="79" t="n">
        <x:v>46319</x:v>
      </x:c>
      <x:c r="H63" s="79" t="n">
        <x:v>46323</x:v>
      </x:c>
      <x:c r="I63" s="79" t="n">
        <x:v>46327</x:v>
      </x:c>
      <x:c r="J63" s="79" t="n">
        <x:v>46330</x:v>
      </x:c>
      <x:c r="K63" s="79" t="n">
        <x:v>46333</x:v>
      </x:c>
      <x:c r="L63" s="79" t="n">
        <x:v>46335</x:v>
      </x:c>
      <x:c r="M63" s="79" t="n">
        <x:v>46362</x:v>
      </x:c>
      <x:c r="N63" s="79" t="n">
        <x:v>46344</x:v>
      </x:c>
      <x:c r="O63" s="79" t="n">
        <x:v>46388</x:v>
      </x:c>
      <x:c r="P63" s="37" t="inlineStr">
        <x:is>
          <x:t xml:space="preserve">crawl_sampling_master.xlsx</x:t>
        </x:is>
      </x:c>
    </x:row>
    <x:row r="64">
      <x:c r="A64" s="76" t="n">
        <x:v>46318</x:v>
      </x:c>
      <x:c r="B64" s="36" t="inlineStr">
        <x:is>
          <x:t xml:space="preserve">Thứ Sáu</x:t>
        </x:is>
      </x:c>
      <x:c r="C64" s="36" t="inlineStr">
        <x:is>
          <x:t xml:space="preserve">00:30</x:t>
        </x:is>
      </x:c>
      <x:c r="D64" s="76" t="n">
        <x:v>46338</x:v>
      </x:c>
      <x:c r="E64" s="76" t="n">
        <x:v>46340</x:v>
      </x:c>
      <x:c r="F64" s="76" t="n">
        <x:v>46343</x:v>
      </x:c>
      <x:c r="G64" s="76" t="n">
        <x:v>46319</x:v>
      </x:c>
      <x:c r="H64" s="76" t="n">
        <x:v>46323</x:v>
      </x:c>
      <x:c r="I64" s="76" t="n">
        <x:v>46327</x:v>
      </x:c>
      <x:c r="J64" s="76" t="n">
        <x:v>46330</x:v>
      </x:c>
      <x:c r="K64" s="76" t="n">
        <x:v>46333</x:v>
      </x:c>
      <x:c r="L64" s="76" t="n">
        <x:v>46335</x:v>
      </x:c>
      <x:c r="M64" s="76" t="n">
        <x:v>46362</x:v>
      </x:c>
      <x:c r="N64" s="76" t="n">
        <x:v>46344</x:v>
      </x:c>
      <x:c r="O64" s="76" t="n">
        <x:v>46388</x:v>
      </x:c>
      <x:c r="P64" s="36" t="inlineStr">
        <x:is>
          <x:t xml:space="preserve">crawl_sampling_master.xlsx</x:t>
        </x:is>
      </x:c>
    </x:row>
    <x:row r="65">
      <x:c r="A65" s="79" t="n">
        <x:v>46319</x:v>
      </x:c>
      <x:c r="B65" s="37" t="inlineStr">
        <x:is>
          <x:t xml:space="preserve">Thứ Bảy</x:t>
        </x:is>
      </x:c>
      <x:c r="C65" s="37" t="inlineStr">
        <x:is>
          <x:t xml:space="preserve">00:30</x:t>
        </x:is>
      </x:c>
      <x:c r="D65" s="79" t="n">
        <x:v>46338</x:v>
      </x:c>
      <x:c r="E65" s="79" t="n">
        <x:v>46340</x:v>
      </x:c>
      <x:c r="F65" s="79" t="n">
        <x:v>46343</x:v>
      </x:c>
      <x:c r="G65" s="79" t="n">
        <x:v>46319</x:v>
      </x:c>
      <x:c r="H65" s="79" t="n">
        <x:v>46323</x:v>
      </x:c>
      <x:c r="I65" s="79" t="n">
        <x:v>46327</x:v>
      </x:c>
      <x:c r="J65" s="79" t="n">
        <x:v>46330</x:v>
      </x:c>
      <x:c r="K65" s="79" t="n">
        <x:v>46333</x:v>
      </x:c>
      <x:c r="L65" s="79" t="n">
        <x:v>46335</x:v>
      </x:c>
      <x:c r="M65" s="79" t="n">
        <x:v>46362</x:v>
      </x:c>
      <x:c r="N65" s="79" t="n">
        <x:v>46344</x:v>
      </x:c>
      <x:c r="O65" s="79" t="n">
        <x:v>46388</x:v>
      </x:c>
      <x:c r="P65" s="37" t="inlineStr">
        <x:is>
          <x:t xml:space="preserve">crawl_sampling_master.xlsx</x:t>
        </x:is>
      </x:c>
    </x:row>
    <x:row r="66">
      <x:c r="A66" s="76" t="n">
        <x:v>46320</x:v>
      </x:c>
      <x:c r="B66" s="36" t="inlineStr">
        <x:is>
          <x:t xml:space="preserve">Chủ Nhật</x:t>
        </x:is>
      </x:c>
      <x:c r="C66" s="36" t="inlineStr">
        <x:is>
          <x:t xml:space="preserve">00:30</x:t>
        </x:is>
      </x:c>
      <x:c r="D66" s="76" t="n">
        <x:v>46338</x:v>
      </x:c>
      <x:c r="E66" s="76" t="n">
        <x:v>46340</x:v>
      </x:c>
      <x:c r="F66" s="76" t="n">
        <x:v>46343</x:v>
      </x:c>
      <x:c r="G66" s="76" t="n">
        <x:v>46347</x:v>
      </x:c>
      <x:c r="H66" s="76" t="n">
        <x:v>46323</x:v>
      </x:c>
      <x:c r="I66" s="76" t="n">
        <x:v>46327</x:v>
      </x:c>
      <x:c r="J66" s="76" t="n">
        <x:v>46330</x:v>
      </x:c>
      <x:c r="K66" s="76" t="n">
        <x:v>46333</x:v>
      </x:c>
      <x:c r="L66" s="76" t="n">
        <x:v>46335</x:v>
      </x:c>
      <x:c r="M66" s="76" t="n">
        <x:v>46362</x:v>
      </x:c>
      <x:c r="N66" s="76" t="n">
        <x:v>46344</x:v>
      </x:c>
      <x:c r="O66" s="76" t="n">
        <x:v>46388</x:v>
      </x:c>
      <x:c r="P66" s="36" t="inlineStr">
        <x:is>
          <x:t xml:space="preserve">crawl_sampling_master.xlsx</x:t>
        </x:is>
      </x:c>
    </x:row>
    <x:row r="67">
      <x:c r="A67" s="79" t="n">
        <x:v>46321</x:v>
      </x:c>
      <x:c r="B67" s="37" t="inlineStr">
        <x:is>
          <x:t xml:space="preserve">Thứ Hai</x:t>
        </x:is>
      </x:c>
      <x:c r="C67" s="37" t="inlineStr">
        <x:is>
          <x:t xml:space="preserve">00:30</x:t>
        </x:is>
      </x:c>
      <x:c r="D67" s="79" t="n">
        <x:v>46338</x:v>
      </x:c>
      <x:c r="E67" s="79" t="n">
        <x:v>46340</x:v>
      </x:c>
      <x:c r="F67" s="79" t="n">
        <x:v>46343</x:v>
      </x:c>
      <x:c r="G67" s="79" t="n">
        <x:v>46347</x:v>
      </x:c>
      <x:c r="H67" s="79" t="n">
        <x:v>46323</x:v>
      </x:c>
      <x:c r="I67" s="79" t="n">
        <x:v>46327</x:v>
      </x:c>
      <x:c r="J67" s="79" t="n">
        <x:v>46330</x:v>
      </x:c>
      <x:c r="K67" s="79" t="n">
        <x:v>46333</x:v>
      </x:c>
      <x:c r="L67" s="79" t="n">
        <x:v>46335</x:v>
      </x:c>
      <x:c r="M67" s="79" t="n">
        <x:v>46362</x:v>
      </x:c>
      <x:c r="N67" s="79" t="n">
        <x:v>46344</x:v>
      </x:c>
      <x:c r="O67" s="79" t="n">
        <x:v>46388</x:v>
      </x:c>
      <x:c r="P67" s="37" t="inlineStr">
        <x:is>
          <x:t xml:space="preserve">crawl_sampling_master.xlsx</x:t>
        </x:is>
      </x:c>
    </x:row>
    <x:row r="68">
      <x:c r="A68" s="76" t="n">
        <x:v>46322</x:v>
      </x:c>
      <x:c r="B68" s="36" t="inlineStr">
        <x:is>
          <x:t xml:space="preserve">Thứ Ba</x:t>
        </x:is>
      </x:c>
      <x:c r="C68" s="36" t="inlineStr">
        <x:is>
          <x:t xml:space="preserve">00:30</x:t>
        </x:is>
      </x:c>
      <x:c r="D68" s="76" t="n">
        <x:v>46338</x:v>
      </x:c>
      <x:c r="E68" s="76" t="n">
        <x:v>46340</x:v>
      </x:c>
      <x:c r="F68" s="76" t="n">
        <x:v>46343</x:v>
      </x:c>
      <x:c r="G68" s="76" t="n">
        <x:v>46347</x:v>
      </x:c>
      <x:c r="H68" s="76" t="n">
        <x:v>46323</x:v>
      </x:c>
      <x:c r="I68" s="76" t="n">
        <x:v>46327</x:v>
      </x:c>
      <x:c r="J68" s="76" t="n">
        <x:v>46330</x:v>
      </x:c>
      <x:c r="K68" s="76" t="n">
        <x:v>46333</x:v>
      </x:c>
      <x:c r="L68" s="76" t="n">
        <x:v>46335</x:v>
      </x:c>
      <x:c r="M68" s="76" t="n">
        <x:v>46362</x:v>
      </x:c>
      <x:c r="N68" s="76" t="n">
        <x:v>46344</x:v>
      </x:c>
      <x:c r="O68" s="76" t="n">
        <x:v>46388</x:v>
      </x:c>
      <x:c r="P68" s="36" t="inlineStr">
        <x:is>
          <x:t xml:space="preserve">crawl_sampling_master.xlsx</x:t>
        </x:is>
      </x:c>
    </x:row>
    <x:row r="69">
      <x:c r="A69" s="79" t="n">
        <x:v>46323</x:v>
      </x:c>
      <x:c r="B69" s="37" t="inlineStr">
        <x:is>
          <x:t xml:space="preserve">Thứ Tư</x:t>
        </x:is>
      </x:c>
      <x:c r="C69" s="37" t="inlineStr">
        <x:is>
          <x:t xml:space="preserve">00:30</x:t>
        </x:is>
      </x:c>
      <x:c r="D69" s="79" t="n">
        <x:v>46338</x:v>
      </x:c>
      <x:c r="E69" s="79" t="n">
        <x:v>46340</x:v>
      </x:c>
      <x:c r="F69" s="79" t="n">
        <x:v>46343</x:v>
      </x:c>
      <x:c r="G69" s="79" t="n">
        <x:v>46347</x:v>
      </x:c>
      <x:c r="H69" s="79" t="n">
        <x:v>46323</x:v>
      </x:c>
      <x:c r="I69" s="79" t="n">
        <x:v>46327</x:v>
      </x:c>
      <x:c r="J69" s="79" t="n">
        <x:v>46330</x:v>
      </x:c>
      <x:c r="K69" s="79" t="n">
        <x:v>46333</x:v>
      </x:c>
      <x:c r="L69" s="79" t="n">
        <x:v>46335</x:v>
      </x:c>
      <x:c r="M69" s="79" t="n">
        <x:v>46362</x:v>
      </x:c>
      <x:c r="N69" s="79" t="n">
        <x:v>46344</x:v>
      </x:c>
      <x:c r="O69" s="79" t="n">
        <x:v>46388</x:v>
      </x:c>
      <x:c r="P69" s="37" t="inlineStr">
        <x:is>
          <x:t xml:space="preserve">crawl_sampling_master.xlsx</x:t>
        </x:is>
      </x:c>
    </x:row>
    <x:row r="70">
      <x:c r="A70" s="76" t="n">
        <x:v>46324</x:v>
      </x:c>
      <x:c r="B70" s="36" t="inlineStr">
        <x:is>
          <x:t xml:space="preserve">Thứ Năm</x:t>
        </x:is>
      </x:c>
      <x:c r="C70" s="36" t="inlineStr">
        <x:is>
          <x:t xml:space="preserve">00:30</x:t>
        </x:is>
      </x:c>
      <x:c r="D70" s="76" t="n">
        <x:v>46338</x:v>
      </x:c>
      <x:c r="E70" s="76" t="n">
        <x:v>46340</x:v>
      </x:c>
      <x:c r="F70" s="76" t="n">
        <x:v>46343</x:v>
      </x:c>
      <x:c r="G70" s="76" t="n">
        <x:v>46347</x:v>
      </x:c>
      <x:c r="H70" s="76" t="n">
        <x:v>46351</x:v>
      </x:c>
      <x:c r="I70" s="76" t="n">
        <x:v>46327</x:v>
      </x:c>
      <x:c r="J70" s="76" t="n">
        <x:v>46330</x:v>
      </x:c>
      <x:c r="K70" s="76" t="n">
        <x:v>46333</x:v>
      </x:c>
      <x:c r="L70" s="76" t="n">
        <x:v>46335</x:v>
      </x:c>
      <x:c r="M70" s="76" t="n">
        <x:v>46362</x:v>
      </x:c>
      <x:c r="N70" s="76" t="n">
        <x:v>46344</x:v>
      </x:c>
      <x:c r="O70" s="76" t="n">
        <x:v>46388</x:v>
      </x:c>
      <x:c r="P70" s="36" t="inlineStr">
        <x:is>
          <x:t xml:space="preserve">crawl_sampling_master.xlsx</x:t>
        </x:is>
      </x:c>
    </x:row>
    <x:row r="71">
      <x:c r="A71" s="79" t="n">
        <x:v>46325</x:v>
      </x:c>
      <x:c r="B71" s="37" t="inlineStr">
        <x:is>
          <x:t xml:space="preserve">Thứ Sáu</x:t>
        </x:is>
      </x:c>
      <x:c r="C71" s="37" t="inlineStr">
        <x:is>
          <x:t xml:space="preserve">00:30</x:t>
        </x:is>
      </x:c>
      <x:c r="D71" s="79" t="n">
        <x:v>46338</x:v>
      </x:c>
      <x:c r="E71" s="79" t="n">
        <x:v>46340</x:v>
      </x:c>
      <x:c r="F71" s="79" t="n">
        <x:v>46343</x:v>
      </x:c>
      <x:c r="G71" s="79" t="n">
        <x:v>46347</x:v>
      </x:c>
      <x:c r="H71" s="79" t="n">
        <x:v>46351</x:v>
      </x:c>
      <x:c r="I71" s="79" t="n">
        <x:v>46327</x:v>
      </x:c>
      <x:c r="J71" s="79" t="n">
        <x:v>46330</x:v>
      </x:c>
      <x:c r="K71" s="79" t="n">
        <x:v>46333</x:v>
      </x:c>
      <x:c r="L71" s="79" t="n">
        <x:v>46335</x:v>
      </x:c>
      <x:c r="M71" s="79" t="n">
        <x:v>46362</x:v>
      </x:c>
      <x:c r="N71" s="79" t="n">
        <x:v>46344</x:v>
      </x:c>
      <x:c r="O71" s="79" t="n">
        <x:v>46388</x:v>
      </x:c>
      <x:c r="P71" s="37" t="inlineStr">
        <x:is>
          <x:t xml:space="preserve">crawl_sampling_master.xlsx</x:t>
        </x:is>
      </x:c>
    </x:row>
    <x:row r="72">
      <x:c r="A72" s="76" t="n">
        <x:v>46326</x:v>
      </x:c>
      <x:c r="B72" s="36" t="inlineStr">
        <x:is>
          <x:t xml:space="preserve">Thứ Bảy</x:t>
        </x:is>
      </x:c>
      <x:c r="C72" s="36" t="inlineStr">
        <x:is>
          <x:t xml:space="preserve">00:30</x:t>
        </x:is>
      </x:c>
      <x:c r="D72" s="76" t="n">
        <x:v>46338</x:v>
      </x:c>
      <x:c r="E72" s="76" t="n">
        <x:v>46340</x:v>
      </x:c>
      <x:c r="F72" s="76" t="n">
        <x:v>46343</x:v>
      </x:c>
      <x:c r="G72" s="76" t="n">
        <x:v>46347</x:v>
      </x:c>
      <x:c r="H72" s="76" t="n">
        <x:v>46351</x:v>
      </x:c>
      <x:c r="I72" s="76" t="n">
        <x:v>46327</x:v>
      </x:c>
      <x:c r="J72" s="76" t="n">
        <x:v>46330</x:v>
      </x:c>
      <x:c r="K72" s="76" t="n">
        <x:v>46333</x:v>
      </x:c>
      <x:c r="L72" s="76" t="n">
        <x:v>46335</x:v>
      </x:c>
      <x:c r="M72" s="76" t="n">
        <x:v>46362</x:v>
      </x:c>
      <x:c r="N72" s="76" t="n">
        <x:v>46344</x:v>
      </x:c>
      <x:c r="O72" s="76" t="n">
        <x:v>46388</x:v>
      </x:c>
      <x:c r="P72" s="36" t="inlineStr">
        <x:is>
          <x:t xml:space="preserve">crawl_sampling_master.xlsx</x:t>
        </x:is>
      </x:c>
    </x:row>
    <x:row r="73">
      <x:c r="A73" s="79" t="n">
        <x:v>46327</x:v>
      </x:c>
      <x:c r="B73" s="37" t="inlineStr">
        <x:is>
          <x:t xml:space="preserve">Chủ Nhật</x:t>
        </x:is>
      </x:c>
      <x:c r="C73" s="37" t="inlineStr">
        <x:is>
          <x:t xml:space="preserve">00:30</x:t>
        </x:is>
      </x:c>
      <x:c r="D73" s="79" t="n">
        <x:v>46338</x:v>
      </x:c>
      <x:c r="E73" s="79" t="n">
        <x:v>46340</x:v>
      </x:c>
      <x:c r="F73" s="79" t="n">
        <x:v>46343</x:v>
      </x:c>
      <x:c r="G73" s="79" t="n">
        <x:v>46347</x:v>
      </x:c>
      <x:c r="H73" s="79" t="n">
        <x:v>46351</x:v>
      </x:c>
      <x:c r="I73" s="79" t="n">
        <x:v>46327</x:v>
      </x:c>
      <x:c r="J73" s="79" t="n">
        <x:v>46330</x:v>
      </x:c>
      <x:c r="K73" s="79" t="n">
        <x:v>46333</x:v>
      </x:c>
      <x:c r="L73" s="79" t="n">
        <x:v>46335</x:v>
      </x:c>
      <x:c r="M73" s="79" t="n">
        <x:v>46362</x:v>
      </x:c>
      <x:c r="N73" s="79" t="n">
        <x:v>46344</x:v>
      </x:c>
      <x:c r="O73" s="79" t="n">
        <x:v>46388</x:v>
      </x:c>
      <x:c r="P73" s="37" t="inlineStr">
        <x:is>
          <x:t xml:space="preserve">crawl_sampling_master.xlsx</x:t>
        </x:is>
      </x:c>
    </x:row>
    <x:row r="74">
      <x:c r="A74" s="76" t="n">
        <x:v>46328</x:v>
      </x:c>
      <x:c r="B74" s="36" t="inlineStr">
        <x:is>
          <x:t xml:space="preserve">Thứ Hai</x:t>
        </x:is>
      </x:c>
      <x:c r="C74" s="36" t="inlineStr">
        <x:is>
          <x:t xml:space="preserve">00:30</x:t>
        </x:is>
      </x:c>
      <x:c r="D74" s="76" t="n">
        <x:v>46338</x:v>
      </x:c>
      <x:c r="E74" s="76" t="n">
        <x:v>46340</x:v>
      </x:c>
      <x:c r="F74" s="76" t="n">
        <x:v>46343</x:v>
      </x:c>
      <x:c r="G74" s="76" t="n">
        <x:v>46347</x:v>
      </x:c>
      <x:c r="H74" s="76" t="n">
        <x:v>46351</x:v>
      </x:c>
      <x:c r="I74" s="76" t="n">
        <x:v>46355</x:v>
      </x:c>
      <x:c r="J74" s="76" t="n">
        <x:v>46330</x:v>
      </x:c>
      <x:c r="K74" s="76" t="n">
        <x:v>46333</x:v>
      </x:c>
      <x:c r="L74" s="76" t="n">
        <x:v>46335</x:v>
      </x:c>
      <x:c r="M74" s="76" t="n">
        <x:v>46362</x:v>
      </x:c>
      <x:c r="N74" s="76" t="n">
        <x:v>46344</x:v>
      </x:c>
      <x:c r="O74" s="76" t="n">
        <x:v>46388</x:v>
      </x:c>
      <x:c r="P74" s="36" t="inlineStr">
        <x:is>
          <x:t xml:space="preserve">crawl_sampling_master.xlsx</x:t>
        </x:is>
      </x:c>
    </x:row>
    <x:row r="75">
      <x:c r="A75" s="79" t="n">
        <x:v>46329</x:v>
      </x:c>
      <x:c r="B75" s="37" t="inlineStr">
        <x:is>
          <x:t xml:space="preserve">Thứ Ba</x:t>
        </x:is>
      </x:c>
      <x:c r="C75" s="37" t="inlineStr">
        <x:is>
          <x:t xml:space="preserve">00:30</x:t>
        </x:is>
      </x:c>
      <x:c r="D75" s="79" t="n">
        <x:v>46338</x:v>
      </x:c>
      <x:c r="E75" s="79" t="n">
        <x:v>46340</x:v>
      </x:c>
      <x:c r="F75" s="79" t="n">
        <x:v>46343</x:v>
      </x:c>
      <x:c r="G75" s="79" t="n">
        <x:v>46347</x:v>
      </x:c>
      <x:c r="H75" s="79" t="n">
        <x:v>46351</x:v>
      </x:c>
      <x:c r="I75" s="79" t="n">
        <x:v>46355</x:v>
      </x:c>
      <x:c r="J75" s="79" t="n">
        <x:v>46330</x:v>
      </x:c>
      <x:c r="K75" s="79" t="n">
        <x:v>46333</x:v>
      </x:c>
      <x:c r="L75" s="79" t="n">
        <x:v>46335</x:v>
      </x:c>
      <x:c r="M75" s="79" t="n">
        <x:v>46362</x:v>
      </x:c>
      <x:c r="N75" s="79" t="n">
        <x:v>46344</x:v>
      </x:c>
      <x:c r="O75" s="79" t="n">
        <x:v>46388</x:v>
      </x:c>
      <x:c r="P75" s="37" t="inlineStr">
        <x:is>
          <x:t xml:space="preserve">crawl_sampling_master.xlsx</x:t>
        </x:is>
      </x:c>
    </x:row>
    <x:row r="76">
      <x:c r="A76" s="76" t="n">
        <x:v>46330</x:v>
      </x:c>
      <x:c r="B76" s="36" t="inlineStr">
        <x:is>
          <x:t xml:space="preserve">Thứ Tư</x:t>
        </x:is>
      </x:c>
      <x:c r="C76" s="36" t="inlineStr">
        <x:is>
          <x:t xml:space="preserve">00:30</x:t>
        </x:is>
      </x:c>
      <x:c r="D76" s="76" t="n">
        <x:v>46338</x:v>
      </x:c>
      <x:c r="E76" s="76" t="n">
        <x:v>46340</x:v>
      </x:c>
      <x:c r="F76" s="76" t="n">
        <x:v>46343</x:v>
      </x:c>
      <x:c r="G76" s="76" t="n">
        <x:v>46347</x:v>
      </x:c>
      <x:c r="H76" s="76" t="n">
        <x:v>46351</x:v>
      </x:c>
      <x:c r="I76" s="76" t="n">
        <x:v>46355</x:v>
      </x:c>
      <x:c r="J76" s="76" t="n">
        <x:v>46330</x:v>
      </x:c>
      <x:c r="K76" s="76" t="n">
        <x:v>46333</x:v>
      </x:c>
      <x:c r="L76" s="76" t="n">
        <x:v>46335</x:v>
      </x:c>
      <x:c r="M76" s="76" t="n">
        <x:v>46362</x:v>
      </x:c>
      <x:c r="N76" s="76" t="n">
        <x:v>46344</x:v>
      </x:c>
      <x:c r="O76" s="76" t="n">
        <x:v>46388</x:v>
      </x:c>
      <x:c r="P76" s="36" t="inlineStr">
        <x:is>
          <x:t xml:space="preserve">crawl_sampling_master.xlsx</x:t>
        </x:is>
      </x:c>
    </x:row>
    <x:row r="77">
      <x:c r="A77" s="79" t="n">
        <x:v>46331</x:v>
      </x:c>
      <x:c r="B77" s="37" t="inlineStr">
        <x:is>
          <x:t xml:space="preserve">Thứ Năm</x:t>
        </x:is>
      </x:c>
      <x:c r="C77" s="37" t="inlineStr">
        <x:is>
          <x:t xml:space="preserve">00:30</x:t>
        </x:is>
      </x:c>
      <x:c r="D77" s="79" t="n">
        <x:v>46338</x:v>
      </x:c>
      <x:c r="E77" s="79" t="n">
        <x:v>46340</x:v>
      </x:c>
      <x:c r="F77" s="79" t="n">
        <x:v>46343</x:v>
      </x:c>
      <x:c r="G77" s="79" t="n">
        <x:v>46347</x:v>
      </x:c>
      <x:c r="H77" s="79" t="n">
        <x:v>46351</x:v>
      </x:c>
      <x:c r="I77" s="79" t="n">
        <x:v>46355</x:v>
      </x:c>
      <x:c r="J77" s="79" t="n">
        <x:v>46358</x:v>
      </x:c>
      <x:c r="K77" s="79" t="n">
        <x:v>46333</x:v>
      </x:c>
      <x:c r="L77" s="79" t="n">
        <x:v>46335</x:v>
      </x:c>
      <x:c r="M77" s="79" t="n">
        <x:v>46362</x:v>
      </x:c>
      <x:c r="N77" s="79" t="n">
        <x:v>46344</x:v>
      </x:c>
      <x:c r="O77" s="79" t="n">
        <x:v>46388</x:v>
      </x:c>
      <x:c r="P77" s="37" t="inlineStr">
        <x:is>
          <x:t xml:space="preserve">crawl_sampling_master.xlsx</x:t>
        </x:is>
      </x:c>
    </x:row>
    <x:row r="78">
      <x:c r="A78" s="76" t="n">
        <x:v>46332</x:v>
      </x:c>
      <x:c r="B78" s="36" t="inlineStr">
        <x:is>
          <x:t xml:space="preserve">Thứ Sáu</x:t>
        </x:is>
      </x:c>
      <x:c r="C78" s="36" t="inlineStr">
        <x:is>
          <x:t xml:space="preserve">00:30</x:t>
        </x:is>
      </x:c>
      <x:c r="D78" s="76" t="n">
        <x:v>46338</x:v>
      </x:c>
      <x:c r="E78" s="76" t="n">
        <x:v>46340</x:v>
      </x:c>
      <x:c r="F78" s="76" t="n">
        <x:v>46343</x:v>
      </x:c>
      <x:c r="G78" s="76" t="n">
        <x:v>46347</x:v>
      </x:c>
      <x:c r="H78" s="76" t="n">
        <x:v>46351</x:v>
      </x:c>
      <x:c r="I78" s="76" t="n">
        <x:v>46355</x:v>
      </x:c>
      <x:c r="J78" s="76" t="n">
        <x:v>46358</x:v>
      </x:c>
      <x:c r="K78" s="76" t="n">
        <x:v>46333</x:v>
      </x:c>
      <x:c r="L78" s="76" t="n">
        <x:v>46335</x:v>
      </x:c>
      <x:c r="M78" s="76" t="n">
        <x:v>46362</x:v>
      </x:c>
      <x:c r="N78" s="76" t="n">
        <x:v>46344</x:v>
      </x:c>
      <x:c r="O78" s="76" t="n">
        <x:v>46388</x:v>
      </x:c>
      <x:c r="P78" s="36" t="inlineStr">
        <x:is>
          <x:t xml:space="preserve">crawl_sampling_master.xlsx</x:t>
        </x:is>
      </x:c>
    </x:row>
    <x:row r="79">
      <x:c r="A79" s="79" t="n">
        <x:v>46333</x:v>
      </x:c>
      <x:c r="B79" s="37" t="inlineStr">
        <x:is>
          <x:t xml:space="preserve">Thứ Bảy</x:t>
        </x:is>
      </x:c>
      <x:c r="C79" s="37" t="inlineStr">
        <x:is>
          <x:t xml:space="preserve">00:30</x:t>
        </x:is>
      </x:c>
      <x:c r="D79" s="79" t="n">
        <x:v>46338</x:v>
      </x:c>
      <x:c r="E79" s="79" t="n">
        <x:v>46340</x:v>
      </x:c>
      <x:c r="F79" s="79" t="n">
        <x:v>46343</x:v>
      </x:c>
      <x:c r="G79" s="79" t="n">
        <x:v>46347</x:v>
      </x:c>
      <x:c r="H79" s="79" t="n">
        <x:v>46351</x:v>
      </x:c>
      <x:c r="I79" s="79" t="n">
        <x:v>46355</x:v>
      </x:c>
      <x:c r="J79" s="79" t="n">
        <x:v>46358</x:v>
      </x:c>
      <x:c r="K79" s="79" t="n">
        <x:v>46333</x:v>
      </x:c>
      <x:c r="L79" s="79" t="n">
        <x:v>46335</x:v>
      </x:c>
      <x:c r="M79" s="79" t="n">
        <x:v>46362</x:v>
      </x:c>
      <x:c r="N79" s="79" t="n">
        <x:v>46344</x:v>
      </x:c>
      <x:c r="O79" s="79" t="n">
        <x:v>46388</x:v>
      </x:c>
      <x:c r="P79" s="37" t="inlineStr">
        <x:is>
          <x:t xml:space="preserve">crawl_sampling_master.xlsx</x:t>
        </x:is>
      </x:c>
    </x:row>
    <x:row r="80">
      <x:c r="A80" s="76" t="n">
        <x:v>46334</x:v>
      </x:c>
      <x:c r="B80" s="36" t="inlineStr">
        <x:is>
          <x:t xml:space="preserve">Chủ Nhật</x:t>
        </x:is>
      </x:c>
      <x:c r="C80" s="36" t="inlineStr">
        <x:is>
          <x:t xml:space="preserve">00:30</x:t>
        </x:is>
      </x:c>
      <x:c r="D80" s="76" t="n">
        <x:v>46338</x:v>
      </x:c>
      <x:c r="E80" s="76" t="n">
        <x:v>46340</x:v>
      </x:c>
      <x:c r="F80" s="76" t="n">
        <x:v>46343</x:v>
      </x:c>
      <x:c r="G80" s="76" t="n">
        <x:v>46347</x:v>
      </x:c>
      <x:c r="H80" s="76" t="n">
        <x:v>46351</x:v>
      </x:c>
      <x:c r="I80" s="76" t="n">
        <x:v>46355</x:v>
      </x:c>
      <x:c r="J80" s="76" t="n">
        <x:v>46358</x:v>
      </x:c>
      <x:c r="K80" s="76" t="n">
        <x:v>46361</x:v>
      </x:c>
      <x:c r="L80" s="76" t="n">
        <x:v>46335</x:v>
      </x:c>
      <x:c r="M80" s="76" t="n">
        <x:v>46362</x:v>
      </x:c>
      <x:c r="N80" s="76" t="n">
        <x:v>46344</x:v>
      </x:c>
      <x:c r="O80" s="76" t="n">
        <x:v>46388</x:v>
      </x:c>
      <x:c r="P80" s="36" t="inlineStr">
        <x:is>
          <x:t xml:space="preserve">crawl_sampling_master.xlsx</x:t>
        </x:is>
      </x:c>
    </x:row>
    <x:row r="81">
      <x:c r="A81" s="79" t="n">
        <x:v>46335</x:v>
      </x:c>
      <x:c r="B81" s="37" t="inlineStr">
        <x:is>
          <x:t xml:space="preserve">Thứ Hai</x:t>
        </x:is>
      </x:c>
      <x:c r="C81" s="37" t="inlineStr">
        <x:is>
          <x:t xml:space="preserve">00:30</x:t>
        </x:is>
      </x:c>
      <x:c r="D81" s="79" t="n">
        <x:v>46338</x:v>
      </x:c>
      <x:c r="E81" s="79" t="n">
        <x:v>46340</x:v>
      </x:c>
      <x:c r="F81" s="79" t="n">
        <x:v>46343</x:v>
      </x:c>
      <x:c r="G81" s="79" t="n">
        <x:v>46347</x:v>
      </x:c>
      <x:c r="H81" s="79" t="n">
        <x:v>46351</x:v>
      </x:c>
      <x:c r="I81" s="79" t="n">
        <x:v>46355</x:v>
      </x:c>
      <x:c r="J81" s="79" t="n">
        <x:v>46358</x:v>
      </x:c>
      <x:c r="K81" s="79" t="n">
        <x:v>46361</x:v>
      </x:c>
      <x:c r="L81" s="79" t="n">
        <x:v>46335</x:v>
      </x:c>
      <x:c r="M81" s="79" t="n">
        <x:v>46362</x:v>
      </x:c>
      <x:c r="N81" s="79" t="n">
        <x:v>46344</x:v>
      </x:c>
      <x:c r="O81" s="79" t="n">
        <x:v>46388</x:v>
      </x:c>
      <x:c r="P81" s="37" t="inlineStr">
        <x:is>
          <x:t xml:space="preserve">crawl_sampling_master.xlsx</x:t>
        </x:is>
      </x:c>
    </x:row>
    <x:row r="82">
      <x:c r="A82" s="76" t="n">
        <x:v>46336</x:v>
      </x:c>
      <x:c r="B82" s="36" t="inlineStr">
        <x:is>
          <x:t xml:space="preserve">Thứ Ba</x:t>
        </x:is>
      </x:c>
      <x:c r="C82" s="36" t="inlineStr">
        <x:is>
          <x:t xml:space="preserve">00:30</x:t>
        </x:is>
      </x:c>
      <x:c r="D82" s="76" t="n">
        <x:v>46338</x:v>
      </x:c>
      <x:c r="E82" s="76" t="n">
        <x:v>46340</x:v>
      </x:c>
      <x:c r="F82" s="76" t="n">
        <x:v>46343</x:v>
      </x:c>
      <x:c r="G82" s="76" t="n">
        <x:v>46347</x:v>
      </x:c>
      <x:c r="H82" s="76" t="n">
        <x:v>46351</x:v>
      </x:c>
      <x:c r="I82" s="76" t="n">
        <x:v>46355</x:v>
      </x:c>
      <x:c r="J82" s="76" t="n">
        <x:v>46358</x:v>
      </x:c>
      <x:c r="K82" s="76" t="n">
        <x:v>46361</x:v>
      </x:c>
      <x:c r="L82" s="76" t="n">
        <x:v>46363</x:v>
      </x:c>
      <x:c r="M82" s="76" t="n">
        <x:v>46362</x:v>
      </x:c>
      <x:c r="N82" s="76" t="n">
        <x:v>46344</x:v>
      </x:c>
      <x:c r="O82" s="76" t="n">
        <x:v>46388</x:v>
      </x:c>
      <x:c r="P82" s="36" t="inlineStr">
        <x:is>
          <x:t xml:space="preserve">crawl_sampling_master.xlsx</x:t>
        </x:is>
      </x:c>
    </x:row>
    <x:row r="83">
      <x:c r="A83" s="79" t="n">
        <x:v>46337</x:v>
      </x:c>
      <x:c r="B83" s="37" t="inlineStr">
        <x:is>
          <x:t xml:space="preserve">Thứ Tư</x:t>
        </x:is>
      </x:c>
      <x:c r="C83" s="37" t="inlineStr">
        <x:is>
          <x:t xml:space="preserve">00:30</x:t>
        </x:is>
      </x:c>
      <x:c r="D83" s="79" t="n">
        <x:v>46338</x:v>
      </x:c>
      <x:c r="E83" s="79" t="n">
        <x:v>46340</x:v>
      </x:c>
      <x:c r="F83" s="79" t="n">
        <x:v>46343</x:v>
      </x:c>
      <x:c r="G83" s="79" t="n">
        <x:v>46347</x:v>
      </x:c>
      <x:c r="H83" s="79" t="n">
        <x:v>46351</x:v>
      </x:c>
      <x:c r="I83" s="79" t="n">
        <x:v>46355</x:v>
      </x:c>
      <x:c r="J83" s="79" t="n">
        <x:v>46358</x:v>
      </x:c>
      <x:c r="K83" s="79" t="n">
        <x:v>46361</x:v>
      </x:c>
      <x:c r="L83" s="79" t="n">
        <x:v>46363</x:v>
      </x:c>
      <x:c r="M83" s="79" t="n">
        <x:v>46362</x:v>
      </x:c>
      <x:c r="N83" s="79" t="n">
        <x:v>46344</x:v>
      </x:c>
      <x:c r="O83" s="79" t="n">
        <x:v>46388</x:v>
      </x:c>
      <x:c r="P83" s="37" t="inlineStr">
        <x:is>
          <x:t xml:space="preserve">crawl_sampling_master.xlsx</x:t>
        </x:is>
      </x:c>
    </x:row>
    <x:row r="84">
      <x:c r="A84" s="76" t="n">
        <x:v>46338</x:v>
      </x:c>
      <x:c r="B84" s="36" t="inlineStr">
        <x:is>
          <x:t xml:space="preserve">Thứ Năm</x:t>
        </x:is>
      </x:c>
      <x:c r="C84" s="36" t="inlineStr">
        <x:is>
          <x:t xml:space="preserve">00:30</x:t>
        </x:is>
      </x:c>
      <x:c r="D84" s="76" t="n">
        <x:v>46338</x:v>
      </x:c>
      <x:c r="E84" s="76" t="n">
        <x:v>46340</x:v>
      </x:c>
      <x:c r="F84" s="76" t="n">
        <x:v>46343</x:v>
      </x:c>
      <x:c r="G84" s="76" t="n">
        <x:v>46347</x:v>
      </x:c>
      <x:c r="H84" s="76" t="n">
        <x:v>46351</x:v>
      </x:c>
      <x:c r="I84" s="76" t="n">
        <x:v>46355</x:v>
      </x:c>
      <x:c r="J84" s="76" t="n">
        <x:v>46358</x:v>
      </x:c>
      <x:c r="K84" s="76" t="n">
        <x:v>46361</x:v>
      </x:c>
      <x:c r="L84" s="76" t="n">
        <x:v>46363</x:v>
      </x:c>
      <x:c r="M84" s="76" t="n">
        <x:v>46362</x:v>
      </x:c>
      <x:c r="N84" s="76" t="n">
        <x:v>46344</x:v>
      </x:c>
      <x:c r="O84" s="76" t="n">
        <x:v>46388</x:v>
      </x:c>
      <x:c r="P84" s="36" t="inlineStr">
        <x:is>
          <x:t xml:space="preserve">crawl_sampling_master.xlsx</x:t>
        </x:is>
      </x:c>
    </x:row>
    <x:row r="85">
      <x:c r="A85" s="79" t="n">
        <x:v>46339</x:v>
      </x:c>
      <x:c r="B85" s="37" t="inlineStr">
        <x:is>
          <x:t xml:space="preserve">Thứ Sáu</x:t>
        </x:is>
      </x:c>
      <x:c r="C85" s="37" t="inlineStr">
        <x:is>
          <x:t xml:space="preserve">00:30</x:t>
        </x:is>
      </x:c>
      <x:c r="D85" s="79" t="n">
        <x:v>46366</x:v>
      </x:c>
      <x:c r="E85" s="79" t="n">
        <x:v>46340</x:v>
      </x:c>
      <x:c r="F85" s="79" t="n">
        <x:v>46343</x:v>
      </x:c>
      <x:c r="G85" s="79" t="n">
        <x:v>46347</x:v>
      </x:c>
      <x:c r="H85" s="79" t="n">
        <x:v>46351</x:v>
      </x:c>
      <x:c r="I85" s="79" t="n">
        <x:v>46355</x:v>
      </x:c>
      <x:c r="J85" s="79" t="n">
        <x:v>46358</x:v>
      </x:c>
      <x:c r="K85" s="79" t="n">
        <x:v>46361</x:v>
      </x:c>
      <x:c r="L85" s="79" t="n">
        <x:v>46363</x:v>
      </x:c>
      <x:c r="M85" s="79" t="n">
        <x:v>46362</x:v>
      </x:c>
      <x:c r="N85" s="79" t="n">
        <x:v>46344</x:v>
      </x:c>
      <x:c r="O85" s="79" t="n">
        <x:v>46388</x:v>
      </x:c>
      <x:c r="P85" s="37" t="inlineStr">
        <x:is>
          <x:t xml:space="preserve">crawl_sampling_master.xlsx</x:t>
        </x:is>
      </x:c>
    </x:row>
    <x:row r="86">
      <x:c r="A86" s="76" t="n">
        <x:v>46340</x:v>
      </x:c>
      <x:c r="B86" s="36" t="inlineStr">
        <x:is>
          <x:t xml:space="preserve">Thứ Bảy</x:t>
        </x:is>
      </x:c>
      <x:c r="C86" s="36" t="inlineStr">
        <x:is>
          <x:t xml:space="preserve">00:30</x:t>
        </x:is>
      </x:c>
      <x:c r="D86" s="76" t="n">
        <x:v>46366</x:v>
      </x:c>
      <x:c r="E86" s="76" t="n">
        <x:v>46340</x:v>
      </x:c>
      <x:c r="F86" s="76" t="n">
        <x:v>46343</x:v>
      </x:c>
      <x:c r="G86" s="76" t="n">
        <x:v>46347</x:v>
      </x:c>
      <x:c r="H86" s="76" t="n">
        <x:v>46351</x:v>
      </x:c>
      <x:c r="I86" s="76" t="n">
        <x:v>46355</x:v>
      </x:c>
      <x:c r="J86" s="76" t="n">
        <x:v>46358</x:v>
      </x:c>
      <x:c r="K86" s="76" t="n">
        <x:v>46361</x:v>
      </x:c>
      <x:c r="L86" s="76" t="n">
        <x:v>46363</x:v>
      </x:c>
      <x:c r="M86" s="76" t="n">
        <x:v>46362</x:v>
      </x:c>
      <x:c r="N86" s="76" t="n">
        <x:v>46344</x:v>
      </x:c>
      <x:c r="O86" s="76" t="n">
        <x:v>46388</x:v>
      </x:c>
      <x:c r="P86" s="36" t="inlineStr">
        <x:is>
          <x:t xml:space="preserve">crawl_sampling_master.xlsx</x:t>
        </x:is>
      </x:c>
    </x:row>
    <x:row r="87">
      <x:c r="A87" s="79" t="n">
        <x:v>46341</x:v>
      </x:c>
      <x:c r="B87" s="37" t="inlineStr">
        <x:is>
          <x:t xml:space="preserve">Chủ Nhật</x:t>
        </x:is>
      </x:c>
      <x:c r="C87" s="37" t="inlineStr">
        <x:is>
          <x:t xml:space="preserve">00:30</x:t>
        </x:is>
      </x:c>
      <x:c r="D87" s="79" t="n">
        <x:v>46366</x:v>
      </x:c>
      <x:c r="E87" s="79" t="n">
        <x:v>46368</x:v>
      </x:c>
      <x:c r="F87" s="79" t="n">
        <x:v>46343</x:v>
      </x:c>
      <x:c r="G87" s="79" t="n">
        <x:v>46347</x:v>
      </x:c>
      <x:c r="H87" s="79" t="n">
        <x:v>46351</x:v>
      </x:c>
      <x:c r="I87" s="79" t="n">
        <x:v>46355</x:v>
      </x:c>
      <x:c r="J87" s="79" t="n">
        <x:v>46358</x:v>
      </x:c>
      <x:c r="K87" s="79" t="n">
        <x:v>46361</x:v>
      </x:c>
      <x:c r="L87" s="79" t="n">
        <x:v>46363</x:v>
      </x:c>
      <x:c r="M87" s="79" t="n">
        <x:v>46362</x:v>
      </x:c>
      <x:c r="N87" s="79" t="n">
        <x:v>46344</x:v>
      </x:c>
      <x:c r="O87" s="79" t="n">
        <x:v>46388</x:v>
      </x:c>
      <x:c r="P87" s="37" t="inlineStr">
        <x:is>
          <x:t xml:space="preserve">crawl_sampling_master.xlsx</x:t>
        </x:is>
      </x:c>
    </x:row>
    <x:row r="88">
      <x:c r="A88" s="76" t="n">
        <x:v>46342</x:v>
      </x:c>
      <x:c r="B88" s="36" t="inlineStr">
        <x:is>
          <x:t xml:space="preserve">Thứ Hai</x:t>
        </x:is>
      </x:c>
      <x:c r="C88" s="36" t="inlineStr">
        <x:is>
          <x:t xml:space="preserve">00:30</x:t>
        </x:is>
      </x:c>
      <x:c r="D88" s="76" t="n">
        <x:v>46366</x:v>
      </x:c>
      <x:c r="E88" s="76" t="n">
        <x:v>46368</x:v>
      </x:c>
      <x:c r="F88" s="76" t="n">
        <x:v>46343</x:v>
      </x:c>
      <x:c r="G88" s="76" t="n">
        <x:v>46347</x:v>
      </x:c>
      <x:c r="H88" s="76" t="n">
        <x:v>46351</x:v>
      </x:c>
      <x:c r="I88" s="76" t="n">
        <x:v>46355</x:v>
      </x:c>
      <x:c r="J88" s="76" t="n">
        <x:v>46358</x:v>
      </x:c>
      <x:c r="K88" s="76" t="n">
        <x:v>46361</x:v>
      </x:c>
      <x:c r="L88" s="76" t="n">
        <x:v>46363</x:v>
      </x:c>
      <x:c r="M88" s="76" t="n">
        <x:v>46362</x:v>
      </x:c>
      <x:c r="N88" s="76" t="n">
        <x:v>46344</x:v>
      </x:c>
      <x:c r="O88" s="76" t="n">
        <x:v>46388</x:v>
      </x:c>
      <x:c r="P88" s="36" t="inlineStr">
        <x:is>
          <x:t xml:space="preserve">crawl_sampling_master.xlsx</x:t>
        </x:is>
      </x:c>
    </x:row>
    <x:row r="89">
      <x:c r="A89" s="79" t="n">
        <x:v>46343</x:v>
      </x:c>
      <x:c r="B89" s="37" t="inlineStr">
        <x:is>
          <x:t xml:space="preserve">Thứ Ba</x:t>
        </x:is>
      </x:c>
      <x:c r="C89" s="37" t="inlineStr">
        <x:is>
          <x:t xml:space="preserve">00:30</x:t>
        </x:is>
      </x:c>
      <x:c r="D89" s="79" t="n">
        <x:v>46366</x:v>
      </x:c>
      <x:c r="E89" s="79" t="n">
        <x:v>46368</x:v>
      </x:c>
      <x:c r="F89" s="79" t="n">
        <x:v>46343</x:v>
      </x:c>
      <x:c r="G89" s="79" t="n">
        <x:v>46347</x:v>
      </x:c>
      <x:c r="H89" s="79" t="n">
        <x:v>46351</x:v>
      </x:c>
      <x:c r="I89" s="79" t="n">
        <x:v>46355</x:v>
      </x:c>
      <x:c r="J89" s="79" t="n">
        <x:v>46358</x:v>
      </x:c>
      <x:c r="K89" s="79" t="n">
        <x:v>46361</x:v>
      </x:c>
      <x:c r="L89" s="79" t="n">
        <x:v>46363</x:v>
      </x:c>
      <x:c r="M89" s="79" t="n">
        <x:v>46362</x:v>
      </x:c>
      <x:c r="N89" s="79" t="n">
        <x:v>46344</x:v>
      </x:c>
      <x:c r="O89" s="79" t="n">
        <x:v>46388</x:v>
      </x:c>
      <x:c r="P89" s="37" t="inlineStr">
        <x:is>
          <x:t xml:space="preserve">crawl_sampling_master.xlsx</x:t>
        </x:is>
      </x:c>
    </x:row>
    <x:row r="90">
      <x:c r="A90" s="76" t="n">
        <x:v>46344</x:v>
      </x:c>
      <x:c r="B90" s="36" t="inlineStr">
        <x:is>
          <x:t xml:space="preserve">Thứ Tư</x:t>
        </x:is>
      </x:c>
      <x:c r="C90" s="36" t="inlineStr">
        <x:is>
          <x:t xml:space="preserve">00:30</x:t>
        </x:is>
      </x:c>
      <x:c r="D90" s="76" t="n">
        <x:v>46366</x:v>
      </x:c>
      <x:c r="E90" s="76" t="n">
        <x:v>46368</x:v>
      </x:c>
      <x:c r="F90" s="76" t="n">
        <x:v>46371</x:v>
      </x:c>
      <x:c r="G90" s="76" t="n">
        <x:v>46347</x:v>
      </x:c>
      <x:c r="H90" s="76" t="n">
        <x:v>46351</x:v>
      </x:c>
      <x:c r="I90" s="76" t="n">
        <x:v>46355</x:v>
      </x:c>
      <x:c r="J90" s="76" t="n">
        <x:v>46358</x:v>
      </x:c>
      <x:c r="K90" s="76" t="n">
        <x:v>46361</x:v>
      </x:c>
      <x:c r="L90" s="76" t="n">
        <x:v>46363</x:v>
      </x:c>
      <x:c r="M90" s="76" t="n">
        <x:v>46362</x:v>
      </x:c>
      <x:c r="N90" s="76" t="n">
        <x:v>46344</x:v>
      </x:c>
      <x:c r="O90" s="76" t="n">
        <x:v>46388</x:v>
      </x:c>
      <x:c r="P90" s="36" t="inlineStr">
        <x:is>
          <x:t xml:space="preserve">crawl_sampling_master.xlsx</x:t>
        </x:is>
      </x:c>
    </x:row>
    <x:row r="91">
      <x:c r="A91" s="79" t="n">
        <x:v>46345</x:v>
      </x:c>
      <x:c r="B91" s="37" t="inlineStr">
        <x:is>
          <x:t xml:space="preserve">Thứ Năm</x:t>
        </x:is>
      </x:c>
      <x:c r="C91" s="37" t="inlineStr">
        <x:is>
          <x:t xml:space="preserve">00:30</x:t>
        </x:is>
      </x:c>
      <x:c r="D91" s="79" t="n">
        <x:v>46366</x:v>
      </x:c>
      <x:c r="E91" s="79" t="n">
        <x:v>46368</x:v>
      </x:c>
      <x:c r="F91" s="79" t="n">
        <x:v>46371</x:v>
      </x:c>
      <x:c r="G91" s="79" t="n">
        <x:v>46347</x:v>
      </x:c>
      <x:c r="H91" s="79" t="n">
        <x:v>46351</x:v>
      </x:c>
      <x:c r="I91" s="79" t="n">
        <x:v>46355</x:v>
      </x:c>
      <x:c r="J91" s="79" t="n">
        <x:v>46358</x:v>
      </x:c>
      <x:c r="K91" s="79" t="n">
        <x:v>46361</x:v>
      </x:c>
      <x:c r="L91" s="79" t="n">
        <x:v>46363</x:v>
      </x:c>
      <x:c r="M91" s="79" t="n">
        <x:v>46362</x:v>
      </x:c>
      <x:c r="N91" s="79" t="n">
        <x:v>46428</x:v>
      </x:c>
      <x:c r="O91" s="79" t="n">
        <x:v>46388</x:v>
      </x:c>
      <x:c r="P91" s="37" t="inlineStr">
        <x:is>
          <x:t xml:space="preserve">crawl_sampling_master.xlsx</x:t>
        </x:is>
      </x:c>
    </x:row>
    <x:row r="92">
      <x:c r="A92" s="76" t="n">
        <x:v>46346</x:v>
      </x:c>
      <x:c r="B92" s="36" t="inlineStr">
        <x:is>
          <x:t xml:space="preserve">Thứ Sáu</x:t>
        </x:is>
      </x:c>
      <x:c r="C92" s="36" t="inlineStr">
        <x:is>
          <x:t xml:space="preserve">00:30</x:t>
        </x:is>
      </x:c>
      <x:c r="D92" s="76" t="n">
        <x:v>46366</x:v>
      </x:c>
      <x:c r="E92" s="76" t="n">
        <x:v>46368</x:v>
      </x:c>
      <x:c r="F92" s="76" t="n">
        <x:v>46371</x:v>
      </x:c>
      <x:c r="G92" s="76" t="n">
        <x:v>46347</x:v>
      </x:c>
      <x:c r="H92" s="76" t="n">
        <x:v>46351</x:v>
      </x:c>
      <x:c r="I92" s="76" t="n">
        <x:v>46355</x:v>
      </x:c>
      <x:c r="J92" s="76" t="n">
        <x:v>46358</x:v>
      </x:c>
      <x:c r="K92" s="76" t="n">
        <x:v>46361</x:v>
      </x:c>
      <x:c r="L92" s="76" t="n">
        <x:v>46363</x:v>
      </x:c>
      <x:c r="M92" s="76" t="n">
        <x:v>46362</x:v>
      </x:c>
      <x:c r="N92" s="76" t="n">
        <x:v>46428</x:v>
      </x:c>
      <x:c r="O92" s="76" t="n">
        <x:v>46388</x:v>
      </x:c>
      <x:c r="P92" s="36" t="inlineStr">
        <x:is>
          <x:t xml:space="preserve">crawl_sampling_master.xlsx</x:t>
        </x:is>
      </x:c>
    </x:row>
    <x:row r="93">
      <x:c r="A93" s="79" t="n">
        <x:v>46347</x:v>
      </x:c>
      <x:c r="B93" s="37" t="inlineStr">
        <x:is>
          <x:t xml:space="preserve">Thứ Bảy</x:t>
        </x:is>
      </x:c>
      <x:c r="C93" s="37" t="inlineStr">
        <x:is>
          <x:t xml:space="preserve">00:30</x:t>
        </x:is>
      </x:c>
      <x:c r="D93" s="79" t="n">
        <x:v>46366</x:v>
      </x:c>
      <x:c r="E93" s="79" t="n">
        <x:v>46368</x:v>
      </x:c>
      <x:c r="F93" s="79" t="n">
        <x:v>46371</x:v>
      </x:c>
      <x:c r="G93" s="79" t="n">
        <x:v>46347</x:v>
      </x:c>
      <x:c r="H93" s="79" t="n">
        <x:v>46351</x:v>
      </x:c>
      <x:c r="I93" s="79" t="n">
        <x:v>46355</x:v>
      </x:c>
      <x:c r="J93" s="79" t="n">
        <x:v>46358</x:v>
      </x:c>
      <x:c r="K93" s="79" t="n">
        <x:v>46361</x:v>
      </x:c>
      <x:c r="L93" s="79" t="n">
        <x:v>46363</x:v>
      </x:c>
      <x:c r="M93" s="79" t="n">
        <x:v>46362</x:v>
      </x:c>
      <x:c r="N93" s="79" t="n">
        <x:v>46428</x:v>
      </x:c>
      <x:c r="O93" s="79" t="n">
        <x:v>46388</x:v>
      </x:c>
      <x:c r="P93" s="37" t="inlineStr">
        <x:is>
          <x:t xml:space="preserve">crawl_sampling_master.xlsx</x:t>
        </x:is>
      </x:c>
    </x:row>
    <x:row r="94">
      <x:c r="A94" s="76" t="n">
        <x:v>46348</x:v>
      </x:c>
      <x:c r="B94" s="36" t="inlineStr">
        <x:is>
          <x:t xml:space="preserve">Chủ Nhật</x:t>
        </x:is>
      </x:c>
      <x:c r="C94" s="36" t="inlineStr">
        <x:is>
          <x:t xml:space="preserve">00:30</x:t>
        </x:is>
      </x:c>
      <x:c r="D94" s="76" t="n">
        <x:v>46366</x:v>
      </x:c>
      <x:c r="E94" s="76" t="n">
        <x:v>46368</x:v>
      </x:c>
      <x:c r="F94" s="76" t="n">
        <x:v>46371</x:v>
      </x:c>
      <x:c r="G94" s="76" t="n">
        <x:v>46375</x:v>
      </x:c>
      <x:c r="H94" s="76" t="n">
        <x:v>46351</x:v>
      </x:c>
      <x:c r="I94" s="76" t="n">
        <x:v>46355</x:v>
      </x:c>
      <x:c r="J94" s="76" t="n">
        <x:v>46358</x:v>
      </x:c>
      <x:c r="K94" s="76" t="n">
        <x:v>46361</x:v>
      </x:c>
      <x:c r="L94" s="76" t="n">
        <x:v>46363</x:v>
      </x:c>
      <x:c r="M94" s="76" t="n">
        <x:v>46362</x:v>
      </x:c>
      <x:c r="N94" s="76" t="n">
        <x:v>46428</x:v>
      </x:c>
      <x:c r="O94" s="76" t="n">
        <x:v>46388</x:v>
      </x:c>
      <x:c r="P94" s="36" t="inlineStr">
        <x:is>
          <x:t xml:space="preserve">crawl_sampling_master.xlsx</x:t>
        </x:is>
      </x:c>
    </x:row>
    <x:row r="95">
      <x:c r="A95" s="79" t="n">
        <x:v>46349</x:v>
      </x:c>
      <x:c r="B95" s="37" t="inlineStr">
        <x:is>
          <x:t xml:space="preserve">Thứ Hai</x:t>
        </x:is>
      </x:c>
      <x:c r="C95" s="37" t="inlineStr">
        <x:is>
          <x:t xml:space="preserve">00:30</x:t>
        </x:is>
      </x:c>
      <x:c r="D95" s="79" t="n">
        <x:v>46366</x:v>
      </x:c>
      <x:c r="E95" s="79" t="n">
        <x:v>46368</x:v>
      </x:c>
      <x:c r="F95" s="79" t="n">
        <x:v>46371</x:v>
      </x:c>
      <x:c r="G95" s="79" t="n">
        <x:v>46375</x:v>
      </x:c>
      <x:c r="H95" s="79" t="n">
        <x:v>46351</x:v>
      </x:c>
      <x:c r="I95" s="79" t="n">
        <x:v>46355</x:v>
      </x:c>
      <x:c r="J95" s="79" t="n">
        <x:v>46358</x:v>
      </x:c>
      <x:c r="K95" s="79" t="n">
        <x:v>46361</x:v>
      </x:c>
      <x:c r="L95" s="79" t="n">
        <x:v>46363</x:v>
      </x:c>
      <x:c r="M95" s="79" t="n">
        <x:v>46362</x:v>
      </x:c>
      <x:c r="N95" s="79" t="n">
        <x:v>46428</x:v>
      </x:c>
      <x:c r="O95" s="79" t="n">
        <x:v>46388</x:v>
      </x:c>
      <x:c r="P95" s="37" t="inlineStr">
        <x:is>
          <x:t xml:space="preserve">crawl_sampling_master.xlsx</x:t>
        </x:is>
      </x:c>
    </x:row>
    <x:row r="96">
      <x:c r="A96" s="76" t="n">
        <x:v>46350</x:v>
      </x:c>
      <x:c r="B96" s="36" t="inlineStr">
        <x:is>
          <x:t xml:space="preserve">Thứ Ba</x:t>
        </x:is>
      </x:c>
      <x:c r="C96" s="36" t="inlineStr">
        <x:is>
          <x:t xml:space="preserve">00:30</x:t>
        </x:is>
      </x:c>
      <x:c r="D96" s="76" t="n">
        <x:v>46366</x:v>
      </x:c>
      <x:c r="E96" s="76" t="n">
        <x:v>46368</x:v>
      </x:c>
      <x:c r="F96" s="76" t="n">
        <x:v>46371</x:v>
      </x:c>
      <x:c r="G96" s="76" t="n">
        <x:v>46375</x:v>
      </x:c>
      <x:c r="H96" s="76" t="n">
        <x:v>46351</x:v>
      </x:c>
      <x:c r="I96" s="76" t="n">
        <x:v>46355</x:v>
      </x:c>
      <x:c r="J96" s="76" t="n">
        <x:v>46358</x:v>
      </x:c>
      <x:c r="K96" s="76" t="n">
        <x:v>46361</x:v>
      </x:c>
      <x:c r="L96" s="76" t="n">
        <x:v>46363</x:v>
      </x:c>
      <x:c r="M96" s="76" t="n">
        <x:v>46362</x:v>
      </x:c>
      <x:c r="N96" s="76" t="n">
        <x:v>46428</x:v>
      </x:c>
      <x:c r="O96" s="76" t="n">
        <x:v>46388</x:v>
      </x:c>
      <x:c r="P96" s="36" t="inlineStr">
        <x:is>
          <x:t xml:space="preserve">crawl_sampling_master.xlsx</x:t>
        </x:is>
      </x:c>
    </x:row>
    <x:row r="97">
      <x:c r="A97" s="79" t="n">
        <x:v>46351</x:v>
      </x:c>
      <x:c r="B97" s="37" t="inlineStr">
        <x:is>
          <x:t xml:space="preserve">Thứ Tư</x:t>
        </x:is>
      </x:c>
      <x:c r="C97" s="37" t="inlineStr">
        <x:is>
          <x:t xml:space="preserve">00:30</x:t>
        </x:is>
      </x:c>
      <x:c r="D97" s="79" t="n">
        <x:v>46366</x:v>
      </x:c>
      <x:c r="E97" s="79" t="n">
        <x:v>46368</x:v>
      </x:c>
      <x:c r="F97" s="79" t="n">
        <x:v>46371</x:v>
      </x:c>
      <x:c r="G97" s="79" t="n">
        <x:v>46375</x:v>
      </x:c>
      <x:c r="H97" s="79" t="n">
        <x:v>46351</x:v>
      </x:c>
      <x:c r="I97" s="79" t="n">
        <x:v>46355</x:v>
      </x:c>
      <x:c r="J97" s="79" t="n">
        <x:v>46358</x:v>
      </x:c>
      <x:c r="K97" s="79" t="n">
        <x:v>46361</x:v>
      </x:c>
      <x:c r="L97" s="79" t="n">
        <x:v>46363</x:v>
      </x:c>
      <x:c r="M97" s="79" t="n">
        <x:v>46362</x:v>
      </x:c>
      <x:c r="N97" s="79" t="n">
        <x:v>46428</x:v>
      </x:c>
      <x:c r="O97" s="79" t="n">
        <x:v>46388</x:v>
      </x:c>
      <x:c r="P97" s="37" t="inlineStr">
        <x:is>
          <x:t xml:space="preserve">crawl_sampling_master.xlsx</x:t>
        </x:is>
      </x:c>
    </x:row>
    <x:row r="98">
      <x:c r="A98" s="76" t="n">
        <x:v>46352</x:v>
      </x:c>
      <x:c r="B98" s="36" t="inlineStr">
        <x:is>
          <x:t xml:space="preserve">Thứ Năm</x:t>
        </x:is>
      </x:c>
      <x:c r="C98" s="36" t="inlineStr">
        <x:is>
          <x:t xml:space="preserve">00:30</x:t>
        </x:is>
      </x:c>
      <x:c r="D98" s="76" t="n">
        <x:v>46366</x:v>
      </x:c>
      <x:c r="E98" s="76" t="n">
        <x:v>46368</x:v>
      </x:c>
      <x:c r="F98" s="76" t="n">
        <x:v>46371</x:v>
      </x:c>
      <x:c r="G98" s="76" t="n">
        <x:v>46375</x:v>
      </x:c>
      <x:c r="H98" s="76" t="n">
        <x:v>46379</x:v>
      </x:c>
      <x:c r="I98" s="76" t="n">
        <x:v>46355</x:v>
      </x:c>
      <x:c r="J98" s="76" t="n">
        <x:v>46358</x:v>
      </x:c>
      <x:c r="K98" s="76" t="n">
        <x:v>46361</x:v>
      </x:c>
      <x:c r="L98" s="76" t="n">
        <x:v>46363</x:v>
      </x:c>
      <x:c r="M98" s="76" t="n">
        <x:v>46362</x:v>
      </x:c>
      <x:c r="N98" s="76" t="n">
        <x:v>46428</x:v>
      </x:c>
      <x:c r="O98" s="76" t="n">
        <x:v>46388</x:v>
      </x:c>
      <x:c r="P98" s="36" t="inlineStr">
        <x:is>
          <x:t xml:space="preserve">crawl_sampling_master.xlsx</x:t>
        </x:is>
      </x:c>
    </x:row>
    <x:row r="99">
      <x:c r="A99" s="79" t="n">
        <x:v>46353</x:v>
      </x:c>
      <x:c r="B99" s="37" t="inlineStr">
        <x:is>
          <x:t xml:space="preserve">Thứ Sáu</x:t>
        </x:is>
      </x:c>
      <x:c r="C99" s="37" t="inlineStr">
        <x:is>
          <x:t xml:space="preserve">00:30</x:t>
        </x:is>
      </x:c>
      <x:c r="D99" s="79" t="n">
        <x:v>46366</x:v>
      </x:c>
      <x:c r="E99" s="79" t="n">
        <x:v>46368</x:v>
      </x:c>
      <x:c r="F99" s="79" t="n">
        <x:v>46371</x:v>
      </x:c>
      <x:c r="G99" s="79" t="n">
        <x:v>46375</x:v>
      </x:c>
      <x:c r="H99" s="79" t="n">
        <x:v>46379</x:v>
      </x:c>
      <x:c r="I99" s="79" t="n">
        <x:v>46355</x:v>
      </x:c>
      <x:c r="J99" s="79" t="n">
        <x:v>46358</x:v>
      </x:c>
      <x:c r="K99" s="79" t="n">
        <x:v>46361</x:v>
      </x:c>
      <x:c r="L99" s="79" t="n">
        <x:v>46363</x:v>
      </x:c>
      <x:c r="M99" s="79" t="n">
        <x:v>46362</x:v>
      </x:c>
      <x:c r="N99" s="79" t="n">
        <x:v>46428</x:v>
      </x:c>
      <x:c r="O99" s="79" t="n">
        <x:v>46388</x:v>
      </x:c>
      <x:c r="P99" s="37" t="inlineStr">
        <x:is>
          <x:t xml:space="preserve">crawl_sampling_master.xlsx</x:t>
        </x:is>
      </x:c>
    </x:row>
    <x:row r="100">
      <x:c r="A100" s="76" t="n">
        <x:v>46354</x:v>
      </x:c>
      <x:c r="B100" s="36" t="inlineStr">
        <x:is>
          <x:t xml:space="preserve">Thứ Bảy</x:t>
        </x:is>
      </x:c>
      <x:c r="C100" s="36" t="inlineStr">
        <x:is>
          <x:t xml:space="preserve">00:30</x:t>
        </x:is>
      </x:c>
      <x:c r="D100" s="76" t="n">
        <x:v>46366</x:v>
      </x:c>
      <x:c r="E100" s="76" t="n">
        <x:v>46368</x:v>
      </x:c>
      <x:c r="F100" s="76" t="n">
        <x:v>46371</x:v>
      </x:c>
      <x:c r="G100" s="76" t="n">
        <x:v>46375</x:v>
      </x:c>
      <x:c r="H100" s="76" t="n">
        <x:v>46379</x:v>
      </x:c>
      <x:c r="I100" s="76" t="n">
        <x:v>46355</x:v>
      </x:c>
      <x:c r="J100" s="76" t="n">
        <x:v>46358</x:v>
      </x:c>
      <x:c r="K100" s="76" t="n">
        <x:v>46361</x:v>
      </x:c>
      <x:c r="L100" s="76" t="n">
        <x:v>46363</x:v>
      </x:c>
      <x:c r="M100" s="76" t="n">
        <x:v>46362</x:v>
      </x:c>
      <x:c r="N100" s="76" t="n">
        <x:v>46428</x:v>
      </x:c>
      <x:c r="O100" s="76" t="n">
        <x:v>46388</x:v>
      </x:c>
      <x:c r="P100" s="36" t="inlineStr">
        <x:is>
          <x:t xml:space="preserve">crawl_sampling_master.xlsx</x:t>
        </x:is>
      </x:c>
    </x:row>
    <x:row r="101">
      <x:c r="A101" s="79" t="n">
        <x:v>46355</x:v>
      </x:c>
      <x:c r="B101" s="37" t="inlineStr">
        <x:is>
          <x:t xml:space="preserve">Chủ Nhật</x:t>
        </x:is>
      </x:c>
      <x:c r="C101" s="37" t="inlineStr">
        <x:is>
          <x:t xml:space="preserve">00:30</x:t>
        </x:is>
      </x:c>
      <x:c r="D101" s="79" t="n">
        <x:v>46366</x:v>
      </x:c>
      <x:c r="E101" s="79" t="n">
        <x:v>46368</x:v>
      </x:c>
      <x:c r="F101" s="79" t="n">
        <x:v>46371</x:v>
      </x:c>
      <x:c r="G101" s="79" t="n">
        <x:v>46375</x:v>
      </x:c>
      <x:c r="H101" s="79" t="n">
        <x:v>46379</x:v>
      </x:c>
      <x:c r="I101" s="79" t="n">
        <x:v>46355</x:v>
      </x:c>
      <x:c r="J101" s="79" t="n">
        <x:v>46358</x:v>
      </x:c>
      <x:c r="K101" s="79" t="n">
        <x:v>46361</x:v>
      </x:c>
      <x:c r="L101" s="79" t="n">
        <x:v>46363</x:v>
      </x:c>
      <x:c r="M101" s="79" t="n">
        <x:v>46362</x:v>
      </x:c>
      <x:c r="N101" s="79" t="n">
        <x:v>46428</x:v>
      </x:c>
      <x:c r="O101" s="79" t="n">
        <x:v>46388</x:v>
      </x:c>
      <x:c r="P101" s="37" t="inlineStr">
        <x:is>
          <x:t xml:space="preserve">crawl_sampling_master.xlsx</x:t>
        </x:is>
      </x:c>
    </x:row>
    <x:row r="102">
      <x:c r="A102" s="76" t="n">
        <x:v>46356</x:v>
      </x:c>
      <x:c r="B102" s="36" t="inlineStr">
        <x:is>
          <x:t xml:space="preserve">Thứ Hai</x:t>
        </x:is>
      </x:c>
      <x:c r="C102" s="36" t="inlineStr">
        <x:is>
          <x:t xml:space="preserve">00:30</x:t>
        </x:is>
      </x:c>
      <x:c r="D102" s="76" t="n">
        <x:v>46366</x:v>
      </x:c>
      <x:c r="E102" s="76" t="n">
        <x:v>46368</x:v>
      </x:c>
      <x:c r="F102" s="76" t="n">
        <x:v>46371</x:v>
      </x:c>
      <x:c r="G102" s="76" t="n">
        <x:v>46375</x:v>
      </x:c>
      <x:c r="H102" s="76" t="n">
        <x:v>46379</x:v>
      </x:c>
      <x:c r="I102" s="76" t="n">
        <x:v>46383</x:v>
      </x:c>
      <x:c r="J102" s="76" t="n">
        <x:v>46358</x:v>
      </x:c>
      <x:c r="K102" s="76" t="n">
        <x:v>46361</x:v>
      </x:c>
      <x:c r="L102" s="76" t="n">
        <x:v>46363</x:v>
      </x:c>
      <x:c r="M102" s="76" t="n">
        <x:v>46362</x:v>
      </x:c>
      <x:c r="N102" s="76" t="n">
        <x:v>46428</x:v>
      </x:c>
      <x:c r="O102" s="76" t="n">
        <x:v>46388</x:v>
      </x:c>
      <x:c r="P102" s="36" t="inlineStr">
        <x:is>
          <x:t xml:space="preserve">crawl_sampling_master.xlsx</x:t>
        </x:is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2d134c63474146d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25" customWidth="1"/>
    <x:col min="3" max="3" width="44" customWidth="1"/>
    <x:col min="4" max="4" width="66" customWidth="1"/>
    <x:col min="5" max="5" width="38" customWidth="1"/>
    <x:col min="6" max="6" width="38" customWidth="1"/>
  </x:cols>
  <x:sheetData>
    <x:row r="1" ht="28" customHeight="1">
      <x:c r="A1" s="4" t="inlineStr">
        <x:is>
          <x:t xml:space="preserve">QUY TẮC 5 SLOT VPS BỔ SUNG</x:t>
        </x:is>
      </x:c>
    </x:row>
    <x:row r="3" ht="28" customHeight="1">
      <x:c r="A3" s="10" t="inlineStr">
        <x:is>
          <x:t xml:space="preserve">Slot</x:t>
        </x:is>
      </x:c>
      <x:c r="B3" s="10" t="inlineStr">
        <x:is>
          <x:t xml:space="preserve">Vai trò</x:t>
        </x:is>
      </x:c>
      <x:c r="C3" s="10" t="inlineStr">
        <x:is>
          <x:t xml:space="preserve">Mục đích</x:t>
        </x:is>
      </x:c>
      <x:c r="D3" s="10" t="inlineStr">
        <x:is>
          <x:t xml:space="preserve">Chuỗi anchor</x:t>
        </x:is>
      </x:c>
      <x:c r="E3" s="10" t="inlineStr">
        <x:is>
          <x:t xml:space="preserve">Điều kiện roll</x:t>
        </x:is>
      </x:c>
      <x:c r="F3" s="10" t="inlineStr">
        <x:is>
          <x:t xml:space="preserve">Kiểm tra bắt buộc</x:t>
        </x:is>
      </x:c>
    </x:row>
    <x:row r="4" ht="38" customHeight="1">
      <x:c r="A4" s="68" t="inlineStr">
        <x:is>
          <x:t xml:space="preserve">V1 weekday</x:t>
        </x:is>
      </x:c>
      <x:c r="B4" s="68" t="inlineStr">
        <x:is>
          <x:t xml:space="preserve">Ngày thường bổ sung</x:t>
        </x:is>
      </x:c>
      <x:c r="C4" s="68" t="inlineStr">
        <x:is>
          <x:t xml:space="preserve">Bổ sung observation ngày thường nằm giữa các anchor local</x:t>
        </x:is>
      </x:c>
      <x:c r="D4" s="68" t="inlineStr">
        <x:is>
          <x:t xml:space="preserve">27/08/2026 → 24/09/2026 → 22/10/2026 → 19/11/2026 → 17/12/2026</x:t>
        </x:is>
      </x:c>
      <x:c r="E4" s="68" t="inlineStr">
        <x:is>
          <x:t xml:space="preserve">Giữ nguyên đến hết ngày check-in; roll từ ngày hôm sau hoặc khi trùng local</x:t>
        </x:is>
      </x:c>
      <x:c r="F4" s="68" t="inlineStr">
        <x:is>
          <x:t xml:space="preserve">Ngày &gt;= crawl date; khác 4 slot VPS; không thuộc 12 slot local</x:t>
        </x:is>
      </x:c>
    </x:row>
    <x:row r="5" ht="38" customHeight="1">
      <x:c r="A5" s="69" t="inlineStr">
        <x:is>
          <x:t xml:space="preserve">V2 weekend</x:t>
        </x:is>
      </x:c>
      <x:c r="B5" s="69" t="inlineStr">
        <x:is>
          <x:t xml:space="preserve">Cuối tuần bổ sung</x:t>
        </x:is>
      </x:c>
      <x:c r="C5" s="69" t="inlineStr">
        <x:is>
          <x:t xml:space="preserve">Bổ sung observation cuối tuần không trùng chuỗi near của local</x:t>
        </x:is>
      </x:c>
      <x:c r="D5" s="69" t="inlineStr">
        <x:is>
          <x:t xml:space="preserve">30/08/2026 → 27/09/2026 → 25/10/2026 → 22/11/2026 → 20/12/2026</x:t>
        </x:is>
      </x:c>
      <x:c r="E5" s="69" t="inlineStr">
        <x:is>
          <x:t xml:space="preserve">Giữ nguyên đến hết ngày check-in; roll từ ngày hôm sau hoặc khi trùng local</x:t>
        </x:is>
      </x:c>
      <x:c r="F5" s="69" t="inlineStr">
        <x:is>
          <x:t xml:space="preserve">Ngày &gt;= crawl date; khác 4 slot VPS; không thuộc 12 slot local</x:t>
        </x:is>
      </x:c>
    </x:row>
    <x:row r="6" ht="38" customHeight="1">
      <x:c r="A6" s="68" t="inlineStr">
        <x:is>
          <x:t xml:space="preserve">V3 seasonal</x:t>
        </x:is>
      </x:c>
      <x:c r="B6" s="68" t="inlineStr">
        <x:is>
          <x:t xml:space="preserve">Ngày mùa vụ/đối chứng</x:t>
        </x:is>
      </x:c>
      <x:c r="C6" s="68" t="inlineStr">
        <x:is>
          <x:t xml:space="preserve">Theo dõi ngày liền kề mùa vụ hoặc sự kiện để so với ngày lõi</x:t>
        </x:is>
      </x:c>
      <x:c r="D6" s="68" t="inlineStr">
        <x:is>
          <x:t xml:space="preserve">03/09/2026 → 01/10/2026 → 29/10/2026 → 26/11/2026 → 24/12/2026</x:t>
        </x:is>
      </x:c>
      <x:c r="E6" s="68" t="inlineStr">
        <x:is>
          <x:t xml:space="preserve">Giữ nguyên đến hết ngày check-in; roll từ ngày hôm sau hoặc khi trùng local</x:t>
        </x:is>
      </x:c>
      <x:c r="F6" s="68" t="inlineStr">
        <x:is>
          <x:t xml:space="preserve">Ngày &gt;= crawl date; khác 4 slot VPS; không thuộc 12 slot local</x:t>
        </x:is>
      </x:c>
    </x:row>
    <x:row r="7" ht="38" customHeight="1">
      <x:c r="A7" s="69" t="inlineStr">
        <x:is>
          <x:t xml:space="preserve">V4 medium</x:t>
        </x:is>
      </x:c>
      <x:c r="B7" s="69" t="inlineStr">
        <x:is>
          <x:t xml:space="preserve">Khoảng trung hạn</x:t>
        </x:is>
      </x:c>
      <x:c r="C7" s="69" t="inlineStr">
        <x:is>
          <x:t xml:space="preserve">Lấp khoảng lead time trung hạn còn thưa trong lịch local</x:t>
        </x:is>
      </x:c>
      <x:c r="D7" s="69" t="inlineStr">
        <x:is>
          <x:t xml:space="preserve">16/09/2026 → 14/10/2026 → 11/11/2026 → 09/12/2026 → 06/01/2027</x:t>
        </x:is>
      </x:c>
      <x:c r="E7" s="69" t="inlineStr">
        <x:is>
          <x:t xml:space="preserve">Giữ nguyên đến hết ngày check-in; roll từ ngày hôm sau hoặc khi trùng local</x:t>
        </x:is>
      </x:c>
      <x:c r="F7" s="69" t="inlineStr">
        <x:is>
          <x:t xml:space="preserve">Ngày &gt;= crawl date; khác 4 slot VPS; không thuộc 12 slot local</x:t>
        </x:is>
      </x:c>
    </x:row>
    <x:row r="8" ht="38" customHeight="1">
      <x:c r="A8" s="68" t="inlineStr">
        <x:is>
          <x:t xml:space="preserve">V5 long</x:t>
        </x:is>
      </x:c>
      <x:c r="B8" s="68" t="inlineStr">
        <x:is>
          <x:t xml:space="preserve">Anchor dài hạn</x:t>
        </x:is>
      </x:c>
      <x:c r="C8" s="68" t="inlineStr">
        <x:is>
          <x:t xml:space="preserve">Theo dõi một ngày xa cố định để tạo chuỗi giảm lead time dài</x:t>
        </x:is>
      </x:c>
      <x:c r="D8" s="68" t="inlineStr">
        <x:is>
          <x:t xml:space="preserve">24/01/2027 → 24/04/2027</x:t>
        </x:is>
      </x:c>
      <x:c r="E8" s="68" t="inlineStr">
        <x:is>
          <x:t xml:space="preserve">Giữ nguyên đến hết ngày check-in; roll từ ngày hôm sau hoặc khi trùng local</x:t>
        </x:is>
      </x:c>
      <x:c r="F8" s="68" t="inlineStr">
        <x:is>
          <x:t xml:space="preserve">Ngày &gt;= crawl date; khác 4 slot VPS; không thuộc 12 slot local</x:t>
        </x:is>
      </x:c>
    </x:row>
    <x:row r="9" ht="38" customHeight="1">
      <x:c r="A9" s="70" t="n"/>
      <x:c r="B9" s="70" t="n"/>
      <x:c r="C9" s="70" t="n"/>
      <x:c r="D9" s="70" t="n"/>
      <x:c r="E9" s="70" t="n"/>
      <x:c r="F9" s="70" t="n"/>
    </x:row>
    <x:row r="10" ht="38" customHeight="1">
      <x:c r="A10" s="59" t="inlineStr">
        <x:is>
          <x:t xml:space="preserve">Quy tắc chung</x:t>
        </x:is>
      </x:c>
      <x:c r="B10" s="60" t="inlineStr">
        <x:is>
          <x:t xml:space="preserve">Không random hằng ngày</x:t>
        </x:is>
      </x:c>
      <x:c r="C10" s="60" t="inlineStr">
        <x:is>
          <x:t xml:space="preserve">Năm ngày phải tạo chuỗi observation lặp lại theo thời gian</x:t>
        </x:is>
      </x:c>
      <x:c r="D10" s="60" t="n"/>
      <x:c r="E10" s="60" t="n"/>
      <x:c r="F10" s="61" t="n"/>
    </x:row>
    <x:row r="11" ht="38" customHeight="1">
      <x:c r="A11" s="62" t="inlineStr">
        <x:is>
          <x:t xml:space="preserve">Lead time 0</x:t>
        </x:is>
      </x:c>
      <x:c r="B11" s="63" t="inlineStr">
        <x:is>
          <x:t xml:space="preserve">Hợp lệ</x:t>
        </x:is>
      </x:c>
      <x:c r="C11" s="63" t="inlineStr">
        <x:is>
          <x:t xml:space="preserve">Slot chỉ roll khi check-in &lt; crawl date</x:t>
        </x:is>
      </x:c>
      <x:c r="D11" s="63" t="n"/>
      <x:c r="E11" s="63" t="n"/>
      <x:c r="F11" s="64" t="n"/>
    </x:row>
    <x:row r="12" ht="38" customHeight="1">
      <x:c r="A12" s="65" t="inlineStr">
        <x:is>
          <x:t xml:space="preserve">Thay đổi local</x:t>
        </x:is>
      </x:c>
      <x:c r="B12" s="66" t="inlineStr">
        <x:is>
          <x:t xml:space="preserve">Tạo lại lịch VPS</x:t>
        </x:is>
      </x:c>
      <x:c r="C12" s="66" t="inlineStr">
        <x:is>
          <x:t xml:space="preserve">LOCAL_REFERENCE là snapshot; nếu lịch local đổi thì phải tái sinh workbook VPS</x:t>
        </x:is>
      </x:c>
      <x:c r="D12" s="66" t="n"/>
      <x:c r="E12" s="66" t="n"/>
      <x:c r="F12" s="67" t="n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113122d8bbc647b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48" customWidth="1"/>
    <x:col min="3" max="3" width="42" customWidth="1"/>
    <x:col min="4" max="4" width="44" customWidth="1"/>
  </x:cols>
  <x:sheetData>
    <x:row r="1" ht="28" customHeight="1">
      <x:c r="A1" s="4" t="inlineStr">
        <x:is>
          <x:t xml:space="preserve">HƯỚNG DẪN SỬ DỤNG LỊCH CRAWL VPS</x:t>
        </x:is>
      </x:c>
    </x:row>
    <x:row r="3" ht="28" customHeight="1">
      <x:c r="A3" s="10" t="inlineStr">
        <x:is>
          <x:t xml:space="preserve">Bước</x:t>
        </x:is>
      </x:c>
      <x:c r="B3" s="10" t="inlineStr">
        <x:is>
          <x:t xml:space="preserve">Thao tác</x:t>
        </x:is>
      </x:c>
      <x:c r="C3" s="10" t="inlineStr">
        <x:is>
          <x:t xml:space="preserve">Kết quả mong đợi</x:t>
        </x:is>
      </x:c>
      <x:c r="D3" s="10" t="inlineStr">
        <x:is>
          <x:t xml:space="preserve">Lưu ý</x:t>
        </x:is>
      </x:c>
    </x:row>
    <x:row r="4" ht="34" customHeight="1">
      <x:c r="A4" s="68" t="n">
        <x:v>1</x:v>
      </x:c>
      <x:c r="B4" s="68" t="inlineStr">
        <x:is>
          <x:t xml:space="preserve">Mở sheet VPS_CRAWL_PLAN và tìm Crawl date hôm nay</x:t>
        </x:is>
      </x:c>
      <x:c r="C4" s="68" t="inlineStr">
        <x:is>
          <x:t xml:space="preserve">Có đúng 5 ngày check-in</x:t>
        </x:is>
      </x:c>
      <x:c r="D4" s="68" t="inlineStr">
        <x:is>
          <x:t xml:space="preserve">Hai cột kiểm tra phải đều PASS</x:t>
        </x:is>
      </x:c>
    </x:row>
    <x:row r="5" ht="34" customHeight="1">
      <x:c r="A5" s="69" t="n">
        <x:v>2</x:v>
      </x:c>
      <x:c r="B5" s="69" t="inlineStr">
        <x:is>
          <x:t xml:space="preserve">Mở web scraper đã deploy trên VPS</x:t>
        </x:is>
      </x:c>
      <x:c r="C5" s="69" t="inlineStr">
        <x:is>
          <x:t xml:space="preserve">Trang nhập file và ngày check-in sẵn sàng</x:t>
        </x:is>
      </x:c>
      <x:c r="D5" s="69" t="inlineStr">
        <x:is>
          <x:t xml:space="preserve">Đây là thao tác thủ công qua web</x:t>
        </x:is>
      </x:c>
    </x:row>
    <x:row r="6" ht="34" customHeight="1">
      <x:c r="A6" s="68" t="n">
        <x:v>3</x:v>
      </x:c>
      <x:c r="B6" s="68" t="inlineStr">
        <x:is>
          <x:t xml:space="preserve">Upload link_hotel_data_expanded.xlsx</x:t>
        </x:is>
      </x:c>
      <x:c r="C6" s="68" t="inlineStr">
        <x:is>
          <x:t xml:space="preserve">354 khách sạn hợp lệ</x:t>
        </x:is>
      </x:c>
      <x:c r="D6" s="68" t="inlineStr">
        <x:is>
          <x:t xml:space="preserve">Dùng cùng file nguồn với local</x:t>
        </x:is>
      </x:c>
    </x:row>
    <x:row r="7" ht="34" customHeight="1">
      <x:c r="A7" s="69" t="n">
        <x:v>4</x:v>
      </x:c>
      <x:c r="B7" s="69" t="inlineStr">
        <x:is>
          <x:t xml:space="preserve">Chọn đúng V1–V5 của ngày crawl</x:t>
        </x:is>
      </x:c>
      <x:c r="C7" s="69" t="inlineStr">
        <x:is>
          <x:t xml:space="preserve">Không trùng 12 ngày local</x:t>
        </x:is>
      </x:c>
      <x:c r="D7" s="69" t="inlineStr">
        <x:is>
          <x:t xml:space="preserve">Không tự thay ngày nếu chưa cập nhật workbook</x:t>
        </x:is>
      </x:c>
    </x:row>
    <x:row r="8" ht="34" customHeight="1">
      <x:c r="A8" s="68" t="n">
        <x:v>5</x:v>
      </x:c>
      <x:c r="B8" s="68" t="inlineStr">
        <x:is>
          <x:t xml:space="preserve">Bắt đầu cào và theo dõi run</x:t>
        </x:is>
      </x:c>
      <x:c r="C8" s="68" t="inlineStr">
        <x:is>
          <x:t xml:space="preserve">Khoảng 1.770 item được tạo</x:t>
        </x:is>
      </x:c>
      <x:c r="D8" s="68" t="inlineStr">
        <x:is>
          <x:t xml:space="preserve">Không cần lưu HTML nếu chỉ thu thập dataset</x:t>
        </x:is>
      </x:c>
    </x:row>
    <x:row r="9" ht="34" customHeight="1">
      <x:c r="A9" s="69" t="n">
        <x:v>6</x:v>
      </x:c>
      <x:c r="B9" s="69" t="inlineStr">
        <x:is>
          <x:t xml:space="preserve">Khi kết thúc, cập nhật CRAWL_LOG</x:t>
        </x:is>
      </x:c>
      <x:c r="C9" s="69" t="inlineStr">
        <x:is>
          <x:t xml:space="preserve">Có thời gian, số run và aggregate</x:t>
        </x:is>
      </x:c>
      <x:c r="D9" s="69" t="inlineStr">
        <x:is>
          <x:t xml:space="preserve">Hoàn thành có lỗi vẫn phải ghi số liệu</x:t>
        </x:is>
      </x:c>
    </x:row>
    <x:row r="10" ht="34" customHeight="1">
      <x:c r="A10" s="68" t="n">
        <x:v>7</x:v>
      </x:c>
      <x:c r="B10" s="68" t="inlineStr">
        <x:is>
          <x:t xml:space="preserve">Nếu lịch local thay đổi</x:t>
        </x:is>
      </x:c>
      <x:c r="C10" s="68" t="inlineStr">
        <x:is>
          <x:t xml:space="preserve">Tạo lại workbook VPS từ local mới</x:t>
        </x:is>
      </x:c>
      <x:c r="D10" s="68" t="inlineStr">
        <x:is>
          <x:t xml:space="preserve">Không sửa LOCAL_REFERENCE bằng tay</x:t>
        </x:is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2d284580d01847c9"/>
  </x:tableParts>
</x:worksheet>
</file>