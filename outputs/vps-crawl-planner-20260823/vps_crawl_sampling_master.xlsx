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c8703905da49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eb90af72bf54e6c"/>
    <x:sheet xmlns:r="http://schemas.openxmlformats.org/officeDocument/2006/relationships" name="VPS_CRAWL_PLAN" sheetId="2" r:id="R7f232ddd0ca84a2f"/>
    <x:sheet xmlns:r="http://schemas.openxmlformats.org/officeDocument/2006/relationships" name="CRAWL_LOG" sheetId="3" r:id="Rd313adb4b08a485b"/>
    <x:sheet xmlns:r="http://schemas.openxmlformats.org/officeDocument/2006/relationships" name="LOCAL_REFERENCE" sheetId="4" r:id="Rb1fd84d1e3794a1b"/>
    <x:sheet xmlns:r="http://schemas.openxmlformats.org/officeDocument/2006/relationships" name="SLOT_RULES" sheetId="5" r:id="R5cf0b65fd55c4b1a"/>
    <x:sheet xmlns:r="http://schemas.openxmlformats.org/officeDocument/2006/relationships" name="README" sheetId="6" r:id="Redff640eccd047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 patternType="solid">
          <x:bgColor rgb="FFDDF3E4"/>
        </x:patternFill>
      </x:fill>
    </x:dxf>
    <x:dxf>
      <x:font>
        <x:b/>
        <x:color rgb="FF7A4F00"/>
      </x:font>
      <x:fill>
        <x:patternFill patternType="solid">
          <x:bgColor rgb="FFFFF0C2"/>
        </x:patternFill>
      </x:fill>
    </x:dxf>
    <x:dxf>
      <x:font>
        <x:b/>
        <x:color rgb="FF8B1A1A"/>
      </x:font>
      <x:fill>
        <x:patternFill patternType="solid">
          <x:bgColor rgb="FFFADBD8"/>
        </x:patternFill>
      </x:fill>
    </x:dxf>
    <x:dxf>
      <x:font>
        <x:b/>
        <x:color rgb="FF1B5E20"/>
      </x:font>
      <x:fill>
        <x:patternFill patternType="solid">
          <x:bgColor rgb="FFDDF3E4"/>
        </x:patternFill>
      </x:fill>
    </x:dxf>
    <x:dxf>
      <x:font>
        <x:b/>
        <x:color rgb="FF7A4F00"/>
      </x:font>
      <x:fill>
        <x:patternFill patternType="solid">
          <x:bgColor rgb="FFFFF0C2"/>
        </x:patternFill>
      </x:fill>
    </x:dxf>
    <x:dxf>
      <x:font>
        <x:b/>
        <x:color rgb="FF8B1A1A"/>
      </x:font>
      <x:fill>
        <x:patternFill patternType="solid">
          <x:bgColor rgb="FFFADBD8"/>
        </x:patternFill>
      </x:fill>
    </x:dxf>
    <x:dxf>
      <x:font>
        <x:b/>
        <x:color rgb="FF1B5E20"/>
      </x:font>
      <x:fill>
        <x:patternFill patternType="solid">
          <x:bgColor rgb="FFDDF3E4"/>
        </x:patternFill>
      </x:fill>
    </x:dxf>
    <x:dxf>
      <x:font>
        <x:b/>
        <x:color rgb="FF8B1A1A"/>
      </x:font>
      <x:fill>
        <x:patternFill patternType="solid">
          <x:bgColor rgb="FFFADBD8"/>
        </x:patternFill>
      </x:fill>
    </x:dxf>
    <x:dxf>
      <x:font>
        <x:b/>
        <x:color rgb="FF7A4F00"/>
      </x:font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2d7fa15fdd4efc" /><Relationship Type="http://schemas.openxmlformats.org/officeDocument/2006/relationships/theme" Target="/xl/theme/theme1.xml" Id="R88ee4681e968495b" /><Relationship Type="http://schemas.openxmlformats.org/officeDocument/2006/relationships/sharedStrings" Target="/xl/sharedStrings.xml" Id="R857d6a08caa64e6b" /><Relationship Type="http://schemas.openxmlformats.org/officeDocument/2006/relationships/worksheet" Target="/xl/worksheets/sheet1.xml" Id="Rbeb90af72bf54e6c" /><Relationship Type="http://schemas.openxmlformats.org/officeDocument/2006/relationships/worksheet" Target="/xl/worksheets/sheet2.xml" Id="R7f232ddd0ca84a2f" /><Relationship Type="http://schemas.openxmlformats.org/officeDocument/2006/relationships/worksheet" Target="/xl/worksheets/sheet3.xml" Id="Rd313adb4b08a485b" /><Relationship Type="http://schemas.openxmlformats.org/officeDocument/2006/relationships/worksheet" Target="/xl/worksheets/sheet4.xml" Id="Rb1fd84d1e3794a1b" /><Relationship Type="http://schemas.openxmlformats.org/officeDocument/2006/relationships/worksheet" Target="/xl/worksheets/sheet5.xml" Id="R5cf0b65fd55c4b1a" /><Relationship Type="http://schemas.openxmlformats.org/officeDocument/2006/relationships/worksheet" Target="/xl/worksheets/sheet6.xml" Id="Redff640eccd0470f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f642a08bc944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aab06b98c845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f0e6225d7c44f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d9c47c1970141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a20782be0840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0</x:v>
      </x:c>
    </x:row>
    <x:row r="13">
      <x:c r="A13" s="25" t="str">
        <x:v>Chưa chạy</x:v>
      </x:c>
      <x:c r="B13" s="29" t="n">
        <x:f>COUNTIF('CRAWL_LOG'!$B$4:$B$102,"Chưa chạy")</x:f>
        <x:v>99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Chưa chạy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Chưa chạy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Chưa chạy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Chưa chạy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Chưa chạy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Chưa chạy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Chưa chạy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28f642a08bc944d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Chưa chạy</x:v>
      </x:c>
      <x:c r="C4" s="36"/>
      <x:c r="D4" s="44"/>
      <x:c r="E4" s="44"/>
      <x:c r="F4" s="46" t="str">
        <x:f>IF(OR(D4="",E4=""),"",24*(E4-D4))</x:f>
      </x:c>
      <x:c r="G4" s="48"/>
      <x:c r="H4" s="48"/>
      <x:c r="I4" s="48"/>
      <x:c r="J4" s="48"/>
      <x:c r="K4" s="48"/>
      <x:c r="L4" s="48"/>
      <x:c r="M4" s="48"/>
      <x:c r="N4" s="48"/>
      <x:c r="O4" s="48" t="n">
        <x:v>5</x:v>
      </x:c>
      <x:c r="P4" s="36" t="str">
        <x:v>vps</x:v>
      </x:c>
      <x:c r="Q4" s="36"/>
    </x:row>
    <x:row r="5">
      <x:c r="A5" s="40" t="n">
        <x:v>46259</x:v>
      </x:c>
      <x:c r="B5" s="37" t="str">
        <x:v>Chưa chạy</x:v>
      </x:c>
      <x:c r="C5" s="37"/>
      <x:c r="D5" s="45"/>
      <x:c r="E5" s="45"/>
      <x:c r="F5" s="47" t="str">
        <x:f>IF(OR(D5="",E5=""),"",24*(E5-D5))</x:f>
      </x:c>
      <x:c r="G5" s="49"/>
      <x:c r="H5" s="49"/>
      <x:c r="I5" s="49"/>
      <x:c r="J5" s="49"/>
      <x:c r="K5" s="49"/>
      <x:c r="L5" s="49"/>
      <x:c r="M5" s="49"/>
      <x:c r="N5" s="49"/>
      <x:c r="O5" s="49" t="n">
        <x:v>5</x:v>
      </x:c>
      <x:c r="P5" s="37" t="str">
        <x:v>vps</x:v>
      </x:c>
      <x:c r="Q5" s="37"/>
    </x:row>
    <x:row r="6">
      <x:c r="A6" s="39" t="n">
        <x:v>46260</x:v>
      </x:c>
      <x:c r="B6" s="36" t="str">
        <x:v>Chưa chạy</x:v>
      </x:c>
      <x:c r="C6" s="36"/>
      <x:c r="D6" s="44"/>
      <x:c r="E6" s="44"/>
      <x:c r="F6" s="46" t="str">
        <x:f>IF(OR(D6="",E6=""),"",24*(E6-D6))</x:f>
      </x:c>
      <x:c r="G6" s="48"/>
      <x:c r="H6" s="48"/>
      <x:c r="I6" s="48"/>
      <x:c r="J6" s="48"/>
      <x:c r="K6" s="48"/>
      <x:c r="L6" s="48"/>
      <x:c r="M6" s="48"/>
      <x:c r="N6" s="48"/>
      <x:c r="O6" s="48" t="n">
        <x:v>5</x:v>
      </x:c>
      <x:c r="P6" s="36" t="str">
        <x:v>vps</x:v>
      </x:c>
      <x:c r="Q6" s="36"/>
    </x:row>
    <x:row r="7">
      <x:c r="A7" s="40" t="n">
        <x:v>46261</x:v>
      </x:c>
      <x:c r="B7" s="37" t="str">
        <x:v>Chưa chạy</x:v>
      </x:c>
      <x:c r="C7" s="37"/>
      <x:c r="D7" s="45"/>
      <x:c r="E7" s="45"/>
      <x:c r="F7" s="47" t="str">
        <x:f>IF(OR(D7="",E7=""),"",24*(E7-D7))</x:f>
      </x:c>
      <x:c r="G7" s="49"/>
      <x:c r="H7" s="49"/>
      <x:c r="I7" s="49"/>
      <x:c r="J7" s="49"/>
      <x:c r="K7" s="49"/>
      <x:c r="L7" s="49"/>
      <x:c r="M7" s="49"/>
      <x:c r="N7" s="49"/>
      <x:c r="O7" s="49" t="n">
        <x:v>5</x:v>
      </x:c>
      <x:c r="P7" s="37" t="str">
        <x:v>vps</x:v>
      </x:c>
      <x:c r="Q7" s="37"/>
    </x:row>
    <x:row r="8">
      <x:c r="A8" s="39" t="n">
        <x:v>46262</x:v>
      </x:c>
      <x:c r="B8" s="36" t="str">
        <x:v>Chưa chạy</x:v>
      </x:c>
      <x:c r="C8" s="36"/>
      <x:c r="D8" s="44"/>
      <x:c r="E8" s="44"/>
      <x:c r="F8" s="46" t="str">
        <x:f>IF(OR(D8="",E8=""),"",24*(E8-D8))</x:f>
      </x:c>
      <x:c r="G8" s="48"/>
      <x:c r="H8" s="48"/>
      <x:c r="I8" s="48"/>
      <x:c r="J8" s="48"/>
      <x:c r="K8" s="48"/>
      <x:c r="L8" s="48"/>
      <x:c r="M8" s="48"/>
      <x:c r="N8" s="48"/>
      <x:c r="O8" s="48" t="n">
        <x:v>5</x:v>
      </x:c>
      <x:c r="P8" s="36" t="str">
        <x:v>vps</x:v>
      </x:c>
      <x:c r="Q8" s="36"/>
    </x:row>
    <x:row r="9">
      <x:c r="A9" s="40" t="n">
        <x:v>46263</x:v>
      </x:c>
      <x:c r="B9" s="37" t="str">
        <x:v>Chưa chạy</x:v>
      </x:c>
      <x:c r="C9" s="37"/>
      <x:c r="D9" s="45"/>
      <x:c r="E9" s="45"/>
      <x:c r="F9" s="47" t="str">
        <x:f>IF(OR(D9="",E9=""),"",24*(E9-D9))</x:f>
      </x:c>
      <x:c r="G9" s="49"/>
      <x:c r="H9" s="49"/>
      <x:c r="I9" s="49"/>
      <x:c r="J9" s="49"/>
      <x:c r="K9" s="49"/>
      <x:c r="L9" s="49"/>
      <x:c r="M9" s="49"/>
      <x:c r="N9" s="49"/>
      <x:c r="O9" s="49" t="n">
        <x:v>5</x:v>
      </x:c>
      <x:c r="P9" s="37" t="str">
        <x:v>vps</x:v>
      </x:c>
      <x:c r="Q9" s="37"/>
    </x:row>
    <x:row r="10">
      <x:c r="A10" s="39" t="n">
        <x:v>46264</x:v>
      </x:c>
      <x:c r="B10" s="36" t="str">
        <x:v>Chưa chạy</x:v>
      </x:c>
      <x:c r="C10" s="36"/>
      <x:c r="D10" s="44"/>
      <x:c r="E10" s="44"/>
      <x:c r="F10" s="46" t="str">
        <x:f>IF(OR(D10="",E10=""),"",24*(E10-D10))</x:f>
      </x:c>
      <x:c r="G10" s="48"/>
      <x:c r="H10" s="48"/>
      <x:c r="I10" s="48"/>
      <x:c r="J10" s="48"/>
      <x:c r="K10" s="48"/>
      <x:c r="L10" s="48"/>
      <x:c r="M10" s="48"/>
      <x:c r="N10" s="48"/>
      <x:c r="O10" s="48" t="n">
        <x:v>5</x:v>
      </x:c>
      <x:c r="P10" s="36" t="str">
        <x:v>vps</x:v>
      </x:c>
      <x:c r="Q10" s="36"/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aab06b98c8459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1f0e6225d7c44f9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7d9c47c19701412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51a20782be084027"/>
  </x:tableParts>
</x:worksheet>
</file>