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dd/mm/yyyy hh:mm:ss"/>
    <numFmt numFmtId="167" formatCode="yyyy-mm-dd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/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</border>
    <border>
      <right style="thin">
        <color rgb="FFAFC6D2"/>
      </right>
      <top style="thin">
        <color rgb="FFAFC6D2"/>
      </top>
    </border>
    <border>
      <left style="thin">
        <color rgb="FFAFC6D2"/>
      </left>
    </border>
    <border>
      <right style="thin">
        <color rgb="FFAFC6D2"/>
      </right>
    </border>
    <border>
      <left style="thin">
        <color rgb="FFAFC6D2"/>
      </left>
      <bottom style="thin">
        <color rgb="FFAFC6D2"/>
      </bottom>
    </border>
    <border>
      <right style="thin">
        <color rgb="FFAFC6D2"/>
      </right>
      <bottom style="thin">
        <color rgb="FFAFC6D2"/>
      </bottom>
    </border>
    <border>
      <left style="thin">
        <color rgb="FFAFC6D2"/>
      </left>
      <right style="thin">
        <color rgb="FFAFC6D2"/>
      </right>
      <bottom style="thin">
        <color rgb="FFAFC6D2"/>
      </bottom>
    </border>
    <border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  <bottom style="thin">
        <color rgb="FFAFC6D2"/>
      </bottom>
    </border>
    <border>
      <left style="thin">
        <color rgb="FFAFC6D2"/>
      </left>
      <right style="thin">
        <color rgb="FFAFC6D2"/>
      </right>
      <top style="thin">
        <color rgb="FFAFC6D2"/>
      </top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2" pivotButton="0" quotePrefix="0" xfId="0"/>
    <xf numFmtId="0" fontId="0" fillId="4" borderId="4" pivotButton="0" quotePrefix="0" xfId="0"/>
    <xf numFmtId="0" fontId="0" fillId="4" borderId="6" pivotButton="0" quotePrefix="0" xfId="0"/>
    <xf numFmtId="0" fontId="3" fillId="4" borderId="2" pivotButton="0" quotePrefix="0" xfId="0"/>
    <xf numFmtId="0" fontId="3" fillId="4" borderId="4" pivotButton="0" quotePrefix="0" xfId="0"/>
    <xf numFmtId="0" fontId="3" fillId="4" borderId="6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165" fontId="0" fillId="6" borderId="0" pivotButton="0" quotePrefix="0" xfId="0"/>
    <xf numFmtId="165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pivotButton="0" quotePrefix="0" xfId="0"/>
    <xf numFmtId="0" fontId="0" fillId="5" borderId="8" pivotButton="0" quotePrefix="0" xfId="0"/>
    <xf numFmtId="0" fontId="0" fillId="5" borderId="6" pivotButton="0" quotePrefix="0" xfId="0"/>
    <xf numFmtId="0" fontId="0" fillId="5" borderId="9" pivotButton="0" quotePrefix="0" xfId="0"/>
    <xf numFmtId="0" fontId="0" fillId="5" borderId="1" pivotButton="0" quotePrefix="0" xfId="0"/>
    <xf numFmtId="0" fontId="0" fillId="5" borderId="10" pivotButton="0" quotePrefix="0" xfId="0"/>
    <xf numFmtId="0" fontId="0" fillId="5" borderId="3" pivotButton="0" quotePrefix="0" xfId="0"/>
    <xf numFmtId="0" fontId="0" fillId="5" borderId="11" pivotButton="0" quotePrefix="0" xfId="0"/>
    <xf numFmtId="0" fontId="0" fillId="5" borderId="2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6" borderId="0" pivotButton="0" quotePrefix="0" xfId="0"/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164" fontId="0" fillId="6" borderId="0" pivotButton="0" quotePrefix="0" xfId="0"/>
    <xf numFmtId="164" fontId="0" fillId="8" borderId="0" pivotButton="0" quotePrefix="0" xfId="0"/>
    <xf numFmtId="1" fontId="0" fillId="6" borderId="0" pivotButton="0" quotePrefix="0" xfId="0"/>
    <xf numFmtId="164" fontId="0" fillId="7" borderId="0" pivotButton="0" quotePrefix="0" xfId="0"/>
    <xf numFmtId="1" fontId="0" fillId="7" borderId="0" pivotButton="0" quotePrefix="0" xfId="0"/>
    <xf numFmtId="165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165" fontId="0" fillId="7" borderId="0" pivotButton="0" quotePrefix="0" xfId="0"/>
    <xf numFmtId="2" fontId="0" fillId="7" borderId="0" pivotButton="0" quotePrefix="0" xfId="0"/>
    <xf numFmtId="3" fontId="0" fillId="7" borderId="0" pivotButton="0" quotePrefix="0" xfId="0"/>
    <xf numFmtId="166" fontId="0" fillId="6" borderId="0" pivotButton="0" quotePrefix="0" xfId="0"/>
    <xf numFmtId="167" fontId="0" fillId="6" borderId="0" pivotButton="0" quotePrefix="0" xfId="0"/>
    <xf numFmtId="165" fontId="0" fillId="6" borderId="0" pivotButton="0" quotePrefix="0" xfId="0"/>
    <xf numFmtId="165" fontId="0" fillId="7" borderId="0" pivotButton="0" quotePrefix="0" xfId="0"/>
  </cellXfs>
  <cellStyles count="1">
    <cellStyle name="Normal" xfId="0"/>
  </cellStyles>
  <dxfs count="9"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Count="0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Count="0" totalsRowShown="0">
  <tableColumns count="17">
    <tableColumn id="1" name="Crawl date"/>
    <tableColumn id="2" name="Status"/>
    <tableColumn id="3" name="Run IDs"/>
    <tableColumn id="4" name="Started at"/>
    <tableColumn id="5" name="Finished at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Count="0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Count="0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Count="0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8" customWidth="1" min="4" max="4"/>
    <col width="18" customWidth="1" min="5" max="5"/>
  </cols>
  <sheetData>
    <row r="1" ht="28" customHeight="1">
      <c r="A1" s="4" t="inlineStr">
        <is>
          <t>LỊCH CRAWL VPS BỔ SUNG — 24/08/2026 ĐẾN 30/11/2026</t>
        </is>
      </c>
    </row>
    <row r="3" ht="28" customHeight="1">
      <c r="A3" s="10" t="inlineStr">
        <is>
          <t>Thông số</t>
        </is>
      </c>
      <c r="B3" s="10" t="inlineStr">
        <is>
          <t>Giá trị</t>
        </is>
      </c>
      <c r="D3" s="10" t="inlineStr">
        <is>
          <t>Kiểm tra</t>
        </is>
      </c>
      <c r="E3" s="10" t="inlineStr">
        <is>
          <t>Kết quả</t>
        </is>
      </c>
    </row>
    <row r="4">
      <c r="A4" s="23" t="inlineStr">
        <is>
          <t>Ngày bắt đầu</t>
        </is>
      </c>
      <c r="B4" s="72" t="n">
        <v>46258</v>
      </c>
      <c r="D4" s="23" t="inlineStr">
        <is>
          <t>Số ngày mong đợi</t>
        </is>
      </c>
      <c r="E4" s="12" t="n">
        <v>99</v>
      </c>
    </row>
    <row r="5">
      <c r="A5" s="24" t="inlineStr">
        <is>
          <t>Ngày kết thúc</t>
        </is>
      </c>
      <c r="B5" s="73" t="n">
        <v>46356</v>
      </c>
      <c r="D5" s="24" t="inlineStr">
        <is>
          <t>Số dòng lịch thực tế</t>
        </is>
      </c>
      <c r="E5" s="14">
        <f>B8</f>
        <v/>
      </c>
    </row>
    <row r="6">
      <c r="A6" s="24" t="inlineStr">
        <is>
          <t>Giờ bắt đầu mỗi ngày</t>
        </is>
      </c>
      <c r="B6" s="14" t="inlineStr">
        <is>
          <t>00:30</t>
        </is>
      </c>
      <c r="D6" s="24" t="inlineStr">
        <is>
          <t>Mỗi ngày đủ 5 check-in</t>
        </is>
      </c>
      <c r="E6" s="14">
        <f>IF(COUNTIF('VPS_CRAWL_PLAN'!$L$4:$L$102,"PASS")=$E$4,"PASS","CHECK")</f>
        <v/>
      </c>
    </row>
    <row r="7">
      <c r="A7" s="24" t="inlineStr">
        <is>
          <t>Múi giờ</t>
        </is>
      </c>
      <c r="B7" s="14" t="inlineStr">
        <is>
          <t>Asia/Ho_Chi_Minh</t>
        </is>
      </c>
      <c r="D7" s="24" t="inlineStr">
        <is>
          <t>Không trùng 12 ngày local</t>
        </is>
      </c>
      <c r="E7" s="14">
        <f>IF(COUNTIF('VPS_CRAWL_PLAN'!$M$4:$M$102,"PASS")=$E$4,"PASS","CHECK")</f>
        <v/>
      </c>
    </row>
    <row r="8">
      <c r="A8" s="24" t="inlineStr">
        <is>
          <t>Tổng số ngày theo lịch</t>
        </is>
      </c>
      <c r="B8" s="74">
        <f>ROWS('VPS_CRAWL_PLAN'!$A$4:$A$102)</f>
        <v/>
      </c>
      <c r="D8" s="25" t="inlineStr">
        <is>
          <t>Trạng thái workbook</t>
        </is>
      </c>
      <c r="E8" s="16">
        <f>IF(AND(E4=E5,E6="PASS",E7="PASS"),"PASS","CHECK")</f>
        <v/>
      </c>
    </row>
    <row r="9">
      <c r="A9" s="24" t="inlineStr">
        <is>
          <t>Số khách sạn</t>
        </is>
      </c>
      <c r="B9" s="74" t="n">
        <v>354</v>
      </c>
    </row>
    <row r="10">
      <c r="A10" s="24" t="inlineStr">
        <is>
          <t>Check-in mỗi ngày</t>
        </is>
      </c>
      <c r="B10" s="74" t="n">
        <v>5</v>
      </c>
    </row>
    <row r="11">
      <c r="A11" s="24" t="inlineStr">
        <is>
          <t>Item dự kiến mỗi ngày</t>
        </is>
      </c>
      <c r="B11" s="74" t="n">
        <v>1770</v>
      </c>
    </row>
    <row r="12">
      <c r="A12" s="24" t="inlineStr">
        <is>
          <t>Đã hoàn thành</t>
        </is>
      </c>
      <c r="B12" s="74">
        <f>COUNTIF('CRAWL_LOG'!$B$4:$B$102,"Hoàn thành")+COUNTIF('CRAWL_LOG'!$B$4:$B$102,"Hoàn thành có lỗi")</f>
        <v/>
      </c>
    </row>
    <row r="13">
      <c r="A13" s="25" t="inlineStr">
        <is>
          <t>Chưa chạy</t>
        </is>
      </c>
      <c r="B13" s="75">
        <f>COUNTIF('CRAWL_LOG'!$B$4:$B$102,"Chưa chạy")</f>
        <v/>
      </c>
    </row>
    <row r="15">
      <c r="A15" s="33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0" customWidth="1" min="10" max="10"/>
    <col width="10" customWidth="1" min="11" max="11"/>
    <col width="18" customWidth="1" min="12" max="12"/>
    <col width="18" customWidth="1" min="13" max="13"/>
    <col width="18" customWidth="1" min="14" max="14"/>
    <col width="22" customWidth="1" min="15" max="15"/>
  </cols>
  <sheetData>
    <row r="1" ht="28" customHeight="1">
      <c r="A1" s="4" t="inlineStr">
        <is>
          <t>VPS CRAWL PLAN — 99 NGÀY, 5 CHECK-IN BỔ SUNG MỖI NGÀY</t>
        </is>
      </c>
    </row>
    <row r="2">
      <c r="A2" s="35" t="inlineStr">
        <is>
          <t>V1–V5 là anchor bổ sung. Tất cả check-in phải &gt;= crawl date, khác nhau và không xuất hiện trong 12 slot local của cùng ngày crawl.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Phase</t>
        </is>
      </c>
      <c r="D3" s="10" t="inlineStr">
        <is>
          <t>Start time (ICT)</t>
        </is>
      </c>
      <c r="E3" s="10" t="inlineStr">
        <is>
          <t>V1 weekday</t>
        </is>
      </c>
      <c r="F3" s="10" t="inlineStr">
        <is>
          <t>V2 weekend</t>
        </is>
      </c>
      <c r="G3" s="10" t="inlineStr">
        <is>
          <t>V3 seasonal</t>
        </is>
      </c>
      <c r="H3" s="10" t="inlineStr">
        <is>
          <t>V4 medium</t>
        </is>
      </c>
      <c r="I3" s="10" t="inlineStr">
        <is>
          <t>V5 long</t>
        </is>
      </c>
      <c r="J3" s="10" t="inlineStr">
        <is>
          <t>Min lead</t>
        </is>
      </c>
      <c r="K3" s="10" t="inlineStr">
        <is>
          <t>Max lead</t>
        </is>
      </c>
      <c r="L3" s="10" t="inlineStr">
        <is>
          <t>5 ngày hợp lệ</t>
        </is>
      </c>
      <c r="M3" s="10" t="inlineStr">
        <is>
          <t>Không trùng local</t>
        </is>
      </c>
      <c r="N3" s="10" t="inlineStr">
        <is>
          <t>Crawl status</t>
        </is>
      </c>
      <c r="O3" s="10" t="inlineStr">
        <is>
          <t>Sampling note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Warm-up</t>
        </is>
      </c>
      <c r="D4" s="36" t="inlineStr">
        <is>
          <t>00:30</t>
        </is>
      </c>
      <c r="E4" s="77" t="n">
        <v>46261</v>
      </c>
      <c r="F4" s="77" t="n">
        <v>46264</v>
      </c>
      <c r="G4" s="77" t="n">
        <v>46268</v>
      </c>
      <c r="H4" s="77" t="n">
        <v>46281</v>
      </c>
      <c r="I4" s="77" t="n">
        <v>46411</v>
      </c>
      <c r="J4" s="78">
        <f>MIN(E4:I4)-A4</f>
        <v/>
      </c>
      <c r="K4" s="78">
        <f>MAX(E4:I4)-A4</f>
        <v/>
      </c>
      <c r="L4" s="36">
        <f>IF(AND(COUNT(E4:I4)=5,MIN(E4:I4)&gt;=A4,E4&lt;&gt;F4,E4&lt;&gt;G4,E4&lt;&gt;H4,E4&lt;&gt;I4,F4&lt;&gt;G4,F4&lt;&gt;H4,F4&lt;&gt;I4,G4&lt;&gt;H4,G4&lt;&gt;I4,H4&lt;&gt;I4),"PASS","CHECK")</f>
        <v/>
      </c>
      <c r="M4" s="36">
        <f>IF(COUNTIF('LOCAL_REFERENCE'!$D4:$O4,E4)+COUNTIF('LOCAL_REFERENCE'!$D4:$O4,F4)+COUNTIF('LOCAL_REFERENCE'!$D4:$O4,G4)+COUNTIF('LOCAL_REFERENCE'!$D4:$O4,H4)+COUNTIF('LOCAL_REFERENCE'!$D4:$O4,I4)=0,"PASS","DUPLICATE")</f>
        <v/>
      </c>
      <c r="N4" s="36">
        <f>'CRAWL_LOG'!B4</f>
        <v/>
      </c>
      <c r="O4" s="36" t="inlineStr">
        <is>
          <t>Supplementary panel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Warm-up</t>
        </is>
      </c>
      <c r="D5" s="37" t="inlineStr">
        <is>
          <t>00:30</t>
        </is>
      </c>
      <c r="E5" s="77" t="n">
        <v>46261</v>
      </c>
      <c r="F5" s="77" t="n">
        <v>46264</v>
      </c>
      <c r="G5" s="77" t="n">
        <v>46268</v>
      </c>
      <c r="H5" s="77" t="n">
        <v>46281</v>
      </c>
      <c r="I5" s="77" t="n">
        <v>46411</v>
      </c>
      <c r="J5" s="80">
        <f>MIN(E5:I5)-A5</f>
        <v/>
      </c>
      <c r="K5" s="80">
        <f>MAX(E5:I5)-A5</f>
        <v/>
      </c>
      <c r="L5" s="37">
        <f>IF(AND(COUNT(E5:I5)=5,MIN(E5:I5)&gt;=A5,E5&lt;&gt;F5,E5&lt;&gt;G5,E5&lt;&gt;H5,E5&lt;&gt;I5,F5&lt;&gt;G5,F5&lt;&gt;H5,F5&lt;&gt;I5,G5&lt;&gt;H5,G5&lt;&gt;I5,H5&lt;&gt;I5),"PASS","CHECK")</f>
        <v/>
      </c>
      <c r="M5" s="37">
        <f>IF(COUNTIF('LOCAL_REFERENCE'!$D5:$O5,E5)+COUNTIF('LOCAL_REFERENCE'!$D5:$O5,F5)+COUNTIF('LOCAL_REFERENCE'!$D5:$O5,G5)+COUNTIF('LOCAL_REFERENCE'!$D5:$O5,H5)+COUNTIF('LOCAL_REFERENCE'!$D5:$O5,I5)=0,"PASS","DUPLICATE")</f>
        <v/>
      </c>
      <c r="N5" s="37">
        <f>'CRAWL_LOG'!B5</f>
        <v/>
      </c>
      <c r="O5" s="37" t="inlineStr">
        <is>
          <t>Supplementary panel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Warm-up</t>
        </is>
      </c>
      <c r="D6" s="36" t="inlineStr">
        <is>
          <t>00:30</t>
        </is>
      </c>
      <c r="E6" s="77" t="n">
        <v>46261</v>
      </c>
      <c r="F6" s="77" t="n">
        <v>46264</v>
      </c>
      <c r="G6" s="77" t="n">
        <v>46268</v>
      </c>
      <c r="H6" s="77" t="n">
        <v>46281</v>
      </c>
      <c r="I6" s="77" t="n">
        <v>46411</v>
      </c>
      <c r="J6" s="78">
        <f>MIN(E6:I6)-A6</f>
        <v/>
      </c>
      <c r="K6" s="78">
        <f>MAX(E6:I6)-A6</f>
        <v/>
      </c>
      <c r="L6" s="36">
        <f>IF(AND(COUNT(E6:I6)=5,MIN(E6:I6)&gt;=A6,E6&lt;&gt;F6,E6&lt;&gt;G6,E6&lt;&gt;H6,E6&lt;&gt;I6,F6&lt;&gt;G6,F6&lt;&gt;H6,F6&lt;&gt;I6,G6&lt;&gt;H6,G6&lt;&gt;I6,H6&lt;&gt;I6),"PASS","CHECK")</f>
        <v/>
      </c>
      <c r="M6" s="36">
        <f>IF(COUNTIF('LOCAL_REFERENCE'!$D6:$O6,E6)+COUNTIF('LOCAL_REFERENCE'!$D6:$O6,F6)+COUNTIF('LOCAL_REFERENCE'!$D6:$O6,G6)+COUNTIF('LOCAL_REFERENCE'!$D6:$O6,H6)+COUNTIF('LOCAL_REFERENCE'!$D6:$O6,I6)=0,"PASS","DUPLICATE")</f>
        <v/>
      </c>
      <c r="N6" s="36">
        <f>'CRAWL_LOG'!B6</f>
        <v/>
      </c>
      <c r="O6" s="36" t="inlineStr">
        <is>
          <t>Supplementary panel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Warm-up</t>
        </is>
      </c>
      <c r="D7" s="37" t="inlineStr">
        <is>
          <t>00:30</t>
        </is>
      </c>
      <c r="E7" s="77" t="n">
        <v>46261</v>
      </c>
      <c r="F7" s="77" t="n">
        <v>46264</v>
      </c>
      <c r="G7" s="77" t="n">
        <v>46268</v>
      </c>
      <c r="H7" s="77" t="n">
        <v>46281</v>
      </c>
      <c r="I7" s="77" t="n">
        <v>46411</v>
      </c>
      <c r="J7" s="80">
        <f>MIN(E7:I7)-A7</f>
        <v/>
      </c>
      <c r="K7" s="80">
        <f>MAX(E7:I7)-A7</f>
        <v/>
      </c>
      <c r="L7" s="37">
        <f>IF(AND(COUNT(E7:I7)=5,MIN(E7:I7)&gt;=A7,E7&lt;&gt;F7,E7&lt;&gt;G7,E7&lt;&gt;H7,E7&lt;&gt;I7,F7&lt;&gt;G7,F7&lt;&gt;H7,F7&lt;&gt;I7,G7&lt;&gt;H7,G7&lt;&gt;I7,H7&lt;&gt;I7),"PASS","CHECK")</f>
        <v/>
      </c>
      <c r="M7" s="37">
        <f>IF(COUNTIF('LOCAL_REFERENCE'!$D7:$O7,E7)+COUNTIF('LOCAL_REFERENCE'!$D7:$O7,F7)+COUNTIF('LOCAL_REFERENCE'!$D7:$O7,G7)+COUNTIF('LOCAL_REFERENCE'!$D7:$O7,H7)+COUNTIF('LOCAL_REFERENCE'!$D7:$O7,I7)=0,"PASS","DUPLICATE")</f>
        <v/>
      </c>
      <c r="N7" s="37">
        <f>'CRAWL_LOG'!B7</f>
        <v/>
      </c>
      <c r="O7" s="37" t="inlineStr">
        <is>
          <t>Supplementary panel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Warm-up</t>
        </is>
      </c>
      <c r="D8" s="36" t="inlineStr">
        <is>
          <t>00:30</t>
        </is>
      </c>
      <c r="E8" s="77" t="n">
        <v>46289</v>
      </c>
      <c r="F8" s="77" t="n">
        <v>46264</v>
      </c>
      <c r="G8" s="77" t="n">
        <v>46268</v>
      </c>
      <c r="H8" s="77" t="n">
        <v>46281</v>
      </c>
      <c r="I8" s="77" t="n">
        <v>46411</v>
      </c>
      <c r="J8" s="78">
        <f>MIN(E8:I8)-A8</f>
        <v/>
      </c>
      <c r="K8" s="78">
        <f>MAX(E8:I8)-A8</f>
        <v/>
      </c>
      <c r="L8" s="36">
        <f>IF(AND(COUNT(E8:I8)=5,MIN(E8:I8)&gt;=A8,E8&lt;&gt;F8,E8&lt;&gt;G8,E8&lt;&gt;H8,E8&lt;&gt;I8,F8&lt;&gt;G8,F8&lt;&gt;H8,F8&lt;&gt;I8,G8&lt;&gt;H8,G8&lt;&gt;I8,H8&lt;&gt;I8),"PASS","CHECK")</f>
        <v/>
      </c>
      <c r="M8" s="36">
        <f>IF(COUNTIF('LOCAL_REFERENCE'!$D8:$O8,E8)+COUNTIF('LOCAL_REFERENCE'!$D8:$O8,F8)+COUNTIF('LOCAL_REFERENCE'!$D8:$O8,G8)+COUNTIF('LOCAL_REFERENCE'!$D8:$O8,H8)+COUNTIF('LOCAL_REFERENCE'!$D8:$O8,I8)=0,"PASS","DUPLICATE")</f>
        <v/>
      </c>
      <c r="N8" s="36">
        <f>'CRAWL_LOG'!B8</f>
        <v/>
      </c>
      <c r="O8" s="36" t="inlineStr">
        <is>
          <t>Supplementary panel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Warm-up</t>
        </is>
      </c>
      <c r="D9" s="37" t="inlineStr">
        <is>
          <t>00:30</t>
        </is>
      </c>
      <c r="E9" s="77" t="n">
        <v>46289</v>
      </c>
      <c r="F9" s="77" t="n">
        <v>46264</v>
      </c>
      <c r="G9" s="77" t="n">
        <v>46268</v>
      </c>
      <c r="H9" s="77" t="n">
        <v>46281</v>
      </c>
      <c r="I9" s="77" t="n">
        <v>46411</v>
      </c>
      <c r="J9" s="80">
        <f>MIN(E9:I9)-A9</f>
        <v/>
      </c>
      <c r="K9" s="80">
        <f>MAX(E9:I9)-A9</f>
        <v/>
      </c>
      <c r="L9" s="37">
        <f>IF(AND(COUNT(E9:I9)=5,MIN(E9:I9)&gt;=A9,E9&lt;&gt;F9,E9&lt;&gt;G9,E9&lt;&gt;H9,E9&lt;&gt;I9,F9&lt;&gt;G9,F9&lt;&gt;H9,F9&lt;&gt;I9,G9&lt;&gt;H9,G9&lt;&gt;I9,H9&lt;&gt;I9),"PASS","CHECK")</f>
        <v/>
      </c>
      <c r="M9" s="37">
        <f>IF(COUNTIF('LOCAL_REFERENCE'!$D9:$O9,E9)+COUNTIF('LOCAL_REFERENCE'!$D9:$O9,F9)+COUNTIF('LOCAL_REFERENCE'!$D9:$O9,G9)+COUNTIF('LOCAL_REFERENCE'!$D9:$O9,H9)+COUNTIF('LOCAL_REFERENCE'!$D9:$O9,I9)=0,"PASS","DUPLICATE")</f>
        <v/>
      </c>
      <c r="N9" s="37">
        <f>'CRAWL_LOG'!B9</f>
        <v/>
      </c>
      <c r="O9" s="37" t="inlineStr">
        <is>
          <t>Supplementary panel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Warm-up</t>
        </is>
      </c>
      <c r="D10" s="36" t="inlineStr">
        <is>
          <t>00:30</t>
        </is>
      </c>
      <c r="E10" s="77" t="n">
        <v>46289</v>
      </c>
      <c r="F10" s="77" t="n">
        <v>46264</v>
      </c>
      <c r="G10" s="77" t="n">
        <v>46268</v>
      </c>
      <c r="H10" s="77" t="n">
        <v>46281</v>
      </c>
      <c r="I10" s="77" t="n">
        <v>46411</v>
      </c>
      <c r="J10" s="78">
        <f>MIN(E10:I10)-A10</f>
        <v/>
      </c>
      <c r="K10" s="78">
        <f>MAX(E10:I10)-A10</f>
        <v/>
      </c>
      <c r="L10" s="36">
        <f>IF(AND(COUNT(E10:I10)=5,MIN(E10:I10)&gt;=A10,E10&lt;&gt;F10,E10&lt;&gt;G10,E10&lt;&gt;H10,E10&lt;&gt;I10,F10&lt;&gt;G10,F10&lt;&gt;H10,F10&lt;&gt;I10,G10&lt;&gt;H10,G10&lt;&gt;I10,H10&lt;&gt;I10),"PASS","CHECK")</f>
        <v/>
      </c>
      <c r="M10" s="36">
        <f>IF(COUNTIF('LOCAL_REFERENCE'!$D10:$O10,E10)+COUNTIF('LOCAL_REFERENCE'!$D10:$O10,F10)+COUNTIF('LOCAL_REFERENCE'!$D10:$O10,G10)+COUNTIF('LOCAL_REFERENCE'!$D10:$O10,H10)+COUNTIF('LOCAL_REFERENCE'!$D10:$O10,I10)=0,"PASS","DUPLICATE")</f>
        <v/>
      </c>
      <c r="N10" s="36">
        <f>'CRAWL_LOG'!B10</f>
        <v/>
      </c>
      <c r="O10" s="36" t="inlineStr">
        <is>
          <t>Supplementary panel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Warm-up</t>
        </is>
      </c>
      <c r="D11" s="37" t="inlineStr">
        <is>
          <t>00:30</t>
        </is>
      </c>
      <c r="E11" s="77" t="n">
        <v>46289</v>
      </c>
      <c r="F11" s="77" t="n">
        <v>46292</v>
      </c>
      <c r="G11" s="77" t="n">
        <v>46268</v>
      </c>
      <c r="H11" s="77" t="n">
        <v>46281</v>
      </c>
      <c r="I11" s="77" t="n">
        <v>46411</v>
      </c>
      <c r="J11" s="80">
        <f>MIN(E11:I11)-A11</f>
        <v/>
      </c>
      <c r="K11" s="80">
        <f>MAX(E11:I11)-A11</f>
        <v/>
      </c>
      <c r="L11" s="37">
        <f>IF(AND(COUNT(E11:I11)=5,MIN(E11:I11)&gt;=A11,E11&lt;&gt;F11,E11&lt;&gt;G11,E11&lt;&gt;H11,E11&lt;&gt;I11,F11&lt;&gt;G11,F11&lt;&gt;H11,F11&lt;&gt;I11,G11&lt;&gt;H11,G11&lt;&gt;I11,H11&lt;&gt;I11),"PASS","CHECK")</f>
        <v/>
      </c>
      <c r="M11" s="37">
        <f>IF(COUNTIF('LOCAL_REFERENCE'!$D11:$O11,E11)+COUNTIF('LOCAL_REFERENCE'!$D11:$O11,F11)+COUNTIF('LOCAL_REFERENCE'!$D11:$O11,G11)+COUNTIF('LOCAL_REFERENCE'!$D11:$O11,H11)+COUNTIF('LOCAL_REFERENCE'!$D11:$O11,I11)=0,"PASS","DUPLICATE")</f>
        <v/>
      </c>
      <c r="N11" s="37">
        <f>'CRAWL_LOG'!B11</f>
        <v/>
      </c>
      <c r="O11" s="37" t="inlineStr">
        <is>
          <t>Supplementary panel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Official</t>
        </is>
      </c>
      <c r="D12" s="36" t="inlineStr">
        <is>
          <t>00:30</t>
        </is>
      </c>
      <c r="E12" s="77" t="n">
        <v>46289</v>
      </c>
      <c r="F12" s="77" t="n">
        <v>46292</v>
      </c>
      <c r="G12" s="77" t="n">
        <v>46268</v>
      </c>
      <c r="H12" s="77" t="n">
        <v>46281</v>
      </c>
      <c r="I12" s="77" t="n">
        <v>46411</v>
      </c>
      <c r="J12" s="78">
        <f>MIN(E12:I12)-A12</f>
        <v/>
      </c>
      <c r="K12" s="78">
        <f>MAX(E12:I12)-A12</f>
        <v/>
      </c>
      <c r="L12" s="36">
        <f>IF(AND(COUNT(E12:I12)=5,MIN(E12:I12)&gt;=A12,E12&lt;&gt;F12,E12&lt;&gt;G12,E12&lt;&gt;H12,E12&lt;&gt;I12,F12&lt;&gt;G12,F12&lt;&gt;H12,F12&lt;&gt;I12,G12&lt;&gt;H12,G12&lt;&gt;I12,H12&lt;&gt;I12),"PASS","CHECK")</f>
        <v/>
      </c>
      <c r="M12" s="36">
        <f>IF(COUNTIF('LOCAL_REFERENCE'!$D12:$O12,E12)+COUNTIF('LOCAL_REFERENCE'!$D12:$O12,F12)+COUNTIF('LOCAL_REFERENCE'!$D12:$O12,G12)+COUNTIF('LOCAL_REFERENCE'!$D12:$O12,H12)+COUNTIF('LOCAL_REFERENCE'!$D12:$O12,I12)=0,"PASS","DUPLICATE")</f>
        <v/>
      </c>
      <c r="N12" s="36">
        <f>'CRAWL_LOG'!B12</f>
        <v/>
      </c>
      <c r="O12" s="36" t="inlineStr">
        <is>
          <t>Supplementary panel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Official</t>
        </is>
      </c>
      <c r="D13" s="37" t="inlineStr">
        <is>
          <t>00:30</t>
        </is>
      </c>
      <c r="E13" s="77" t="n">
        <v>46289</v>
      </c>
      <c r="F13" s="77" t="n">
        <v>46292</v>
      </c>
      <c r="G13" s="77" t="n">
        <v>46268</v>
      </c>
      <c r="H13" s="77" t="n">
        <v>46281</v>
      </c>
      <c r="I13" s="77" t="n">
        <v>46411</v>
      </c>
      <c r="J13" s="80">
        <f>MIN(E13:I13)-A13</f>
        <v/>
      </c>
      <c r="K13" s="80">
        <f>MAX(E13:I13)-A13</f>
        <v/>
      </c>
      <c r="L13" s="37">
        <f>IF(AND(COUNT(E13:I13)=5,MIN(E13:I13)&gt;=A13,E13&lt;&gt;F13,E13&lt;&gt;G13,E13&lt;&gt;H13,E13&lt;&gt;I13,F13&lt;&gt;G13,F13&lt;&gt;H13,F13&lt;&gt;I13,G13&lt;&gt;H13,G13&lt;&gt;I13,H13&lt;&gt;I13),"PASS","CHECK")</f>
        <v/>
      </c>
      <c r="M13" s="37">
        <f>IF(COUNTIF('LOCAL_REFERENCE'!$D13:$O13,E13)+COUNTIF('LOCAL_REFERENCE'!$D13:$O13,F13)+COUNTIF('LOCAL_REFERENCE'!$D13:$O13,G13)+COUNTIF('LOCAL_REFERENCE'!$D13:$O13,H13)+COUNTIF('LOCAL_REFERENCE'!$D13:$O13,I13)=0,"PASS","DUPLICATE")</f>
        <v/>
      </c>
      <c r="N13" s="37">
        <f>'CRAWL_LOG'!B13</f>
        <v/>
      </c>
      <c r="O13" s="37" t="inlineStr">
        <is>
          <t>Supplementary panel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Official</t>
        </is>
      </c>
      <c r="D14" s="36" t="inlineStr">
        <is>
          <t>00:30</t>
        </is>
      </c>
      <c r="E14" s="77" t="n">
        <v>46289</v>
      </c>
      <c r="F14" s="77" t="n">
        <v>46292</v>
      </c>
      <c r="G14" s="77" t="n">
        <v>46268</v>
      </c>
      <c r="H14" s="77" t="n">
        <v>46281</v>
      </c>
      <c r="I14" s="77" t="n">
        <v>46411</v>
      </c>
      <c r="J14" s="78">
        <f>MIN(E14:I14)-A14</f>
        <v/>
      </c>
      <c r="K14" s="78">
        <f>MAX(E14:I14)-A14</f>
        <v/>
      </c>
      <c r="L14" s="36">
        <f>IF(AND(COUNT(E14:I14)=5,MIN(E14:I14)&gt;=A14,E14&lt;&gt;F14,E14&lt;&gt;G14,E14&lt;&gt;H14,E14&lt;&gt;I14,F14&lt;&gt;G14,F14&lt;&gt;H14,F14&lt;&gt;I14,G14&lt;&gt;H14,G14&lt;&gt;I14,H14&lt;&gt;I14),"PASS","CHECK")</f>
        <v/>
      </c>
      <c r="M14" s="36">
        <f>IF(COUNTIF('LOCAL_REFERENCE'!$D14:$O14,E14)+COUNTIF('LOCAL_REFERENCE'!$D14:$O14,F14)+COUNTIF('LOCAL_REFERENCE'!$D14:$O14,G14)+COUNTIF('LOCAL_REFERENCE'!$D14:$O14,H14)+COUNTIF('LOCAL_REFERENCE'!$D14:$O14,I14)=0,"PASS","DUPLICATE")</f>
        <v/>
      </c>
      <c r="N14" s="36">
        <f>'CRAWL_LOG'!B14</f>
        <v/>
      </c>
      <c r="O14" s="36" t="inlineStr">
        <is>
          <t>Supplementary panel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Official</t>
        </is>
      </c>
      <c r="D15" s="37" t="inlineStr">
        <is>
          <t>00:30</t>
        </is>
      </c>
      <c r="E15" s="77" t="n">
        <v>46289</v>
      </c>
      <c r="F15" s="77" t="n">
        <v>46292</v>
      </c>
      <c r="G15" s="77" t="n">
        <v>46296</v>
      </c>
      <c r="H15" s="77" t="n">
        <v>46281</v>
      </c>
      <c r="I15" s="77" t="n">
        <v>46411</v>
      </c>
      <c r="J15" s="80">
        <f>MIN(E15:I15)-A15</f>
        <v/>
      </c>
      <c r="K15" s="80">
        <f>MAX(E15:I15)-A15</f>
        <v/>
      </c>
      <c r="L15" s="37">
        <f>IF(AND(COUNT(E15:I15)=5,MIN(E15:I15)&gt;=A15,E15&lt;&gt;F15,E15&lt;&gt;G15,E15&lt;&gt;H15,E15&lt;&gt;I15,F15&lt;&gt;G15,F15&lt;&gt;H15,F15&lt;&gt;I15,G15&lt;&gt;H15,G15&lt;&gt;I15,H15&lt;&gt;I15),"PASS","CHECK")</f>
        <v/>
      </c>
      <c r="M15" s="37">
        <f>IF(COUNTIF('LOCAL_REFERENCE'!$D15:$O15,E15)+COUNTIF('LOCAL_REFERENCE'!$D15:$O15,F15)+COUNTIF('LOCAL_REFERENCE'!$D15:$O15,G15)+COUNTIF('LOCAL_REFERENCE'!$D15:$O15,H15)+COUNTIF('LOCAL_REFERENCE'!$D15:$O15,I15)=0,"PASS","DUPLICATE")</f>
        <v/>
      </c>
      <c r="N15" s="37">
        <f>'CRAWL_LOG'!B15</f>
        <v/>
      </c>
      <c r="O15" s="37" t="inlineStr">
        <is>
          <t>Supplementary panel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Official</t>
        </is>
      </c>
      <c r="D16" s="36" t="inlineStr">
        <is>
          <t>00:30</t>
        </is>
      </c>
      <c r="E16" s="77" t="n">
        <v>46289</v>
      </c>
      <c r="F16" s="77" t="n">
        <v>46292</v>
      </c>
      <c r="G16" s="77" t="n">
        <v>46296</v>
      </c>
      <c r="H16" s="77" t="n">
        <v>46281</v>
      </c>
      <c r="I16" s="77" t="n">
        <v>46411</v>
      </c>
      <c r="J16" s="78">
        <f>MIN(E16:I16)-A16</f>
        <v/>
      </c>
      <c r="K16" s="78">
        <f>MAX(E16:I16)-A16</f>
        <v/>
      </c>
      <c r="L16" s="36">
        <f>IF(AND(COUNT(E16:I16)=5,MIN(E16:I16)&gt;=A16,E16&lt;&gt;F16,E16&lt;&gt;G16,E16&lt;&gt;H16,E16&lt;&gt;I16,F16&lt;&gt;G16,F16&lt;&gt;H16,F16&lt;&gt;I16,G16&lt;&gt;H16,G16&lt;&gt;I16,H16&lt;&gt;I16),"PASS","CHECK")</f>
        <v/>
      </c>
      <c r="M16" s="36">
        <f>IF(COUNTIF('LOCAL_REFERENCE'!$D16:$O16,E16)+COUNTIF('LOCAL_REFERENCE'!$D16:$O16,F16)+COUNTIF('LOCAL_REFERENCE'!$D16:$O16,G16)+COUNTIF('LOCAL_REFERENCE'!$D16:$O16,H16)+COUNTIF('LOCAL_REFERENCE'!$D16:$O16,I16)=0,"PASS","DUPLICATE")</f>
        <v/>
      </c>
      <c r="N16" s="36">
        <f>'CRAWL_LOG'!B16</f>
        <v/>
      </c>
      <c r="O16" s="36" t="inlineStr">
        <is>
          <t>Supplementary panel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Official</t>
        </is>
      </c>
      <c r="D17" s="37" t="inlineStr">
        <is>
          <t>00:30</t>
        </is>
      </c>
      <c r="E17" s="77" t="n">
        <v>46289</v>
      </c>
      <c r="F17" s="77" t="n">
        <v>46292</v>
      </c>
      <c r="G17" s="77" t="n">
        <v>46296</v>
      </c>
      <c r="H17" s="77" t="n">
        <v>46281</v>
      </c>
      <c r="I17" s="77" t="n">
        <v>46411</v>
      </c>
      <c r="J17" s="80">
        <f>MIN(E17:I17)-A17</f>
        <v/>
      </c>
      <c r="K17" s="80">
        <f>MAX(E17:I17)-A17</f>
        <v/>
      </c>
      <c r="L17" s="37">
        <f>IF(AND(COUNT(E17:I17)=5,MIN(E17:I17)&gt;=A17,E17&lt;&gt;F17,E17&lt;&gt;G17,E17&lt;&gt;H17,E17&lt;&gt;I17,F17&lt;&gt;G17,F17&lt;&gt;H17,F17&lt;&gt;I17,G17&lt;&gt;H17,G17&lt;&gt;I17,H17&lt;&gt;I17),"PASS","CHECK")</f>
        <v/>
      </c>
      <c r="M17" s="37">
        <f>IF(COUNTIF('LOCAL_REFERENCE'!$D17:$O17,E17)+COUNTIF('LOCAL_REFERENCE'!$D17:$O17,F17)+COUNTIF('LOCAL_REFERENCE'!$D17:$O17,G17)+COUNTIF('LOCAL_REFERENCE'!$D17:$O17,H17)+COUNTIF('LOCAL_REFERENCE'!$D17:$O17,I17)=0,"PASS","DUPLICATE")</f>
        <v/>
      </c>
      <c r="N17" s="37">
        <f>'CRAWL_LOG'!B17</f>
        <v/>
      </c>
      <c r="O17" s="37" t="inlineStr">
        <is>
          <t>Supplementary panel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Official</t>
        </is>
      </c>
      <c r="D18" s="36" t="inlineStr">
        <is>
          <t>00:30</t>
        </is>
      </c>
      <c r="E18" s="77" t="n">
        <v>46289</v>
      </c>
      <c r="F18" s="77" t="n">
        <v>46292</v>
      </c>
      <c r="G18" s="77" t="n">
        <v>46296</v>
      </c>
      <c r="H18" s="77" t="n">
        <v>46281</v>
      </c>
      <c r="I18" s="77" t="n">
        <v>46411</v>
      </c>
      <c r="J18" s="78">
        <f>MIN(E18:I18)-A18</f>
        <v/>
      </c>
      <c r="K18" s="78">
        <f>MAX(E18:I18)-A18</f>
        <v/>
      </c>
      <c r="L18" s="36">
        <f>IF(AND(COUNT(E18:I18)=5,MIN(E18:I18)&gt;=A18,E18&lt;&gt;F18,E18&lt;&gt;G18,E18&lt;&gt;H18,E18&lt;&gt;I18,F18&lt;&gt;G18,F18&lt;&gt;H18,F18&lt;&gt;I18,G18&lt;&gt;H18,G18&lt;&gt;I18,H18&lt;&gt;I18),"PASS","CHECK")</f>
        <v/>
      </c>
      <c r="M18" s="36">
        <f>IF(COUNTIF('LOCAL_REFERENCE'!$D18:$O18,E18)+COUNTIF('LOCAL_REFERENCE'!$D18:$O18,F18)+COUNTIF('LOCAL_REFERENCE'!$D18:$O18,G18)+COUNTIF('LOCAL_REFERENCE'!$D18:$O18,H18)+COUNTIF('LOCAL_REFERENCE'!$D18:$O18,I18)=0,"PASS","DUPLICATE")</f>
        <v/>
      </c>
      <c r="N18" s="36">
        <f>'CRAWL_LOG'!B18</f>
        <v/>
      </c>
      <c r="O18" s="36" t="inlineStr">
        <is>
          <t>Supplementary panel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Official</t>
        </is>
      </c>
      <c r="D19" s="37" t="inlineStr">
        <is>
          <t>00:30</t>
        </is>
      </c>
      <c r="E19" s="77" t="n">
        <v>46289</v>
      </c>
      <c r="F19" s="77" t="n">
        <v>46292</v>
      </c>
      <c r="G19" s="77" t="n">
        <v>46296</v>
      </c>
      <c r="H19" s="77" t="n">
        <v>46281</v>
      </c>
      <c r="I19" s="77" t="n">
        <v>46411</v>
      </c>
      <c r="J19" s="80">
        <f>MIN(E19:I19)-A19</f>
        <v/>
      </c>
      <c r="K19" s="80">
        <f>MAX(E19:I19)-A19</f>
        <v/>
      </c>
      <c r="L19" s="37">
        <f>IF(AND(COUNT(E19:I19)=5,MIN(E19:I19)&gt;=A19,E19&lt;&gt;F19,E19&lt;&gt;G19,E19&lt;&gt;H19,E19&lt;&gt;I19,F19&lt;&gt;G19,F19&lt;&gt;H19,F19&lt;&gt;I19,G19&lt;&gt;H19,G19&lt;&gt;I19,H19&lt;&gt;I19),"PASS","CHECK")</f>
        <v/>
      </c>
      <c r="M19" s="37">
        <f>IF(COUNTIF('LOCAL_REFERENCE'!$D19:$O19,E19)+COUNTIF('LOCAL_REFERENCE'!$D19:$O19,F19)+COUNTIF('LOCAL_REFERENCE'!$D19:$O19,G19)+COUNTIF('LOCAL_REFERENCE'!$D19:$O19,H19)+COUNTIF('LOCAL_REFERENCE'!$D19:$O19,I19)=0,"PASS","DUPLICATE")</f>
        <v/>
      </c>
      <c r="N19" s="37">
        <f>'CRAWL_LOG'!B19</f>
        <v/>
      </c>
      <c r="O19" s="37" t="inlineStr">
        <is>
          <t>Supplementary panel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Official</t>
        </is>
      </c>
      <c r="D20" s="36" t="inlineStr">
        <is>
          <t>00:30</t>
        </is>
      </c>
      <c r="E20" s="77" t="n">
        <v>46289</v>
      </c>
      <c r="F20" s="77" t="n">
        <v>46292</v>
      </c>
      <c r="G20" s="77" t="n">
        <v>46296</v>
      </c>
      <c r="H20" s="77" t="n">
        <v>46281</v>
      </c>
      <c r="I20" s="77" t="n">
        <v>46411</v>
      </c>
      <c r="J20" s="78">
        <f>MIN(E20:I20)-A20</f>
        <v/>
      </c>
      <c r="K20" s="78">
        <f>MAX(E20:I20)-A20</f>
        <v/>
      </c>
      <c r="L20" s="36">
        <f>IF(AND(COUNT(E20:I20)=5,MIN(E20:I20)&gt;=A20,E20&lt;&gt;F20,E20&lt;&gt;G20,E20&lt;&gt;H20,E20&lt;&gt;I20,F20&lt;&gt;G20,F20&lt;&gt;H20,F20&lt;&gt;I20,G20&lt;&gt;H20,G20&lt;&gt;I20,H20&lt;&gt;I20),"PASS","CHECK")</f>
        <v/>
      </c>
      <c r="M20" s="36">
        <f>IF(COUNTIF('LOCAL_REFERENCE'!$D20:$O20,E20)+COUNTIF('LOCAL_REFERENCE'!$D20:$O20,F20)+COUNTIF('LOCAL_REFERENCE'!$D20:$O20,G20)+COUNTIF('LOCAL_REFERENCE'!$D20:$O20,H20)+COUNTIF('LOCAL_REFERENCE'!$D20:$O20,I20)=0,"PASS","DUPLICATE")</f>
        <v/>
      </c>
      <c r="N20" s="36">
        <f>'CRAWL_LOG'!B20</f>
        <v/>
      </c>
      <c r="O20" s="36" t="inlineStr">
        <is>
          <t>Supplementary panel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Official</t>
        </is>
      </c>
      <c r="D21" s="37" t="inlineStr">
        <is>
          <t>00:30</t>
        </is>
      </c>
      <c r="E21" s="77" t="n">
        <v>46289</v>
      </c>
      <c r="F21" s="77" t="n">
        <v>46292</v>
      </c>
      <c r="G21" s="77" t="n">
        <v>46296</v>
      </c>
      <c r="H21" s="77" t="n">
        <v>46281</v>
      </c>
      <c r="I21" s="77" t="n">
        <v>46411</v>
      </c>
      <c r="J21" s="80">
        <f>MIN(E21:I21)-A21</f>
        <v/>
      </c>
      <c r="K21" s="80">
        <f>MAX(E21:I21)-A21</f>
        <v/>
      </c>
      <c r="L21" s="37">
        <f>IF(AND(COUNT(E21:I21)=5,MIN(E21:I21)&gt;=A21,E21&lt;&gt;F21,E21&lt;&gt;G21,E21&lt;&gt;H21,E21&lt;&gt;I21,F21&lt;&gt;G21,F21&lt;&gt;H21,F21&lt;&gt;I21,G21&lt;&gt;H21,G21&lt;&gt;I21,H21&lt;&gt;I21),"PASS","CHECK")</f>
        <v/>
      </c>
      <c r="M21" s="37">
        <f>IF(COUNTIF('LOCAL_REFERENCE'!$D21:$O21,E21)+COUNTIF('LOCAL_REFERENCE'!$D21:$O21,F21)+COUNTIF('LOCAL_REFERENCE'!$D21:$O21,G21)+COUNTIF('LOCAL_REFERENCE'!$D21:$O21,H21)+COUNTIF('LOCAL_REFERENCE'!$D21:$O21,I21)=0,"PASS","DUPLICATE")</f>
        <v/>
      </c>
      <c r="N21" s="37">
        <f>'CRAWL_LOG'!B21</f>
        <v/>
      </c>
      <c r="O21" s="37" t="inlineStr">
        <is>
          <t>Supplementary panel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Official</t>
        </is>
      </c>
      <c r="D22" s="36" t="inlineStr">
        <is>
          <t>00:30</t>
        </is>
      </c>
      <c r="E22" s="77" t="n">
        <v>46289</v>
      </c>
      <c r="F22" s="77" t="n">
        <v>46292</v>
      </c>
      <c r="G22" s="77" t="n">
        <v>46296</v>
      </c>
      <c r="H22" s="77" t="n">
        <v>46281</v>
      </c>
      <c r="I22" s="77" t="n">
        <v>46411</v>
      </c>
      <c r="J22" s="78">
        <f>MIN(E22:I22)-A22</f>
        <v/>
      </c>
      <c r="K22" s="78">
        <f>MAX(E22:I22)-A22</f>
        <v/>
      </c>
      <c r="L22" s="36">
        <f>IF(AND(COUNT(E22:I22)=5,MIN(E22:I22)&gt;=A22,E22&lt;&gt;F22,E22&lt;&gt;G22,E22&lt;&gt;H22,E22&lt;&gt;I22,F22&lt;&gt;G22,F22&lt;&gt;H22,F22&lt;&gt;I22,G22&lt;&gt;H22,G22&lt;&gt;I22,H22&lt;&gt;I22),"PASS","CHECK")</f>
        <v/>
      </c>
      <c r="M22" s="36">
        <f>IF(COUNTIF('LOCAL_REFERENCE'!$D22:$O22,E22)+COUNTIF('LOCAL_REFERENCE'!$D22:$O22,F22)+COUNTIF('LOCAL_REFERENCE'!$D22:$O22,G22)+COUNTIF('LOCAL_REFERENCE'!$D22:$O22,H22)+COUNTIF('LOCAL_REFERENCE'!$D22:$O22,I22)=0,"PASS","DUPLICATE")</f>
        <v/>
      </c>
      <c r="N22" s="36">
        <f>'CRAWL_LOG'!B22</f>
        <v/>
      </c>
      <c r="O22" s="36" t="inlineStr">
        <is>
          <t>Supplementary panel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Official</t>
        </is>
      </c>
      <c r="D23" s="37" t="inlineStr">
        <is>
          <t>00:30</t>
        </is>
      </c>
      <c r="E23" s="77" t="n">
        <v>46289</v>
      </c>
      <c r="F23" s="77" t="n">
        <v>46292</v>
      </c>
      <c r="G23" s="77" t="n">
        <v>46296</v>
      </c>
      <c r="H23" s="77" t="n">
        <v>46281</v>
      </c>
      <c r="I23" s="77" t="n">
        <v>46411</v>
      </c>
      <c r="J23" s="80">
        <f>MIN(E23:I23)-A23</f>
        <v/>
      </c>
      <c r="K23" s="80">
        <f>MAX(E23:I23)-A23</f>
        <v/>
      </c>
      <c r="L23" s="37">
        <f>IF(AND(COUNT(E23:I23)=5,MIN(E23:I23)&gt;=A23,E23&lt;&gt;F23,E23&lt;&gt;G23,E23&lt;&gt;H23,E23&lt;&gt;I23,F23&lt;&gt;G23,F23&lt;&gt;H23,F23&lt;&gt;I23,G23&lt;&gt;H23,G23&lt;&gt;I23,H23&lt;&gt;I23),"PASS","CHECK")</f>
        <v/>
      </c>
      <c r="M23" s="37">
        <f>IF(COUNTIF('LOCAL_REFERENCE'!$D23:$O23,E23)+COUNTIF('LOCAL_REFERENCE'!$D23:$O23,F23)+COUNTIF('LOCAL_REFERENCE'!$D23:$O23,G23)+COUNTIF('LOCAL_REFERENCE'!$D23:$O23,H23)+COUNTIF('LOCAL_REFERENCE'!$D23:$O23,I23)=0,"PASS","DUPLICATE")</f>
        <v/>
      </c>
      <c r="N23" s="37">
        <f>'CRAWL_LOG'!B23</f>
        <v/>
      </c>
      <c r="O23" s="37" t="inlineStr">
        <is>
          <t>Supplementary panel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Official</t>
        </is>
      </c>
      <c r="D24" s="36" t="inlineStr">
        <is>
          <t>00:30</t>
        </is>
      </c>
      <c r="E24" s="77" t="n">
        <v>46289</v>
      </c>
      <c r="F24" s="77" t="n">
        <v>46292</v>
      </c>
      <c r="G24" s="77" t="n">
        <v>46296</v>
      </c>
      <c r="H24" s="77" t="n">
        <v>46281</v>
      </c>
      <c r="I24" s="77" t="n">
        <v>46411</v>
      </c>
      <c r="J24" s="78">
        <f>MIN(E24:I24)-A24</f>
        <v/>
      </c>
      <c r="K24" s="78">
        <f>MAX(E24:I24)-A24</f>
        <v/>
      </c>
      <c r="L24" s="36">
        <f>IF(AND(COUNT(E24:I24)=5,MIN(E24:I24)&gt;=A24,E24&lt;&gt;F24,E24&lt;&gt;G24,E24&lt;&gt;H24,E24&lt;&gt;I24,F24&lt;&gt;G24,F24&lt;&gt;H24,F24&lt;&gt;I24,G24&lt;&gt;H24,G24&lt;&gt;I24,H24&lt;&gt;I24),"PASS","CHECK")</f>
        <v/>
      </c>
      <c r="M24" s="36">
        <f>IF(COUNTIF('LOCAL_REFERENCE'!$D24:$O24,E24)+COUNTIF('LOCAL_REFERENCE'!$D24:$O24,F24)+COUNTIF('LOCAL_REFERENCE'!$D24:$O24,G24)+COUNTIF('LOCAL_REFERENCE'!$D24:$O24,H24)+COUNTIF('LOCAL_REFERENCE'!$D24:$O24,I24)=0,"PASS","DUPLICATE")</f>
        <v/>
      </c>
      <c r="N24" s="36">
        <f>'CRAWL_LOG'!B24</f>
        <v/>
      </c>
      <c r="O24" s="36" t="inlineStr">
        <is>
          <t>Supplementary panel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Official</t>
        </is>
      </c>
      <c r="D25" s="37" t="inlineStr">
        <is>
          <t>00:30</t>
        </is>
      </c>
      <c r="E25" s="77" t="n">
        <v>46289</v>
      </c>
      <c r="F25" s="77" t="n">
        <v>46292</v>
      </c>
      <c r="G25" s="77" t="n">
        <v>46296</v>
      </c>
      <c r="H25" s="77" t="n">
        <v>46281</v>
      </c>
      <c r="I25" s="77" t="n">
        <v>46411</v>
      </c>
      <c r="J25" s="80">
        <f>MIN(E25:I25)-A25</f>
        <v/>
      </c>
      <c r="K25" s="80">
        <f>MAX(E25:I25)-A25</f>
        <v/>
      </c>
      <c r="L25" s="37">
        <f>IF(AND(COUNT(E25:I25)=5,MIN(E25:I25)&gt;=A25,E25&lt;&gt;F25,E25&lt;&gt;G25,E25&lt;&gt;H25,E25&lt;&gt;I25,F25&lt;&gt;G25,F25&lt;&gt;H25,F25&lt;&gt;I25,G25&lt;&gt;H25,G25&lt;&gt;I25,H25&lt;&gt;I25),"PASS","CHECK")</f>
        <v/>
      </c>
      <c r="M25" s="37">
        <f>IF(COUNTIF('LOCAL_REFERENCE'!$D25:$O25,E25)+COUNTIF('LOCAL_REFERENCE'!$D25:$O25,F25)+COUNTIF('LOCAL_REFERENCE'!$D25:$O25,G25)+COUNTIF('LOCAL_REFERENCE'!$D25:$O25,H25)+COUNTIF('LOCAL_REFERENCE'!$D25:$O25,I25)=0,"PASS","DUPLICATE")</f>
        <v/>
      </c>
      <c r="N25" s="37">
        <f>'CRAWL_LOG'!B25</f>
        <v/>
      </c>
      <c r="O25" s="37" t="inlineStr">
        <is>
          <t>Supplementary panel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Official</t>
        </is>
      </c>
      <c r="D26" s="36" t="inlineStr">
        <is>
          <t>00:30</t>
        </is>
      </c>
      <c r="E26" s="77" t="n">
        <v>46289</v>
      </c>
      <c r="F26" s="77" t="n">
        <v>46292</v>
      </c>
      <c r="G26" s="77" t="n">
        <v>46296</v>
      </c>
      <c r="H26" s="77" t="n">
        <v>46281</v>
      </c>
      <c r="I26" s="77" t="n">
        <v>46411</v>
      </c>
      <c r="J26" s="78">
        <f>MIN(E26:I26)-A26</f>
        <v/>
      </c>
      <c r="K26" s="78">
        <f>MAX(E26:I26)-A26</f>
        <v/>
      </c>
      <c r="L26" s="36">
        <f>IF(AND(COUNT(E26:I26)=5,MIN(E26:I26)&gt;=A26,E26&lt;&gt;F26,E26&lt;&gt;G26,E26&lt;&gt;H26,E26&lt;&gt;I26,F26&lt;&gt;G26,F26&lt;&gt;H26,F26&lt;&gt;I26,G26&lt;&gt;H26,G26&lt;&gt;I26,H26&lt;&gt;I26),"PASS","CHECK")</f>
        <v/>
      </c>
      <c r="M26" s="36">
        <f>IF(COUNTIF('LOCAL_REFERENCE'!$D26:$O26,E26)+COUNTIF('LOCAL_REFERENCE'!$D26:$O26,F26)+COUNTIF('LOCAL_REFERENCE'!$D26:$O26,G26)+COUNTIF('LOCAL_REFERENCE'!$D26:$O26,H26)+COUNTIF('LOCAL_REFERENCE'!$D26:$O26,I26)=0,"PASS","DUPLICATE")</f>
        <v/>
      </c>
      <c r="N26" s="36">
        <f>'CRAWL_LOG'!B26</f>
        <v/>
      </c>
      <c r="O26" s="36" t="inlineStr">
        <is>
          <t>Supplementary panel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Official</t>
        </is>
      </c>
      <c r="D27" s="37" t="inlineStr">
        <is>
          <t>00:30</t>
        </is>
      </c>
      <c r="E27" s="77" t="n">
        <v>46289</v>
      </c>
      <c r="F27" s="77" t="n">
        <v>46292</v>
      </c>
      <c r="G27" s="77" t="n">
        <v>46296</v>
      </c>
      <c r="H27" s="77" t="n">
        <v>46281</v>
      </c>
      <c r="I27" s="77" t="n">
        <v>46411</v>
      </c>
      <c r="J27" s="80">
        <f>MIN(E27:I27)-A27</f>
        <v/>
      </c>
      <c r="K27" s="80">
        <f>MAX(E27:I27)-A27</f>
        <v/>
      </c>
      <c r="L27" s="37">
        <f>IF(AND(COUNT(E27:I27)=5,MIN(E27:I27)&gt;=A27,E27&lt;&gt;F27,E27&lt;&gt;G27,E27&lt;&gt;H27,E27&lt;&gt;I27,F27&lt;&gt;G27,F27&lt;&gt;H27,F27&lt;&gt;I27,G27&lt;&gt;H27,G27&lt;&gt;I27,H27&lt;&gt;I27),"PASS","CHECK")</f>
        <v/>
      </c>
      <c r="M27" s="37">
        <f>IF(COUNTIF('LOCAL_REFERENCE'!$D27:$O27,E27)+COUNTIF('LOCAL_REFERENCE'!$D27:$O27,F27)+COUNTIF('LOCAL_REFERENCE'!$D27:$O27,G27)+COUNTIF('LOCAL_REFERENCE'!$D27:$O27,H27)+COUNTIF('LOCAL_REFERENCE'!$D27:$O27,I27)=0,"PASS","DUPLICATE")</f>
        <v/>
      </c>
      <c r="N27" s="37">
        <f>'CRAWL_LOG'!B27</f>
        <v/>
      </c>
      <c r="O27" s="37" t="inlineStr">
        <is>
          <t>Supplementary panel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Official</t>
        </is>
      </c>
      <c r="D28" s="36" t="inlineStr">
        <is>
          <t>00:30</t>
        </is>
      </c>
      <c r="E28" s="77" t="n">
        <v>46289</v>
      </c>
      <c r="F28" s="77" t="n">
        <v>46292</v>
      </c>
      <c r="G28" s="77" t="n">
        <v>46296</v>
      </c>
      <c r="H28" s="77" t="n">
        <v>46309</v>
      </c>
      <c r="I28" s="77" t="n">
        <v>46411</v>
      </c>
      <c r="J28" s="78">
        <f>MIN(E28:I28)-A28</f>
        <v/>
      </c>
      <c r="K28" s="78">
        <f>MAX(E28:I28)-A28</f>
        <v/>
      </c>
      <c r="L28" s="36">
        <f>IF(AND(COUNT(E28:I28)=5,MIN(E28:I28)&gt;=A28,E28&lt;&gt;F28,E28&lt;&gt;G28,E28&lt;&gt;H28,E28&lt;&gt;I28,F28&lt;&gt;G28,F28&lt;&gt;H28,F28&lt;&gt;I28,G28&lt;&gt;H28,G28&lt;&gt;I28,H28&lt;&gt;I28),"PASS","CHECK")</f>
        <v/>
      </c>
      <c r="M28" s="36">
        <f>IF(COUNTIF('LOCAL_REFERENCE'!$D28:$O28,E28)+COUNTIF('LOCAL_REFERENCE'!$D28:$O28,F28)+COUNTIF('LOCAL_REFERENCE'!$D28:$O28,G28)+COUNTIF('LOCAL_REFERENCE'!$D28:$O28,H28)+COUNTIF('LOCAL_REFERENCE'!$D28:$O28,I28)=0,"PASS","DUPLICATE")</f>
        <v/>
      </c>
      <c r="N28" s="36">
        <f>'CRAWL_LOG'!B28</f>
        <v/>
      </c>
      <c r="O28" s="36" t="inlineStr">
        <is>
          <t>Supplementary panel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Official</t>
        </is>
      </c>
      <c r="D29" s="37" t="inlineStr">
        <is>
          <t>00:30</t>
        </is>
      </c>
      <c r="E29" s="77" t="n">
        <v>46289</v>
      </c>
      <c r="F29" s="77" t="n">
        <v>46292</v>
      </c>
      <c r="G29" s="77" t="n">
        <v>46296</v>
      </c>
      <c r="H29" s="77" t="n">
        <v>46309</v>
      </c>
      <c r="I29" s="77" t="n">
        <v>46411</v>
      </c>
      <c r="J29" s="80">
        <f>MIN(E29:I29)-A29</f>
        <v/>
      </c>
      <c r="K29" s="80">
        <f>MAX(E29:I29)-A29</f>
        <v/>
      </c>
      <c r="L29" s="37">
        <f>IF(AND(COUNT(E29:I29)=5,MIN(E29:I29)&gt;=A29,E29&lt;&gt;F29,E29&lt;&gt;G29,E29&lt;&gt;H29,E29&lt;&gt;I29,F29&lt;&gt;G29,F29&lt;&gt;H29,F29&lt;&gt;I29,G29&lt;&gt;H29,G29&lt;&gt;I29,H29&lt;&gt;I29),"PASS","CHECK")</f>
        <v/>
      </c>
      <c r="M29" s="37">
        <f>IF(COUNTIF('LOCAL_REFERENCE'!$D29:$O29,E29)+COUNTIF('LOCAL_REFERENCE'!$D29:$O29,F29)+COUNTIF('LOCAL_REFERENCE'!$D29:$O29,G29)+COUNTIF('LOCAL_REFERENCE'!$D29:$O29,H29)+COUNTIF('LOCAL_REFERENCE'!$D29:$O29,I29)=0,"PASS","DUPLICATE")</f>
        <v/>
      </c>
      <c r="N29" s="37">
        <f>'CRAWL_LOG'!B29</f>
        <v/>
      </c>
      <c r="O29" s="37" t="inlineStr">
        <is>
          <t>Supplementary panel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Official</t>
        </is>
      </c>
      <c r="D30" s="36" t="inlineStr">
        <is>
          <t>00:30</t>
        </is>
      </c>
      <c r="E30" s="77" t="n">
        <v>46289</v>
      </c>
      <c r="F30" s="77" t="n">
        <v>46292</v>
      </c>
      <c r="G30" s="77" t="n">
        <v>46296</v>
      </c>
      <c r="H30" s="77" t="n">
        <v>46309</v>
      </c>
      <c r="I30" s="77" t="n">
        <v>46411</v>
      </c>
      <c r="J30" s="78">
        <f>MIN(E30:I30)-A30</f>
        <v/>
      </c>
      <c r="K30" s="78">
        <f>MAX(E30:I30)-A30</f>
        <v/>
      </c>
      <c r="L30" s="36">
        <f>IF(AND(COUNT(E30:I30)=5,MIN(E30:I30)&gt;=A30,E30&lt;&gt;F30,E30&lt;&gt;G30,E30&lt;&gt;H30,E30&lt;&gt;I30,F30&lt;&gt;G30,F30&lt;&gt;H30,F30&lt;&gt;I30,G30&lt;&gt;H30,G30&lt;&gt;I30,H30&lt;&gt;I30),"PASS","CHECK")</f>
        <v/>
      </c>
      <c r="M30" s="36">
        <f>IF(COUNTIF('LOCAL_REFERENCE'!$D30:$O30,E30)+COUNTIF('LOCAL_REFERENCE'!$D30:$O30,F30)+COUNTIF('LOCAL_REFERENCE'!$D30:$O30,G30)+COUNTIF('LOCAL_REFERENCE'!$D30:$O30,H30)+COUNTIF('LOCAL_REFERENCE'!$D30:$O30,I30)=0,"PASS","DUPLICATE")</f>
        <v/>
      </c>
      <c r="N30" s="36">
        <f>'CRAWL_LOG'!B30</f>
        <v/>
      </c>
      <c r="O30" s="36" t="inlineStr">
        <is>
          <t>Supplementary panel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Official</t>
        </is>
      </c>
      <c r="D31" s="37" t="inlineStr">
        <is>
          <t>00:30</t>
        </is>
      </c>
      <c r="E31" s="77" t="n">
        <v>46289</v>
      </c>
      <c r="F31" s="77" t="n">
        <v>46292</v>
      </c>
      <c r="G31" s="77" t="n">
        <v>46296</v>
      </c>
      <c r="H31" s="77" t="n">
        <v>46309</v>
      </c>
      <c r="I31" s="77" t="n">
        <v>46411</v>
      </c>
      <c r="J31" s="80">
        <f>MIN(E31:I31)-A31</f>
        <v/>
      </c>
      <c r="K31" s="80">
        <f>MAX(E31:I31)-A31</f>
        <v/>
      </c>
      <c r="L31" s="37">
        <f>IF(AND(COUNT(E31:I31)=5,MIN(E31:I31)&gt;=A31,E31&lt;&gt;F31,E31&lt;&gt;G31,E31&lt;&gt;H31,E31&lt;&gt;I31,F31&lt;&gt;G31,F31&lt;&gt;H31,F31&lt;&gt;I31,G31&lt;&gt;H31,G31&lt;&gt;I31,H31&lt;&gt;I31),"PASS","CHECK")</f>
        <v/>
      </c>
      <c r="M31" s="37">
        <f>IF(COUNTIF('LOCAL_REFERENCE'!$D31:$O31,E31)+COUNTIF('LOCAL_REFERENCE'!$D31:$O31,F31)+COUNTIF('LOCAL_REFERENCE'!$D31:$O31,G31)+COUNTIF('LOCAL_REFERENCE'!$D31:$O31,H31)+COUNTIF('LOCAL_REFERENCE'!$D31:$O31,I31)=0,"PASS","DUPLICATE")</f>
        <v/>
      </c>
      <c r="N31" s="37">
        <f>'CRAWL_LOG'!B31</f>
        <v/>
      </c>
      <c r="O31" s="37" t="inlineStr">
        <is>
          <t>Supplementary panel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Official</t>
        </is>
      </c>
      <c r="D32" s="36" t="inlineStr">
        <is>
          <t>00:30</t>
        </is>
      </c>
      <c r="E32" s="77" t="n">
        <v>46289</v>
      </c>
      <c r="F32" s="77" t="n">
        <v>46292</v>
      </c>
      <c r="G32" s="77" t="n">
        <v>46296</v>
      </c>
      <c r="H32" s="77" t="n">
        <v>46309</v>
      </c>
      <c r="I32" s="77" t="n">
        <v>46411</v>
      </c>
      <c r="J32" s="78">
        <f>MIN(E32:I32)-A32</f>
        <v/>
      </c>
      <c r="K32" s="78">
        <f>MAX(E32:I32)-A32</f>
        <v/>
      </c>
      <c r="L32" s="36">
        <f>IF(AND(COUNT(E32:I32)=5,MIN(E32:I32)&gt;=A32,E32&lt;&gt;F32,E32&lt;&gt;G32,E32&lt;&gt;H32,E32&lt;&gt;I32,F32&lt;&gt;G32,F32&lt;&gt;H32,F32&lt;&gt;I32,G32&lt;&gt;H32,G32&lt;&gt;I32,H32&lt;&gt;I32),"PASS","CHECK")</f>
        <v/>
      </c>
      <c r="M32" s="36">
        <f>IF(COUNTIF('LOCAL_REFERENCE'!$D32:$O32,E32)+COUNTIF('LOCAL_REFERENCE'!$D32:$O32,F32)+COUNTIF('LOCAL_REFERENCE'!$D32:$O32,G32)+COUNTIF('LOCAL_REFERENCE'!$D32:$O32,H32)+COUNTIF('LOCAL_REFERENCE'!$D32:$O32,I32)=0,"PASS","DUPLICATE")</f>
        <v/>
      </c>
      <c r="N32" s="36">
        <f>'CRAWL_LOG'!B32</f>
        <v/>
      </c>
      <c r="O32" s="36" t="inlineStr">
        <is>
          <t>Supplementary panel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Official</t>
        </is>
      </c>
      <c r="D33" s="37" t="inlineStr">
        <is>
          <t>00:30</t>
        </is>
      </c>
      <c r="E33" s="77" t="n">
        <v>46289</v>
      </c>
      <c r="F33" s="77" t="n">
        <v>46292</v>
      </c>
      <c r="G33" s="77" t="n">
        <v>46296</v>
      </c>
      <c r="H33" s="77" t="n">
        <v>46309</v>
      </c>
      <c r="I33" s="77" t="n">
        <v>46411</v>
      </c>
      <c r="J33" s="80">
        <f>MIN(E33:I33)-A33</f>
        <v/>
      </c>
      <c r="K33" s="80">
        <f>MAX(E33:I33)-A33</f>
        <v/>
      </c>
      <c r="L33" s="37">
        <f>IF(AND(COUNT(E33:I33)=5,MIN(E33:I33)&gt;=A33,E33&lt;&gt;F33,E33&lt;&gt;G33,E33&lt;&gt;H33,E33&lt;&gt;I33,F33&lt;&gt;G33,F33&lt;&gt;H33,F33&lt;&gt;I33,G33&lt;&gt;H33,G33&lt;&gt;I33,H33&lt;&gt;I33),"PASS","CHECK")</f>
        <v/>
      </c>
      <c r="M33" s="37">
        <f>IF(COUNTIF('LOCAL_REFERENCE'!$D33:$O33,E33)+COUNTIF('LOCAL_REFERENCE'!$D33:$O33,F33)+COUNTIF('LOCAL_REFERENCE'!$D33:$O33,G33)+COUNTIF('LOCAL_REFERENCE'!$D33:$O33,H33)+COUNTIF('LOCAL_REFERENCE'!$D33:$O33,I33)=0,"PASS","DUPLICATE")</f>
        <v/>
      </c>
      <c r="N33" s="37">
        <f>'CRAWL_LOG'!B33</f>
        <v/>
      </c>
      <c r="O33" s="37" t="inlineStr">
        <is>
          <t>Supplementary panel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Official</t>
        </is>
      </c>
      <c r="D34" s="36" t="inlineStr">
        <is>
          <t>00:30</t>
        </is>
      </c>
      <c r="E34" s="77" t="n">
        <v>46289</v>
      </c>
      <c r="F34" s="77" t="n">
        <v>46292</v>
      </c>
      <c r="G34" s="77" t="n">
        <v>46296</v>
      </c>
      <c r="H34" s="77" t="n">
        <v>46309</v>
      </c>
      <c r="I34" s="77" t="n">
        <v>46411</v>
      </c>
      <c r="J34" s="78">
        <f>MIN(E34:I34)-A34</f>
        <v/>
      </c>
      <c r="K34" s="78">
        <f>MAX(E34:I34)-A34</f>
        <v/>
      </c>
      <c r="L34" s="36">
        <f>IF(AND(COUNT(E34:I34)=5,MIN(E34:I34)&gt;=A34,E34&lt;&gt;F34,E34&lt;&gt;G34,E34&lt;&gt;H34,E34&lt;&gt;I34,F34&lt;&gt;G34,F34&lt;&gt;H34,F34&lt;&gt;I34,G34&lt;&gt;H34,G34&lt;&gt;I34,H34&lt;&gt;I34),"PASS","CHECK")</f>
        <v/>
      </c>
      <c r="M34" s="36">
        <f>IF(COUNTIF('LOCAL_REFERENCE'!$D34:$O34,E34)+COUNTIF('LOCAL_REFERENCE'!$D34:$O34,F34)+COUNTIF('LOCAL_REFERENCE'!$D34:$O34,G34)+COUNTIF('LOCAL_REFERENCE'!$D34:$O34,H34)+COUNTIF('LOCAL_REFERENCE'!$D34:$O34,I34)=0,"PASS","DUPLICATE")</f>
        <v/>
      </c>
      <c r="N34" s="36">
        <f>'CRAWL_LOG'!B34</f>
        <v/>
      </c>
      <c r="O34" s="36" t="inlineStr">
        <is>
          <t>Supplementary panel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Official</t>
        </is>
      </c>
      <c r="D35" s="37" t="inlineStr">
        <is>
          <t>00:30</t>
        </is>
      </c>
      <c r="E35" s="77" t="n">
        <v>46289</v>
      </c>
      <c r="F35" s="77" t="n">
        <v>46292</v>
      </c>
      <c r="G35" s="77" t="n">
        <v>46296</v>
      </c>
      <c r="H35" s="77" t="n">
        <v>46309</v>
      </c>
      <c r="I35" s="77" t="n">
        <v>46411</v>
      </c>
      <c r="J35" s="80">
        <f>MIN(E35:I35)-A35</f>
        <v/>
      </c>
      <c r="K35" s="80">
        <f>MAX(E35:I35)-A35</f>
        <v/>
      </c>
      <c r="L35" s="37">
        <f>IF(AND(COUNT(E35:I35)=5,MIN(E35:I35)&gt;=A35,E35&lt;&gt;F35,E35&lt;&gt;G35,E35&lt;&gt;H35,E35&lt;&gt;I35,F35&lt;&gt;G35,F35&lt;&gt;H35,F35&lt;&gt;I35,G35&lt;&gt;H35,G35&lt;&gt;I35,H35&lt;&gt;I35),"PASS","CHECK")</f>
        <v/>
      </c>
      <c r="M35" s="37">
        <f>IF(COUNTIF('LOCAL_REFERENCE'!$D35:$O35,E35)+COUNTIF('LOCAL_REFERENCE'!$D35:$O35,F35)+COUNTIF('LOCAL_REFERENCE'!$D35:$O35,G35)+COUNTIF('LOCAL_REFERENCE'!$D35:$O35,H35)+COUNTIF('LOCAL_REFERENCE'!$D35:$O35,I35)=0,"PASS","DUPLICATE")</f>
        <v/>
      </c>
      <c r="N35" s="37">
        <f>'CRAWL_LOG'!B35</f>
        <v/>
      </c>
      <c r="O35" s="37" t="inlineStr">
        <is>
          <t>Supplementary panel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Official</t>
        </is>
      </c>
      <c r="D36" s="36" t="inlineStr">
        <is>
          <t>00:30</t>
        </is>
      </c>
      <c r="E36" s="77" t="n">
        <v>46317</v>
      </c>
      <c r="F36" s="77" t="n">
        <v>46292</v>
      </c>
      <c r="G36" s="77" t="n">
        <v>46296</v>
      </c>
      <c r="H36" s="77" t="n">
        <v>46309</v>
      </c>
      <c r="I36" s="77" t="n">
        <v>46411</v>
      </c>
      <c r="J36" s="78">
        <f>MIN(E36:I36)-A36</f>
        <v/>
      </c>
      <c r="K36" s="78">
        <f>MAX(E36:I36)-A36</f>
        <v/>
      </c>
      <c r="L36" s="36">
        <f>IF(AND(COUNT(E36:I36)=5,MIN(E36:I36)&gt;=A36,E36&lt;&gt;F36,E36&lt;&gt;G36,E36&lt;&gt;H36,E36&lt;&gt;I36,F36&lt;&gt;G36,F36&lt;&gt;H36,F36&lt;&gt;I36,G36&lt;&gt;H36,G36&lt;&gt;I36,H36&lt;&gt;I36),"PASS","CHECK")</f>
        <v/>
      </c>
      <c r="M36" s="36">
        <f>IF(COUNTIF('LOCAL_REFERENCE'!$D36:$O36,E36)+COUNTIF('LOCAL_REFERENCE'!$D36:$O36,F36)+COUNTIF('LOCAL_REFERENCE'!$D36:$O36,G36)+COUNTIF('LOCAL_REFERENCE'!$D36:$O36,H36)+COUNTIF('LOCAL_REFERENCE'!$D36:$O36,I36)=0,"PASS","DUPLICATE")</f>
        <v/>
      </c>
      <c r="N36" s="36">
        <f>'CRAWL_LOG'!B36</f>
        <v/>
      </c>
      <c r="O36" s="36" t="inlineStr">
        <is>
          <t>Supplementary panel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Official</t>
        </is>
      </c>
      <c r="D37" s="37" t="inlineStr">
        <is>
          <t>00:30</t>
        </is>
      </c>
      <c r="E37" s="77" t="n">
        <v>46317</v>
      </c>
      <c r="F37" s="77" t="n">
        <v>46292</v>
      </c>
      <c r="G37" s="77" t="n">
        <v>46296</v>
      </c>
      <c r="H37" s="77" t="n">
        <v>46309</v>
      </c>
      <c r="I37" s="77" t="n">
        <v>46411</v>
      </c>
      <c r="J37" s="80">
        <f>MIN(E37:I37)-A37</f>
        <v/>
      </c>
      <c r="K37" s="80">
        <f>MAX(E37:I37)-A37</f>
        <v/>
      </c>
      <c r="L37" s="37">
        <f>IF(AND(COUNT(E37:I37)=5,MIN(E37:I37)&gt;=A37,E37&lt;&gt;F37,E37&lt;&gt;G37,E37&lt;&gt;H37,E37&lt;&gt;I37,F37&lt;&gt;G37,F37&lt;&gt;H37,F37&lt;&gt;I37,G37&lt;&gt;H37,G37&lt;&gt;I37,H37&lt;&gt;I37),"PASS","CHECK")</f>
        <v/>
      </c>
      <c r="M37" s="37">
        <f>IF(COUNTIF('LOCAL_REFERENCE'!$D37:$O37,E37)+COUNTIF('LOCAL_REFERENCE'!$D37:$O37,F37)+COUNTIF('LOCAL_REFERENCE'!$D37:$O37,G37)+COUNTIF('LOCAL_REFERENCE'!$D37:$O37,H37)+COUNTIF('LOCAL_REFERENCE'!$D37:$O37,I37)=0,"PASS","DUPLICATE")</f>
        <v/>
      </c>
      <c r="N37" s="37">
        <f>'CRAWL_LOG'!B37</f>
        <v/>
      </c>
      <c r="O37" s="37" t="inlineStr">
        <is>
          <t>Supplementary panel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Official</t>
        </is>
      </c>
      <c r="D38" s="36" t="inlineStr">
        <is>
          <t>00:30</t>
        </is>
      </c>
      <c r="E38" s="77" t="n">
        <v>46317</v>
      </c>
      <c r="F38" s="77" t="n">
        <v>46292</v>
      </c>
      <c r="G38" s="77" t="n">
        <v>46296</v>
      </c>
      <c r="H38" s="77" t="n">
        <v>46309</v>
      </c>
      <c r="I38" s="77" t="n">
        <v>46411</v>
      </c>
      <c r="J38" s="78">
        <f>MIN(E38:I38)-A38</f>
        <v/>
      </c>
      <c r="K38" s="78">
        <f>MAX(E38:I38)-A38</f>
        <v/>
      </c>
      <c r="L38" s="36">
        <f>IF(AND(COUNT(E38:I38)=5,MIN(E38:I38)&gt;=A38,E38&lt;&gt;F38,E38&lt;&gt;G38,E38&lt;&gt;H38,E38&lt;&gt;I38,F38&lt;&gt;G38,F38&lt;&gt;H38,F38&lt;&gt;I38,G38&lt;&gt;H38,G38&lt;&gt;I38,H38&lt;&gt;I38),"PASS","CHECK")</f>
        <v/>
      </c>
      <c r="M38" s="36">
        <f>IF(COUNTIF('LOCAL_REFERENCE'!$D38:$O38,E38)+COUNTIF('LOCAL_REFERENCE'!$D38:$O38,F38)+COUNTIF('LOCAL_REFERENCE'!$D38:$O38,G38)+COUNTIF('LOCAL_REFERENCE'!$D38:$O38,H38)+COUNTIF('LOCAL_REFERENCE'!$D38:$O38,I38)=0,"PASS","DUPLICATE")</f>
        <v/>
      </c>
      <c r="N38" s="36">
        <f>'CRAWL_LOG'!B38</f>
        <v/>
      </c>
      <c r="O38" s="36" t="inlineStr">
        <is>
          <t>Supplementary panel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Official</t>
        </is>
      </c>
      <c r="D39" s="37" t="inlineStr">
        <is>
          <t>00:30</t>
        </is>
      </c>
      <c r="E39" s="77" t="n">
        <v>46317</v>
      </c>
      <c r="F39" s="77" t="n">
        <v>46320</v>
      </c>
      <c r="G39" s="77" t="n">
        <v>46296</v>
      </c>
      <c r="H39" s="77" t="n">
        <v>46309</v>
      </c>
      <c r="I39" s="77" t="n">
        <v>46411</v>
      </c>
      <c r="J39" s="80">
        <f>MIN(E39:I39)-A39</f>
        <v/>
      </c>
      <c r="K39" s="80">
        <f>MAX(E39:I39)-A39</f>
        <v/>
      </c>
      <c r="L39" s="37">
        <f>IF(AND(COUNT(E39:I39)=5,MIN(E39:I39)&gt;=A39,E39&lt;&gt;F39,E39&lt;&gt;G39,E39&lt;&gt;H39,E39&lt;&gt;I39,F39&lt;&gt;G39,F39&lt;&gt;H39,F39&lt;&gt;I39,G39&lt;&gt;H39,G39&lt;&gt;I39,H39&lt;&gt;I39),"PASS","CHECK")</f>
        <v/>
      </c>
      <c r="M39" s="37">
        <f>IF(COUNTIF('LOCAL_REFERENCE'!$D39:$O39,E39)+COUNTIF('LOCAL_REFERENCE'!$D39:$O39,F39)+COUNTIF('LOCAL_REFERENCE'!$D39:$O39,G39)+COUNTIF('LOCAL_REFERENCE'!$D39:$O39,H39)+COUNTIF('LOCAL_REFERENCE'!$D39:$O39,I39)=0,"PASS","DUPLICATE")</f>
        <v/>
      </c>
      <c r="N39" s="37">
        <f>'CRAWL_LOG'!B39</f>
        <v/>
      </c>
      <c r="O39" s="37" t="inlineStr">
        <is>
          <t>Supplementary panel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Official</t>
        </is>
      </c>
      <c r="D40" s="36" t="inlineStr">
        <is>
          <t>00:30</t>
        </is>
      </c>
      <c r="E40" s="77" t="n">
        <v>46317</v>
      </c>
      <c r="F40" s="77" t="n">
        <v>46320</v>
      </c>
      <c r="G40" s="77" t="n">
        <v>46296</v>
      </c>
      <c r="H40" s="77" t="n">
        <v>46309</v>
      </c>
      <c r="I40" s="77" t="n">
        <v>46411</v>
      </c>
      <c r="J40" s="78">
        <f>MIN(E40:I40)-A40</f>
        <v/>
      </c>
      <c r="K40" s="78">
        <f>MAX(E40:I40)-A40</f>
        <v/>
      </c>
      <c r="L40" s="36">
        <f>IF(AND(COUNT(E40:I40)=5,MIN(E40:I40)&gt;=A40,E40&lt;&gt;F40,E40&lt;&gt;G40,E40&lt;&gt;H40,E40&lt;&gt;I40,F40&lt;&gt;G40,F40&lt;&gt;H40,F40&lt;&gt;I40,G40&lt;&gt;H40,G40&lt;&gt;I40,H40&lt;&gt;I40),"PASS","CHECK")</f>
        <v/>
      </c>
      <c r="M40" s="36">
        <f>IF(COUNTIF('LOCAL_REFERENCE'!$D40:$O40,E40)+COUNTIF('LOCAL_REFERENCE'!$D40:$O40,F40)+COUNTIF('LOCAL_REFERENCE'!$D40:$O40,G40)+COUNTIF('LOCAL_REFERENCE'!$D40:$O40,H40)+COUNTIF('LOCAL_REFERENCE'!$D40:$O40,I40)=0,"PASS","DUPLICATE")</f>
        <v/>
      </c>
      <c r="N40" s="36">
        <f>'CRAWL_LOG'!B40</f>
        <v/>
      </c>
      <c r="O40" s="36" t="inlineStr">
        <is>
          <t>Supplementary panel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Official</t>
        </is>
      </c>
      <c r="D41" s="37" t="inlineStr">
        <is>
          <t>00:30</t>
        </is>
      </c>
      <c r="E41" s="77" t="n">
        <v>46317</v>
      </c>
      <c r="F41" s="77" t="n">
        <v>46320</v>
      </c>
      <c r="G41" s="77" t="n">
        <v>46296</v>
      </c>
      <c r="H41" s="77" t="n">
        <v>46309</v>
      </c>
      <c r="I41" s="77" t="n">
        <v>46411</v>
      </c>
      <c r="J41" s="80">
        <f>MIN(E41:I41)-A41</f>
        <v/>
      </c>
      <c r="K41" s="80">
        <f>MAX(E41:I41)-A41</f>
        <v/>
      </c>
      <c r="L41" s="37">
        <f>IF(AND(COUNT(E41:I41)=5,MIN(E41:I41)&gt;=A41,E41&lt;&gt;F41,E41&lt;&gt;G41,E41&lt;&gt;H41,E41&lt;&gt;I41,F41&lt;&gt;G41,F41&lt;&gt;H41,F41&lt;&gt;I41,G41&lt;&gt;H41,G41&lt;&gt;I41,H41&lt;&gt;I41),"PASS","CHECK")</f>
        <v/>
      </c>
      <c r="M41" s="37">
        <f>IF(COUNTIF('LOCAL_REFERENCE'!$D41:$O41,E41)+COUNTIF('LOCAL_REFERENCE'!$D41:$O41,F41)+COUNTIF('LOCAL_REFERENCE'!$D41:$O41,G41)+COUNTIF('LOCAL_REFERENCE'!$D41:$O41,H41)+COUNTIF('LOCAL_REFERENCE'!$D41:$O41,I41)=0,"PASS","DUPLICATE")</f>
        <v/>
      </c>
      <c r="N41" s="37">
        <f>'CRAWL_LOG'!B41</f>
        <v/>
      </c>
      <c r="O41" s="37" t="inlineStr">
        <is>
          <t>Supplementary panel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Official</t>
        </is>
      </c>
      <c r="D42" s="36" t="inlineStr">
        <is>
          <t>00:30</t>
        </is>
      </c>
      <c r="E42" s="77" t="n">
        <v>46317</v>
      </c>
      <c r="F42" s="77" t="n">
        <v>46320</v>
      </c>
      <c r="G42" s="77" t="n">
        <v>46296</v>
      </c>
      <c r="H42" s="77" t="n">
        <v>46309</v>
      </c>
      <c r="I42" s="77" t="n">
        <v>46411</v>
      </c>
      <c r="J42" s="78">
        <f>MIN(E42:I42)-A42</f>
        <v/>
      </c>
      <c r="K42" s="78">
        <f>MAX(E42:I42)-A42</f>
        <v/>
      </c>
      <c r="L42" s="36">
        <f>IF(AND(COUNT(E42:I42)=5,MIN(E42:I42)&gt;=A42,E42&lt;&gt;F42,E42&lt;&gt;G42,E42&lt;&gt;H42,E42&lt;&gt;I42,F42&lt;&gt;G42,F42&lt;&gt;H42,F42&lt;&gt;I42,G42&lt;&gt;H42,G42&lt;&gt;I42,H42&lt;&gt;I42),"PASS","CHECK")</f>
        <v/>
      </c>
      <c r="M42" s="36">
        <f>IF(COUNTIF('LOCAL_REFERENCE'!$D42:$O42,E42)+COUNTIF('LOCAL_REFERENCE'!$D42:$O42,F42)+COUNTIF('LOCAL_REFERENCE'!$D42:$O42,G42)+COUNTIF('LOCAL_REFERENCE'!$D42:$O42,H42)+COUNTIF('LOCAL_REFERENCE'!$D42:$O42,I42)=0,"PASS","DUPLICATE")</f>
        <v/>
      </c>
      <c r="N42" s="36">
        <f>'CRAWL_LOG'!B42</f>
        <v/>
      </c>
      <c r="O42" s="36" t="inlineStr">
        <is>
          <t>Supplementary panel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Official</t>
        </is>
      </c>
      <c r="D43" s="37" t="inlineStr">
        <is>
          <t>00:30</t>
        </is>
      </c>
      <c r="E43" s="77" t="n">
        <v>46317</v>
      </c>
      <c r="F43" s="77" t="n">
        <v>46320</v>
      </c>
      <c r="G43" s="77" t="n">
        <v>46324</v>
      </c>
      <c r="H43" s="77" t="n">
        <v>46309</v>
      </c>
      <c r="I43" s="77" t="n">
        <v>46411</v>
      </c>
      <c r="J43" s="80">
        <f>MIN(E43:I43)-A43</f>
        <v/>
      </c>
      <c r="K43" s="80">
        <f>MAX(E43:I43)-A43</f>
        <v/>
      </c>
      <c r="L43" s="37">
        <f>IF(AND(COUNT(E43:I43)=5,MIN(E43:I43)&gt;=A43,E43&lt;&gt;F43,E43&lt;&gt;G43,E43&lt;&gt;H43,E43&lt;&gt;I43,F43&lt;&gt;G43,F43&lt;&gt;H43,F43&lt;&gt;I43,G43&lt;&gt;H43,G43&lt;&gt;I43,H43&lt;&gt;I43),"PASS","CHECK")</f>
        <v/>
      </c>
      <c r="M43" s="37">
        <f>IF(COUNTIF('LOCAL_REFERENCE'!$D43:$O43,E43)+COUNTIF('LOCAL_REFERENCE'!$D43:$O43,F43)+COUNTIF('LOCAL_REFERENCE'!$D43:$O43,G43)+COUNTIF('LOCAL_REFERENCE'!$D43:$O43,H43)+COUNTIF('LOCAL_REFERENCE'!$D43:$O43,I43)=0,"PASS","DUPLICATE")</f>
        <v/>
      </c>
      <c r="N43" s="37">
        <f>'CRAWL_LOG'!B43</f>
        <v/>
      </c>
      <c r="O43" s="37" t="inlineStr">
        <is>
          <t>Supplementary panel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Official</t>
        </is>
      </c>
      <c r="D44" s="36" t="inlineStr">
        <is>
          <t>00:30</t>
        </is>
      </c>
      <c r="E44" s="77" t="n">
        <v>46317</v>
      </c>
      <c r="F44" s="77" t="n">
        <v>46320</v>
      </c>
      <c r="G44" s="77" t="n">
        <v>46324</v>
      </c>
      <c r="H44" s="77" t="n">
        <v>46309</v>
      </c>
      <c r="I44" s="77" t="n">
        <v>46411</v>
      </c>
      <c r="J44" s="78">
        <f>MIN(E44:I44)-A44</f>
        <v/>
      </c>
      <c r="K44" s="78">
        <f>MAX(E44:I44)-A44</f>
        <v/>
      </c>
      <c r="L44" s="36">
        <f>IF(AND(COUNT(E44:I44)=5,MIN(E44:I44)&gt;=A44,E44&lt;&gt;F44,E44&lt;&gt;G44,E44&lt;&gt;H44,E44&lt;&gt;I44,F44&lt;&gt;G44,F44&lt;&gt;H44,F44&lt;&gt;I44,G44&lt;&gt;H44,G44&lt;&gt;I44,H44&lt;&gt;I44),"PASS","CHECK")</f>
        <v/>
      </c>
      <c r="M44" s="36">
        <f>IF(COUNTIF('LOCAL_REFERENCE'!$D44:$O44,E44)+COUNTIF('LOCAL_REFERENCE'!$D44:$O44,F44)+COUNTIF('LOCAL_REFERENCE'!$D44:$O44,G44)+COUNTIF('LOCAL_REFERENCE'!$D44:$O44,H44)+COUNTIF('LOCAL_REFERENCE'!$D44:$O44,I44)=0,"PASS","DUPLICATE")</f>
        <v/>
      </c>
      <c r="N44" s="36">
        <f>'CRAWL_LOG'!B44</f>
        <v/>
      </c>
      <c r="O44" s="36" t="inlineStr">
        <is>
          <t>Supplementary panel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Official</t>
        </is>
      </c>
      <c r="D45" s="37" t="inlineStr">
        <is>
          <t>00:30</t>
        </is>
      </c>
      <c r="E45" s="77" t="n">
        <v>46317</v>
      </c>
      <c r="F45" s="77" t="n">
        <v>46320</v>
      </c>
      <c r="G45" s="77" t="n">
        <v>46324</v>
      </c>
      <c r="H45" s="77" t="n">
        <v>46309</v>
      </c>
      <c r="I45" s="77" t="n">
        <v>46411</v>
      </c>
      <c r="J45" s="80">
        <f>MIN(E45:I45)-A45</f>
        <v/>
      </c>
      <c r="K45" s="80">
        <f>MAX(E45:I45)-A45</f>
        <v/>
      </c>
      <c r="L45" s="37">
        <f>IF(AND(COUNT(E45:I45)=5,MIN(E45:I45)&gt;=A45,E45&lt;&gt;F45,E45&lt;&gt;G45,E45&lt;&gt;H45,E45&lt;&gt;I45,F45&lt;&gt;G45,F45&lt;&gt;H45,F45&lt;&gt;I45,G45&lt;&gt;H45,G45&lt;&gt;I45,H45&lt;&gt;I45),"PASS","CHECK")</f>
        <v/>
      </c>
      <c r="M45" s="37">
        <f>IF(COUNTIF('LOCAL_REFERENCE'!$D45:$O45,E45)+COUNTIF('LOCAL_REFERENCE'!$D45:$O45,F45)+COUNTIF('LOCAL_REFERENCE'!$D45:$O45,G45)+COUNTIF('LOCAL_REFERENCE'!$D45:$O45,H45)+COUNTIF('LOCAL_REFERENCE'!$D45:$O45,I45)=0,"PASS","DUPLICATE")</f>
        <v/>
      </c>
      <c r="N45" s="37">
        <f>'CRAWL_LOG'!B45</f>
        <v/>
      </c>
      <c r="O45" s="37" t="inlineStr">
        <is>
          <t>Supplementary panel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Official</t>
        </is>
      </c>
      <c r="D46" s="36" t="inlineStr">
        <is>
          <t>00:30</t>
        </is>
      </c>
      <c r="E46" s="77" t="n">
        <v>46317</v>
      </c>
      <c r="F46" s="77" t="n">
        <v>46320</v>
      </c>
      <c r="G46" s="77" t="n">
        <v>46324</v>
      </c>
      <c r="H46" s="77" t="n">
        <v>46309</v>
      </c>
      <c r="I46" s="77" t="n">
        <v>46411</v>
      </c>
      <c r="J46" s="78">
        <f>MIN(E46:I46)-A46</f>
        <v/>
      </c>
      <c r="K46" s="78">
        <f>MAX(E46:I46)-A46</f>
        <v/>
      </c>
      <c r="L46" s="36">
        <f>IF(AND(COUNT(E46:I46)=5,MIN(E46:I46)&gt;=A46,E46&lt;&gt;F46,E46&lt;&gt;G46,E46&lt;&gt;H46,E46&lt;&gt;I46,F46&lt;&gt;G46,F46&lt;&gt;H46,F46&lt;&gt;I46,G46&lt;&gt;H46,G46&lt;&gt;I46,H46&lt;&gt;I46),"PASS","CHECK")</f>
        <v/>
      </c>
      <c r="M46" s="36">
        <f>IF(COUNTIF('LOCAL_REFERENCE'!$D46:$O46,E46)+COUNTIF('LOCAL_REFERENCE'!$D46:$O46,F46)+COUNTIF('LOCAL_REFERENCE'!$D46:$O46,G46)+COUNTIF('LOCAL_REFERENCE'!$D46:$O46,H46)+COUNTIF('LOCAL_REFERENCE'!$D46:$O46,I46)=0,"PASS","DUPLICATE")</f>
        <v/>
      </c>
      <c r="N46" s="36">
        <f>'CRAWL_LOG'!B46</f>
        <v/>
      </c>
      <c r="O46" s="36" t="inlineStr">
        <is>
          <t>Supplementary panel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Official</t>
        </is>
      </c>
      <c r="D47" s="37" t="inlineStr">
        <is>
          <t>00:30</t>
        </is>
      </c>
      <c r="E47" s="77" t="n">
        <v>46317</v>
      </c>
      <c r="F47" s="77" t="n">
        <v>46320</v>
      </c>
      <c r="G47" s="77" t="n">
        <v>46324</v>
      </c>
      <c r="H47" s="77" t="n">
        <v>46309</v>
      </c>
      <c r="I47" s="77" t="n">
        <v>46411</v>
      </c>
      <c r="J47" s="80">
        <f>MIN(E47:I47)-A47</f>
        <v/>
      </c>
      <c r="K47" s="80">
        <f>MAX(E47:I47)-A47</f>
        <v/>
      </c>
      <c r="L47" s="37">
        <f>IF(AND(COUNT(E47:I47)=5,MIN(E47:I47)&gt;=A47,E47&lt;&gt;F47,E47&lt;&gt;G47,E47&lt;&gt;H47,E47&lt;&gt;I47,F47&lt;&gt;G47,F47&lt;&gt;H47,F47&lt;&gt;I47,G47&lt;&gt;H47,G47&lt;&gt;I47,H47&lt;&gt;I47),"PASS","CHECK")</f>
        <v/>
      </c>
      <c r="M47" s="37">
        <f>IF(COUNTIF('LOCAL_REFERENCE'!$D47:$O47,E47)+COUNTIF('LOCAL_REFERENCE'!$D47:$O47,F47)+COUNTIF('LOCAL_REFERENCE'!$D47:$O47,G47)+COUNTIF('LOCAL_REFERENCE'!$D47:$O47,H47)+COUNTIF('LOCAL_REFERENCE'!$D47:$O47,I47)=0,"PASS","DUPLICATE")</f>
        <v/>
      </c>
      <c r="N47" s="37">
        <f>'CRAWL_LOG'!B47</f>
        <v/>
      </c>
      <c r="O47" s="37" t="inlineStr">
        <is>
          <t>Supplementary panel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Official</t>
        </is>
      </c>
      <c r="D48" s="36" t="inlineStr">
        <is>
          <t>00:30</t>
        </is>
      </c>
      <c r="E48" s="77" t="n">
        <v>46317</v>
      </c>
      <c r="F48" s="77" t="n">
        <v>46320</v>
      </c>
      <c r="G48" s="77" t="n">
        <v>46324</v>
      </c>
      <c r="H48" s="77" t="n">
        <v>46309</v>
      </c>
      <c r="I48" s="77" t="n">
        <v>46411</v>
      </c>
      <c r="J48" s="78">
        <f>MIN(E48:I48)-A48</f>
        <v/>
      </c>
      <c r="K48" s="78">
        <f>MAX(E48:I48)-A48</f>
        <v/>
      </c>
      <c r="L48" s="36">
        <f>IF(AND(COUNT(E48:I48)=5,MIN(E48:I48)&gt;=A48,E48&lt;&gt;F48,E48&lt;&gt;G48,E48&lt;&gt;H48,E48&lt;&gt;I48,F48&lt;&gt;G48,F48&lt;&gt;H48,F48&lt;&gt;I48,G48&lt;&gt;H48,G48&lt;&gt;I48,H48&lt;&gt;I48),"PASS","CHECK")</f>
        <v/>
      </c>
      <c r="M48" s="36">
        <f>IF(COUNTIF('LOCAL_REFERENCE'!$D48:$O48,E48)+COUNTIF('LOCAL_REFERENCE'!$D48:$O48,F48)+COUNTIF('LOCAL_REFERENCE'!$D48:$O48,G48)+COUNTIF('LOCAL_REFERENCE'!$D48:$O48,H48)+COUNTIF('LOCAL_REFERENCE'!$D48:$O48,I48)=0,"PASS","DUPLICATE")</f>
        <v/>
      </c>
      <c r="N48" s="36">
        <f>'CRAWL_LOG'!B48</f>
        <v/>
      </c>
      <c r="O48" s="36" t="inlineStr">
        <is>
          <t>Supplementary panel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Official</t>
        </is>
      </c>
      <c r="D49" s="37" t="inlineStr">
        <is>
          <t>00:30</t>
        </is>
      </c>
      <c r="E49" s="77" t="n">
        <v>46317</v>
      </c>
      <c r="F49" s="77" t="n">
        <v>46320</v>
      </c>
      <c r="G49" s="77" t="n">
        <v>46324</v>
      </c>
      <c r="H49" s="77" t="n">
        <v>46309</v>
      </c>
      <c r="I49" s="77" t="n">
        <v>46411</v>
      </c>
      <c r="J49" s="80">
        <f>MIN(E49:I49)-A49</f>
        <v/>
      </c>
      <c r="K49" s="80">
        <f>MAX(E49:I49)-A49</f>
        <v/>
      </c>
      <c r="L49" s="37">
        <f>IF(AND(COUNT(E49:I49)=5,MIN(E49:I49)&gt;=A49,E49&lt;&gt;F49,E49&lt;&gt;G49,E49&lt;&gt;H49,E49&lt;&gt;I49,F49&lt;&gt;G49,F49&lt;&gt;H49,F49&lt;&gt;I49,G49&lt;&gt;H49,G49&lt;&gt;I49,H49&lt;&gt;I49),"PASS","CHECK")</f>
        <v/>
      </c>
      <c r="M49" s="37">
        <f>IF(COUNTIF('LOCAL_REFERENCE'!$D49:$O49,E49)+COUNTIF('LOCAL_REFERENCE'!$D49:$O49,F49)+COUNTIF('LOCAL_REFERENCE'!$D49:$O49,G49)+COUNTIF('LOCAL_REFERENCE'!$D49:$O49,H49)+COUNTIF('LOCAL_REFERENCE'!$D49:$O49,I49)=0,"PASS","DUPLICATE")</f>
        <v/>
      </c>
      <c r="N49" s="37">
        <f>'CRAWL_LOG'!B49</f>
        <v/>
      </c>
      <c r="O49" s="37" t="inlineStr">
        <is>
          <t>Supplementary panel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Official</t>
        </is>
      </c>
      <c r="D50" s="36" t="inlineStr">
        <is>
          <t>00:30</t>
        </is>
      </c>
      <c r="E50" s="77" t="n">
        <v>46317</v>
      </c>
      <c r="F50" s="77" t="n">
        <v>46320</v>
      </c>
      <c r="G50" s="77" t="n">
        <v>46324</v>
      </c>
      <c r="H50" s="77" t="n">
        <v>46309</v>
      </c>
      <c r="I50" s="77" t="n">
        <v>46411</v>
      </c>
      <c r="J50" s="78">
        <f>MIN(E50:I50)-A50</f>
        <v/>
      </c>
      <c r="K50" s="78">
        <f>MAX(E50:I50)-A50</f>
        <v/>
      </c>
      <c r="L50" s="36">
        <f>IF(AND(COUNT(E50:I50)=5,MIN(E50:I50)&gt;=A50,E50&lt;&gt;F50,E50&lt;&gt;G50,E50&lt;&gt;H50,E50&lt;&gt;I50,F50&lt;&gt;G50,F50&lt;&gt;H50,F50&lt;&gt;I50,G50&lt;&gt;H50,G50&lt;&gt;I50,H50&lt;&gt;I50),"PASS","CHECK")</f>
        <v/>
      </c>
      <c r="M50" s="36">
        <f>IF(COUNTIF('LOCAL_REFERENCE'!$D50:$O50,E50)+COUNTIF('LOCAL_REFERENCE'!$D50:$O50,F50)+COUNTIF('LOCAL_REFERENCE'!$D50:$O50,G50)+COUNTIF('LOCAL_REFERENCE'!$D50:$O50,H50)+COUNTIF('LOCAL_REFERENCE'!$D50:$O50,I50)=0,"PASS","DUPLICATE")</f>
        <v/>
      </c>
      <c r="N50" s="36">
        <f>'CRAWL_LOG'!B50</f>
        <v/>
      </c>
      <c r="O50" s="36" t="inlineStr">
        <is>
          <t>Supplementary panel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Official</t>
        </is>
      </c>
      <c r="D51" s="37" t="inlineStr">
        <is>
          <t>00:30</t>
        </is>
      </c>
      <c r="E51" s="77" t="n">
        <v>46317</v>
      </c>
      <c r="F51" s="77" t="n">
        <v>46320</v>
      </c>
      <c r="G51" s="77" t="n">
        <v>46324</v>
      </c>
      <c r="H51" s="77" t="n">
        <v>46309</v>
      </c>
      <c r="I51" s="77" t="n">
        <v>46411</v>
      </c>
      <c r="J51" s="80">
        <f>MIN(E51:I51)-A51</f>
        <v/>
      </c>
      <c r="K51" s="80">
        <f>MAX(E51:I51)-A51</f>
        <v/>
      </c>
      <c r="L51" s="37">
        <f>IF(AND(COUNT(E51:I51)=5,MIN(E51:I51)&gt;=A51,E51&lt;&gt;F51,E51&lt;&gt;G51,E51&lt;&gt;H51,E51&lt;&gt;I51,F51&lt;&gt;G51,F51&lt;&gt;H51,F51&lt;&gt;I51,G51&lt;&gt;H51,G51&lt;&gt;I51,H51&lt;&gt;I51),"PASS","CHECK")</f>
        <v/>
      </c>
      <c r="M51" s="37">
        <f>IF(COUNTIF('LOCAL_REFERENCE'!$D51:$O51,E51)+COUNTIF('LOCAL_REFERENCE'!$D51:$O51,F51)+COUNTIF('LOCAL_REFERENCE'!$D51:$O51,G51)+COUNTIF('LOCAL_REFERENCE'!$D51:$O51,H51)+COUNTIF('LOCAL_REFERENCE'!$D51:$O51,I51)=0,"PASS","DUPLICATE")</f>
        <v/>
      </c>
      <c r="N51" s="37">
        <f>'CRAWL_LOG'!B51</f>
        <v/>
      </c>
      <c r="O51" s="37" t="inlineStr">
        <is>
          <t>Supplementary panel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Official</t>
        </is>
      </c>
      <c r="D52" s="36" t="inlineStr">
        <is>
          <t>00:30</t>
        </is>
      </c>
      <c r="E52" s="77" t="n">
        <v>46317</v>
      </c>
      <c r="F52" s="77" t="n">
        <v>46320</v>
      </c>
      <c r="G52" s="77" t="n">
        <v>46324</v>
      </c>
      <c r="H52" s="77" t="n">
        <v>46309</v>
      </c>
      <c r="I52" s="77" t="n">
        <v>46411</v>
      </c>
      <c r="J52" s="78">
        <f>MIN(E52:I52)-A52</f>
        <v/>
      </c>
      <c r="K52" s="78">
        <f>MAX(E52:I52)-A52</f>
        <v/>
      </c>
      <c r="L52" s="36">
        <f>IF(AND(COUNT(E52:I52)=5,MIN(E52:I52)&gt;=A52,E52&lt;&gt;F52,E52&lt;&gt;G52,E52&lt;&gt;H52,E52&lt;&gt;I52,F52&lt;&gt;G52,F52&lt;&gt;H52,F52&lt;&gt;I52,G52&lt;&gt;H52,G52&lt;&gt;I52,H52&lt;&gt;I52),"PASS","CHECK")</f>
        <v/>
      </c>
      <c r="M52" s="36">
        <f>IF(COUNTIF('LOCAL_REFERENCE'!$D52:$O52,E52)+COUNTIF('LOCAL_REFERENCE'!$D52:$O52,F52)+COUNTIF('LOCAL_REFERENCE'!$D52:$O52,G52)+COUNTIF('LOCAL_REFERENCE'!$D52:$O52,H52)+COUNTIF('LOCAL_REFERENCE'!$D52:$O52,I52)=0,"PASS","DUPLICATE")</f>
        <v/>
      </c>
      <c r="N52" s="36">
        <f>'CRAWL_LOG'!B52</f>
        <v/>
      </c>
      <c r="O52" s="36" t="inlineStr">
        <is>
          <t>Supplementary panel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Official</t>
        </is>
      </c>
      <c r="D53" s="37" t="inlineStr">
        <is>
          <t>00:30</t>
        </is>
      </c>
      <c r="E53" s="77" t="n">
        <v>46317</v>
      </c>
      <c r="F53" s="77" t="n">
        <v>46320</v>
      </c>
      <c r="G53" s="77" t="n">
        <v>46324</v>
      </c>
      <c r="H53" s="77" t="n">
        <v>46309</v>
      </c>
      <c r="I53" s="77" t="n">
        <v>46411</v>
      </c>
      <c r="J53" s="80">
        <f>MIN(E53:I53)-A53</f>
        <v/>
      </c>
      <c r="K53" s="80">
        <f>MAX(E53:I53)-A53</f>
        <v/>
      </c>
      <c r="L53" s="37">
        <f>IF(AND(COUNT(E53:I53)=5,MIN(E53:I53)&gt;=A53,E53&lt;&gt;F53,E53&lt;&gt;G53,E53&lt;&gt;H53,E53&lt;&gt;I53,F53&lt;&gt;G53,F53&lt;&gt;H53,F53&lt;&gt;I53,G53&lt;&gt;H53,G53&lt;&gt;I53,H53&lt;&gt;I53),"PASS","CHECK")</f>
        <v/>
      </c>
      <c r="M53" s="37">
        <f>IF(COUNTIF('LOCAL_REFERENCE'!$D53:$O53,E53)+COUNTIF('LOCAL_REFERENCE'!$D53:$O53,F53)+COUNTIF('LOCAL_REFERENCE'!$D53:$O53,G53)+COUNTIF('LOCAL_REFERENCE'!$D53:$O53,H53)+COUNTIF('LOCAL_REFERENCE'!$D53:$O53,I53)=0,"PASS","DUPLICATE")</f>
        <v/>
      </c>
      <c r="N53" s="37">
        <f>'CRAWL_LOG'!B53</f>
        <v/>
      </c>
      <c r="O53" s="37" t="inlineStr">
        <is>
          <t>Supplementary panel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Official</t>
        </is>
      </c>
      <c r="D54" s="36" t="inlineStr">
        <is>
          <t>00:30</t>
        </is>
      </c>
      <c r="E54" s="77" t="n">
        <v>46317</v>
      </c>
      <c r="F54" s="77" t="n">
        <v>46320</v>
      </c>
      <c r="G54" s="77" t="n">
        <v>46324</v>
      </c>
      <c r="H54" s="77" t="n">
        <v>46309</v>
      </c>
      <c r="I54" s="77" t="n">
        <v>46411</v>
      </c>
      <c r="J54" s="78">
        <f>MIN(E54:I54)-A54</f>
        <v/>
      </c>
      <c r="K54" s="78">
        <f>MAX(E54:I54)-A54</f>
        <v/>
      </c>
      <c r="L54" s="36">
        <f>IF(AND(COUNT(E54:I54)=5,MIN(E54:I54)&gt;=A54,E54&lt;&gt;F54,E54&lt;&gt;G54,E54&lt;&gt;H54,E54&lt;&gt;I54,F54&lt;&gt;G54,F54&lt;&gt;H54,F54&lt;&gt;I54,G54&lt;&gt;H54,G54&lt;&gt;I54,H54&lt;&gt;I54),"PASS","CHECK")</f>
        <v/>
      </c>
      <c r="M54" s="36">
        <f>IF(COUNTIF('LOCAL_REFERENCE'!$D54:$O54,E54)+COUNTIF('LOCAL_REFERENCE'!$D54:$O54,F54)+COUNTIF('LOCAL_REFERENCE'!$D54:$O54,G54)+COUNTIF('LOCAL_REFERENCE'!$D54:$O54,H54)+COUNTIF('LOCAL_REFERENCE'!$D54:$O54,I54)=0,"PASS","DUPLICATE")</f>
        <v/>
      </c>
      <c r="N54" s="36">
        <f>'CRAWL_LOG'!B54</f>
        <v/>
      </c>
      <c r="O54" s="36" t="inlineStr">
        <is>
          <t>Supplementary panel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Official</t>
        </is>
      </c>
      <c r="D55" s="37" t="inlineStr">
        <is>
          <t>00:30</t>
        </is>
      </c>
      <c r="E55" s="77" t="n">
        <v>46317</v>
      </c>
      <c r="F55" s="77" t="n">
        <v>46320</v>
      </c>
      <c r="G55" s="77" t="n">
        <v>46324</v>
      </c>
      <c r="H55" s="77" t="n">
        <v>46309</v>
      </c>
      <c r="I55" s="77" t="n">
        <v>46411</v>
      </c>
      <c r="J55" s="80">
        <f>MIN(E55:I55)-A55</f>
        <v/>
      </c>
      <c r="K55" s="80">
        <f>MAX(E55:I55)-A55</f>
        <v/>
      </c>
      <c r="L55" s="37">
        <f>IF(AND(COUNT(E55:I55)=5,MIN(E55:I55)&gt;=A55,E55&lt;&gt;F55,E55&lt;&gt;G55,E55&lt;&gt;H55,E55&lt;&gt;I55,F55&lt;&gt;G55,F55&lt;&gt;H55,F55&lt;&gt;I55,G55&lt;&gt;H55,G55&lt;&gt;I55,H55&lt;&gt;I55),"PASS","CHECK")</f>
        <v/>
      </c>
      <c r="M55" s="37">
        <f>IF(COUNTIF('LOCAL_REFERENCE'!$D55:$O55,E55)+COUNTIF('LOCAL_REFERENCE'!$D55:$O55,F55)+COUNTIF('LOCAL_REFERENCE'!$D55:$O55,G55)+COUNTIF('LOCAL_REFERENCE'!$D55:$O55,H55)+COUNTIF('LOCAL_REFERENCE'!$D55:$O55,I55)=0,"PASS","DUPLICATE")</f>
        <v/>
      </c>
      <c r="N55" s="37">
        <f>'CRAWL_LOG'!B55</f>
        <v/>
      </c>
      <c r="O55" s="37" t="inlineStr">
        <is>
          <t>Supplementary panel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Official</t>
        </is>
      </c>
      <c r="D56" s="36" t="inlineStr">
        <is>
          <t>00:30</t>
        </is>
      </c>
      <c r="E56" s="77" t="n">
        <v>46317</v>
      </c>
      <c r="F56" s="77" t="n">
        <v>46320</v>
      </c>
      <c r="G56" s="77" t="n">
        <v>46324</v>
      </c>
      <c r="H56" s="77" t="n">
        <v>46337</v>
      </c>
      <c r="I56" s="77" t="n">
        <v>46411</v>
      </c>
      <c r="J56" s="78">
        <f>MIN(E56:I56)-A56</f>
        <v/>
      </c>
      <c r="K56" s="78">
        <f>MAX(E56:I56)-A56</f>
        <v/>
      </c>
      <c r="L56" s="36">
        <f>IF(AND(COUNT(E56:I56)=5,MIN(E56:I56)&gt;=A56,E56&lt;&gt;F56,E56&lt;&gt;G56,E56&lt;&gt;H56,E56&lt;&gt;I56,F56&lt;&gt;G56,F56&lt;&gt;H56,F56&lt;&gt;I56,G56&lt;&gt;H56,G56&lt;&gt;I56,H56&lt;&gt;I56),"PASS","CHECK")</f>
        <v/>
      </c>
      <c r="M56" s="36">
        <f>IF(COUNTIF('LOCAL_REFERENCE'!$D56:$O56,E56)+COUNTIF('LOCAL_REFERENCE'!$D56:$O56,F56)+COUNTIF('LOCAL_REFERENCE'!$D56:$O56,G56)+COUNTIF('LOCAL_REFERENCE'!$D56:$O56,H56)+COUNTIF('LOCAL_REFERENCE'!$D56:$O56,I56)=0,"PASS","DUPLICATE")</f>
        <v/>
      </c>
      <c r="N56" s="36">
        <f>'CRAWL_LOG'!B56</f>
        <v/>
      </c>
      <c r="O56" s="36" t="inlineStr">
        <is>
          <t>Supplementary panel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Official</t>
        </is>
      </c>
      <c r="D57" s="37" t="inlineStr">
        <is>
          <t>00:30</t>
        </is>
      </c>
      <c r="E57" s="77" t="n">
        <v>46317</v>
      </c>
      <c r="F57" s="77" t="n">
        <v>46320</v>
      </c>
      <c r="G57" s="77" t="n">
        <v>46324</v>
      </c>
      <c r="H57" s="77" t="n">
        <v>46337</v>
      </c>
      <c r="I57" s="77" t="n">
        <v>46411</v>
      </c>
      <c r="J57" s="80">
        <f>MIN(E57:I57)-A57</f>
        <v/>
      </c>
      <c r="K57" s="80">
        <f>MAX(E57:I57)-A57</f>
        <v/>
      </c>
      <c r="L57" s="37">
        <f>IF(AND(COUNT(E57:I57)=5,MIN(E57:I57)&gt;=A57,E57&lt;&gt;F57,E57&lt;&gt;G57,E57&lt;&gt;H57,E57&lt;&gt;I57,F57&lt;&gt;G57,F57&lt;&gt;H57,F57&lt;&gt;I57,G57&lt;&gt;H57,G57&lt;&gt;I57,H57&lt;&gt;I57),"PASS","CHECK")</f>
        <v/>
      </c>
      <c r="M57" s="37">
        <f>IF(COUNTIF('LOCAL_REFERENCE'!$D57:$O57,E57)+COUNTIF('LOCAL_REFERENCE'!$D57:$O57,F57)+COUNTIF('LOCAL_REFERENCE'!$D57:$O57,G57)+COUNTIF('LOCAL_REFERENCE'!$D57:$O57,H57)+COUNTIF('LOCAL_REFERENCE'!$D57:$O57,I57)=0,"PASS","DUPLICATE")</f>
        <v/>
      </c>
      <c r="N57" s="37">
        <f>'CRAWL_LOG'!B57</f>
        <v/>
      </c>
      <c r="O57" s="37" t="inlineStr">
        <is>
          <t>Supplementary panel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Official</t>
        </is>
      </c>
      <c r="D58" s="36" t="inlineStr">
        <is>
          <t>00:30</t>
        </is>
      </c>
      <c r="E58" s="77" t="n">
        <v>46317</v>
      </c>
      <c r="F58" s="77" t="n">
        <v>46320</v>
      </c>
      <c r="G58" s="77" t="n">
        <v>46324</v>
      </c>
      <c r="H58" s="77" t="n">
        <v>46337</v>
      </c>
      <c r="I58" s="77" t="n">
        <v>46411</v>
      </c>
      <c r="J58" s="78">
        <f>MIN(E58:I58)-A58</f>
        <v/>
      </c>
      <c r="K58" s="78">
        <f>MAX(E58:I58)-A58</f>
        <v/>
      </c>
      <c r="L58" s="36">
        <f>IF(AND(COUNT(E58:I58)=5,MIN(E58:I58)&gt;=A58,E58&lt;&gt;F58,E58&lt;&gt;G58,E58&lt;&gt;H58,E58&lt;&gt;I58,F58&lt;&gt;G58,F58&lt;&gt;H58,F58&lt;&gt;I58,G58&lt;&gt;H58,G58&lt;&gt;I58,H58&lt;&gt;I58),"PASS","CHECK")</f>
        <v/>
      </c>
      <c r="M58" s="36">
        <f>IF(COUNTIF('LOCAL_REFERENCE'!$D58:$O58,E58)+COUNTIF('LOCAL_REFERENCE'!$D58:$O58,F58)+COUNTIF('LOCAL_REFERENCE'!$D58:$O58,G58)+COUNTIF('LOCAL_REFERENCE'!$D58:$O58,H58)+COUNTIF('LOCAL_REFERENCE'!$D58:$O58,I58)=0,"PASS","DUPLICATE")</f>
        <v/>
      </c>
      <c r="N58" s="36">
        <f>'CRAWL_LOG'!B58</f>
        <v/>
      </c>
      <c r="O58" s="36" t="inlineStr">
        <is>
          <t>Supplementary panel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Official</t>
        </is>
      </c>
      <c r="D59" s="37" t="inlineStr">
        <is>
          <t>00:30</t>
        </is>
      </c>
      <c r="E59" s="77" t="n">
        <v>46317</v>
      </c>
      <c r="F59" s="77" t="n">
        <v>46320</v>
      </c>
      <c r="G59" s="77" t="n">
        <v>46324</v>
      </c>
      <c r="H59" s="77" t="n">
        <v>46337</v>
      </c>
      <c r="I59" s="77" t="n">
        <v>46411</v>
      </c>
      <c r="J59" s="80">
        <f>MIN(E59:I59)-A59</f>
        <v/>
      </c>
      <c r="K59" s="80">
        <f>MAX(E59:I59)-A59</f>
        <v/>
      </c>
      <c r="L59" s="37">
        <f>IF(AND(COUNT(E59:I59)=5,MIN(E59:I59)&gt;=A59,E59&lt;&gt;F59,E59&lt;&gt;G59,E59&lt;&gt;H59,E59&lt;&gt;I59,F59&lt;&gt;G59,F59&lt;&gt;H59,F59&lt;&gt;I59,G59&lt;&gt;H59,G59&lt;&gt;I59,H59&lt;&gt;I59),"PASS","CHECK")</f>
        <v/>
      </c>
      <c r="M59" s="37">
        <f>IF(COUNTIF('LOCAL_REFERENCE'!$D59:$O59,E59)+COUNTIF('LOCAL_REFERENCE'!$D59:$O59,F59)+COUNTIF('LOCAL_REFERENCE'!$D59:$O59,G59)+COUNTIF('LOCAL_REFERENCE'!$D59:$O59,H59)+COUNTIF('LOCAL_REFERENCE'!$D59:$O59,I59)=0,"PASS","DUPLICATE")</f>
        <v/>
      </c>
      <c r="N59" s="37">
        <f>'CRAWL_LOG'!B59</f>
        <v/>
      </c>
      <c r="O59" s="37" t="inlineStr">
        <is>
          <t>Supplementary panel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Official</t>
        </is>
      </c>
      <c r="D60" s="36" t="inlineStr">
        <is>
          <t>00:30</t>
        </is>
      </c>
      <c r="E60" s="77" t="n">
        <v>46317</v>
      </c>
      <c r="F60" s="77" t="n">
        <v>46320</v>
      </c>
      <c r="G60" s="77" t="n">
        <v>46324</v>
      </c>
      <c r="H60" s="77" t="n">
        <v>46337</v>
      </c>
      <c r="I60" s="77" t="n">
        <v>46411</v>
      </c>
      <c r="J60" s="78">
        <f>MIN(E60:I60)-A60</f>
        <v/>
      </c>
      <c r="K60" s="78">
        <f>MAX(E60:I60)-A60</f>
        <v/>
      </c>
      <c r="L60" s="36">
        <f>IF(AND(COUNT(E60:I60)=5,MIN(E60:I60)&gt;=A60,E60&lt;&gt;F60,E60&lt;&gt;G60,E60&lt;&gt;H60,E60&lt;&gt;I60,F60&lt;&gt;G60,F60&lt;&gt;H60,F60&lt;&gt;I60,G60&lt;&gt;H60,G60&lt;&gt;I60,H60&lt;&gt;I60),"PASS","CHECK")</f>
        <v/>
      </c>
      <c r="M60" s="36">
        <f>IF(COUNTIF('LOCAL_REFERENCE'!$D60:$O60,E60)+COUNTIF('LOCAL_REFERENCE'!$D60:$O60,F60)+COUNTIF('LOCAL_REFERENCE'!$D60:$O60,G60)+COUNTIF('LOCAL_REFERENCE'!$D60:$O60,H60)+COUNTIF('LOCAL_REFERENCE'!$D60:$O60,I60)=0,"PASS","DUPLICATE")</f>
        <v/>
      </c>
      <c r="N60" s="36">
        <f>'CRAWL_LOG'!B60</f>
        <v/>
      </c>
      <c r="O60" s="36" t="inlineStr">
        <is>
          <t>Supplementary panel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Official</t>
        </is>
      </c>
      <c r="D61" s="37" t="inlineStr">
        <is>
          <t>00:30</t>
        </is>
      </c>
      <c r="E61" s="77" t="n">
        <v>46317</v>
      </c>
      <c r="F61" s="77" t="n">
        <v>46320</v>
      </c>
      <c r="G61" s="77" t="n">
        <v>46324</v>
      </c>
      <c r="H61" s="77" t="n">
        <v>46337</v>
      </c>
      <c r="I61" s="77" t="n">
        <v>46411</v>
      </c>
      <c r="J61" s="80">
        <f>MIN(E61:I61)-A61</f>
        <v/>
      </c>
      <c r="K61" s="80">
        <f>MAX(E61:I61)-A61</f>
        <v/>
      </c>
      <c r="L61" s="37">
        <f>IF(AND(COUNT(E61:I61)=5,MIN(E61:I61)&gt;=A61,E61&lt;&gt;F61,E61&lt;&gt;G61,E61&lt;&gt;H61,E61&lt;&gt;I61,F61&lt;&gt;G61,F61&lt;&gt;H61,F61&lt;&gt;I61,G61&lt;&gt;H61,G61&lt;&gt;I61,H61&lt;&gt;I61),"PASS","CHECK")</f>
        <v/>
      </c>
      <c r="M61" s="37">
        <f>IF(COUNTIF('LOCAL_REFERENCE'!$D61:$O61,E61)+COUNTIF('LOCAL_REFERENCE'!$D61:$O61,F61)+COUNTIF('LOCAL_REFERENCE'!$D61:$O61,G61)+COUNTIF('LOCAL_REFERENCE'!$D61:$O61,H61)+COUNTIF('LOCAL_REFERENCE'!$D61:$O61,I61)=0,"PASS","DUPLICATE")</f>
        <v/>
      </c>
      <c r="N61" s="37">
        <f>'CRAWL_LOG'!B61</f>
        <v/>
      </c>
      <c r="O61" s="37" t="inlineStr">
        <is>
          <t>Supplementary panel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Official</t>
        </is>
      </c>
      <c r="D62" s="36" t="inlineStr">
        <is>
          <t>00:30</t>
        </is>
      </c>
      <c r="E62" s="77" t="n">
        <v>46317</v>
      </c>
      <c r="F62" s="77" t="n">
        <v>46320</v>
      </c>
      <c r="G62" s="77" t="n">
        <v>46324</v>
      </c>
      <c r="H62" s="77" t="n">
        <v>46337</v>
      </c>
      <c r="I62" s="77" t="n">
        <v>46411</v>
      </c>
      <c r="J62" s="78">
        <f>MIN(E62:I62)-A62</f>
        <v/>
      </c>
      <c r="K62" s="78">
        <f>MAX(E62:I62)-A62</f>
        <v/>
      </c>
      <c r="L62" s="36">
        <f>IF(AND(COUNT(E62:I62)=5,MIN(E62:I62)&gt;=A62,E62&lt;&gt;F62,E62&lt;&gt;G62,E62&lt;&gt;H62,E62&lt;&gt;I62,F62&lt;&gt;G62,F62&lt;&gt;H62,F62&lt;&gt;I62,G62&lt;&gt;H62,G62&lt;&gt;I62,H62&lt;&gt;I62),"PASS","CHECK")</f>
        <v/>
      </c>
      <c r="M62" s="36">
        <f>IF(COUNTIF('LOCAL_REFERENCE'!$D62:$O62,E62)+COUNTIF('LOCAL_REFERENCE'!$D62:$O62,F62)+COUNTIF('LOCAL_REFERENCE'!$D62:$O62,G62)+COUNTIF('LOCAL_REFERENCE'!$D62:$O62,H62)+COUNTIF('LOCAL_REFERENCE'!$D62:$O62,I62)=0,"PASS","DUPLICATE")</f>
        <v/>
      </c>
      <c r="N62" s="36">
        <f>'CRAWL_LOG'!B62</f>
        <v/>
      </c>
      <c r="O62" s="36" t="inlineStr">
        <is>
          <t>Supplementary panel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Official</t>
        </is>
      </c>
      <c r="D63" s="37" t="inlineStr">
        <is>
          <t>00:30</t>
        </is>
      </c>
      <c r="E63" s="77" t="n">
        <v>46317</v>
      </c>
      <c r="F63" s="77" t="n">
        <v>46320</v>
      </c>
      <c r="G63" s="77" t="n">
        <v>46324</v>
      </c>
      <c r="H63" s="77" t="n">
        <v>46337</v>
      </c>
      <c r="I63" s="77" t="n">
        <v>46411</v>
      </c>
      <c r="J63" s="80">
        <f>MIN(E63:I63)-A63</f>
        <v/>
      </c>
      <c r="K63" s="80">
        <f>MAX(E63:I63)-A63</f>
        <v/>
      </c>
      <c r="L63" s="37">
        <f>IF(AND(COUNT(E63:I63)=5,MIN(E63:I63)&gt;=A63,E63&lt;&gt;F63,E63&lt;&gt;G63,E63&lt;&gt;H63,E63&lt;&gt;I63,F63&lt;&gt;G63,F63&lt;&gt;H63,F63&lt;&gt;I63,G63&lt;&gt;H63,G63&lt;&gt;I63,H63&lt;&gt;I63),"PASS","CHECK")</f>
        <v/>
      </c>
      <c r="M63" s="37">
        <f>IF(COUNTIF('LOCAL_REFERENCE'!$D63:$O63,E63)+COUNTIF('LOCAL_REFERENCE'!$D63:$O63,F63)+COUNTIF('LOCAL_REFERENCE'!$D63:$O63,G63)+COUNTIF('LOCAL_REFERENCE'!$D63:$O63,H63)+COUNTIF('LOCAL_REFERENCE'!$D63:$O63,I63)=0,"PASS","DUPLICATE")</f>
        <v/>
      </c>
      <c r="N63" s="37">
        <f>'CRAWL_LOG'!B63</f>
        <v/>
      </c>
      <c r="O63" s="37" t="inlineStr">
        <is>
          <t>Supplementary panel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Official</t>
        </is>
      </c>
      <c r="D64" s="36" t="inlineStr">
        <is>
          <t>00:30</t>
        </is>
      </c>
      <c r="E64" s="77" t="n">
        <v>46345</v>
      </c>
      <c r="F64" s="77" t="n">
        <v>46320</v>
      </c>
      <c r="G64" s="77" t="n">
        <v>46324</v>
      </c>
      <c r="H64" s="77" t="n">
        <v>46337</v>
      </c>
      <c r="I64" s="77" t="n">
        <v>46411</v>
      </c>
      <c r="J64" s="78">
        <f>MIN(E64:I64)-A64</f>
        <v/>
      </c>
      <c r="K64" s="78">
        <f>MAX(E64:I64)-A64</f>
        <v/>
      </c>
      <c r="L64" s="36">
        <f>IF(AND(COUNT(E64:I64)=5,MIN(E64:I64)&gt;=A64,E64&lt;&gt;F64,E64&lt;&gt;G64,E64&lt;&gt;H64,E64&lt;&gt;I64,F64&lt;&gt;G64,F64&lt;&gt;H64,F64&lt;&gt;I64,G64&lt;&gt;H64,G64&lt;&gt;I64,H64&lt;&gt;I64),"PASS","CHECK")</f>
        <v/>
      </c>
      <c r="M64" s="36">
        <f>IF(COUNTIF('LOCAL_REFERENCE'!$D64:$O64,E64)+COUNTIF('LOCAL_REFERENCE'!$D64:$O64,F64)+COUNTIF('LOCAL_REFERENCE'!$D64:$O64,G64)+COUNTIF('LOCAL_REFERENCE'!$D64:$O64,H64)+COUNTIF('LOCAL_REFERENCE'!$D64:$O64,I64)=0,"PASS","DUPLICATE")</f>
        <v/>
      </c>
      <c r="N64" s="36">
        <f>'CRAWL_LOG'!B64</f>
        <v/>
      </c>
      <c r="O64" s="36" t="inlineStr">
        <is>
          <t>Supplementary panel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Official</t>
        </is>
      </c>
      <c r="D65" s="37" t="inlineStr">
        <is>
          <t>00:30</t>
        </is>
      </c>
      <c r="E65" s="77" t="n">
        <v>46345</v>
      </c>
      <c r="F65" s="77" t="n">
        <v>46320</v>
      </c>
      <c r="G65" s="77" t="n">
        <v>46324</v>
      </c>
      <c r="H65" s="77" t="n">
        <v>46337</v>
      </c>
      <c r="I65" s="77" t="n">
        <v>46411</v>
      </c>
      <c r="J65" s="80">
        <f>MIN(E65:I65)-A65</f>
        <v/>
      </c>
      <c r="K65" s="80">
        <f>MAX(E65:I65)-A65</f>
        <v/>
      </c>
      <c r="L65" s="37">
        <f>IF(AND(COUNT(E65:I65)=5,MIN(E65:I65)&gt;=A65,E65&lt;&gt;F65,E65&lt;&gt;G65,E65&lt;&gt;H65,E65&lt;&gt;I65,F65&lt;&gt;G65,F65&lt;&gt;H65,F65&lt;&gt;I65,G65&lt;&gt;H65,G65&lt;&gt;I65,H65&lt;&gt;I65),"PASS","CHECK")</f>
        <v/>
      </c>
      <c r="M65" s="37">
        <f>IF(COUNTIF('LOCAL_REFERENCE'!$D65:$O65,E65)+COUNTIF('LOCAL_REFERENCE'!$D65:$O65,F65)+COUNTIF('LOCAL_REFERENCE'!$D65:$O65,G65)+COUNTIF('LOCAL_REFERENCE'!$D65:$O65,H65)+COUNTIF('LOCAL_REFERENCE'!$D65:$O65,I65)=0,"PASS","DUPLICATE")</f>
        <v/>
      </c>
      <c r="N65" s="37">
        <f>'CRAWL_LOG'!B65</f>
        <v/>
      </c>
      <c r="O65" s="37" t="inlineStr">
        <is>
          <t>Supplementary panel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Official</t>
        </is>
      </c>
      <c r="D66" s="36" t="inlineStr">
        <is>
          <t>00:30</t>
        </is>
      </c>
      <c r="E66" s="77" t="n">
        <v>46345</v>
      </c>
      <c r="F66" s="77" t="n">
        <v>46320</v>
      </c>
      <c r="G66" s="77" t="n">
        <v>46324</v>
      </c>
      <c r="H66" s="77" t="n">
        <v>46337</v>
      </c>
      <c r="I66" s="77" t="n">
        <v>46411</v>
      </c>
      <c r="J66" s="78">
        <f>MIN(E66:I66)-A66</f>
        <v/>
      </c>
      <c r="K66" s="78">
        <f>MAX(E66:I66)-A66</f>
        <v/>
      </c>
      <c r="L66" s="36">
        <f>IF(AND(COUNT(E66:I66)=5,MIN(E66:I66)&gt;=A66,E66&lt;&gt;F66,E66&lt;&gt;G66,E66&lt;&gt;H66,E66&lt;&gt;I66,F66&lt;&gt;G66,F66&lt;&gt;H66,F66&lt;&gt;I66,G66&lt;&gt;H66,G66&lt;&gt;I66,H66&lt;&gt;I66),"PASS","CHECK")</f>
        <v/>
      </c>
      <c r="M66" s="36">
        <f>IF(COUNTIF('LOCAL_REFERENCE'!$D66:$O66,E66)+COUNTIF('LOCAL_REFERENCE'!$D66:$O66,F66)+COUNTIF('LOCAL_REFERENCE'!$D66:$O66,G66)+COUNTIF('LOCAL_REFERENCE'!$D66:$O66,H66)+COUNTIF('LOCAL_REFERENCE'!$D66:$O66,I66)=0,"PASS","DUPLICATE")</f>
        <v/>
      </c>
      <c r="N66" s="36">
        <f>'CRAWL_LOG'!B66</f>
        <v/>
      </c>
      <c r="O66" s="36" t="inlineStr">
        <is>
          <t>Supplementary panel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Official</t>
        </is>
      </c>
      <c r="D67" s="37" t="inlineStr">
        <is>
          <t>00:30</t>
        </is>
      </c>
      <c r="E67" s="77" t="n">
        <v>46345</v>
      </c>
      <c r="F67" s="77" t="n">
        <v>46348</v>
      </c>
      <c r="G67" s="77" t="n">
        <v>46324</v>
      </c>
      <c r="H67" s="77" t="n">
        <v>46337</v>
      </c>
      <c r="I67" s="77" t="n">
        <v>46411</v>
      </c>
      <c r="J67" s="80">
        <f>MIN(E67:I67)-A67</f>
        <v/>
      </c>
      <c r="K67" s="80">
        <f>MAX(E67:I67)-A67</f>
        <v/>
      </c>
      <c r="L67" s="37">
        <f>IF(AND(COUNT(E67:I67)=5,MIN(E67:I67)&gt;=A67,E67&lt;&gt;F67,E67&lt;&gt;G67,E67&lt;&gt;H67,E67&lt;&gt;I67,F67&lt;&gt;G67,F67&lt;&gt;H67,F67&lt;&gt;I67,G67&lt;&gt;H67,G67&lt;&gt;I67,H67&lt;&gt;I67),"PASS","CHECK")</f>
        <v/>
      </c>
      <c r="M67" s="37">
        <f>IF(COUNTIF('LOCAL_REFERENCE'!$D67:$O67,E67)+COUNTIF('LOCAL_REFERENCE'!$D67:$O67,F67)+COUNTIF('LOCAL_REFERENCE'!$D67:$O67,G67)+COUNTIF('LOCAL_REFERENCE'!$D67:$O67,H67)+COUNTIF('LOCAL_REFERENCE'!$D67:$O67,I67)=0,"PASS","DUPLICATE")</f>
        <v/>
      </c>
      <c r="N67" s="37">
        <f>'CRAWL_LOG'!B67</f>
        <v/>
      </c>
      <c r="O67" s="37" t="inlineStr">
        <is>
          <t>Supplementary panel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Official</t>
        </is>
      </c>
      <c r="D68" s="36" t="inlineStr">
        <is>
          <t>00:30</t>
        </is>
      </c>
      <c r="E68" s="77" t="n">
        <v>46345</v>
      </c>
      <c r="F68" s="77" t="n">
        <v>46348</v>
      </c>
      <c r="G68" s="77" t="n">
        <v>46324</v>
      </c>
      <c r="H68" s="77" t="n">
        <v>46337</v>
      </c>
      <c r="I68" s="77" t="n">
        <v>46411</v>
      </c>
      <c r="J68" s="78">
        <f>MIN(E68:I68)-A68</f>
        <v/>
      </c>
      <c r="K68" s="78">
        <f>MAX(E68:I68)-A68</f>
        <v/>
      </c>
      <c r="L68" s="36">
        <f>IF(AND(COUNT(E68:I68)=5,MIN(E68:I68)&gt;=A68,E68&lt;&gt;F68,E68&lt;&gt;G68,E68&lt;&gt;H68,E68&lt;&gt;I68,F68&lt;&gt;G68,F68&lt;&gt;H68,F68&lt;&gt;I68,G68&lt;&gt;H68,G68&lt;&gt;I68,H68&lt;&gt;I68),"PASS","CHECK")</f>
        <v/>
      </c>
      <c r="M68" s="36">
        <f>IF(COUNTIF('LOCAL_REFERENCE'!$D68:$O68,E68)+COUNTIF('LOCAL_REFERENCE'!$D68:$O68,F68)+COUNTIF('LOCAL_REFERENCE'!$D68:$O68,G68)+COUNTIF('LOCAL_REFERENCE'!$D68:$O68,H68)+COUNTIF('LOCAL_REFERENCE'!$D68:$O68,I68)=0,"PASS","DUPLICATE")</f>
        <v/>
      </c>
      <c r="N68" s="36">
        <f>'CRAWL_LOG'!B68</f>
        <v/>
      </c>
      <c r="O68" s="36" t="inlineStr">
        <is>
          <t>Supplementary panel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Official</t>
        </is>
      </c>
      <c r="D69" s="37" t="inlineStr">
        <is>
          <t>00:30</t>
        </is>
      </c>
      <c r="E69" s="77" t="n">
        <v>46345</v>
      </c>
      <c r="F69" s="77" t="n">
        <v>46348</v>
      </c>
      <c r="G69" s="77" t="n">
        <v>46324</v>
      </c>
      <c r="H69" s="77" t="n">
        <v>46337</v>
      </c>
      <c r="I69" s="77" t="n">
        <v>46411</v>
      </c>
      <c r="J69" s="80">
        <f>MIN(E69:I69)-A69</f>
        <v/>
      </c>
      <c r="K69" s="80">
        <f>MAX(E69:I69)-A69</f>
        <v/>
      </c>
      <c r="L69" s="37">
        <f>IF(AND(COUNT(E69:I69)=5,MIN(E69:I69)&gt;=A69,E69&lt;&gt;F69,E69&lt;&gt;G69,E69&lt;&gt;H69,E69&lt;&gt;I69,F69&lt;&gt;G69,F69&lt;&gt;H69,F69&lt;&gt;I69,G69&lt;&gt;H69,G69&lt;&gt;I69,H69&lt;&gt;I69),"PASS","CHECK")</f>
        <v/>
      </c>
      <c r="M69" s="37">
        <f>IF(COUNTIF('LOCAL_REFERENCE'!$D69:$O69,E69)+COUNTIF('LOCAL_REFERENCE'!$D69:$O69,F69)+COUNTIF('LOCAL_REFERENCE'!$D69:$O69,G69)+COUNTIF('LOCAL_REFERENCE'!$D69:$O69,H69)+COUNTIF('LOCAL_REFERENCE'!$D69:$O69,I69)=0,"PASS","DUPLICATE")</f>
        <v/>
      </c>
      <c r="N69" s="37">
        <f>'CRAWL_LOG'!B69</f>
        <v/>
      </c>
      <c r="O69" s="37" t="inlineStr">
        <is>
          <t>Supplementary panel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Official</t>
        </is>
      </c>
      <c r="D70" s="36" t="inlineStr">
        <is>
          <t>00:30</t>
        </is>
      </c>
      <c r="E70" s="77" t="n">
        <v>46345</v>
      </c>
      <c r="F70" s="77" t="n">
        <v>46348</v>
      </c>
      <c r="G70" s="77" t="n">
        <v>46324</v>
      </c>
      <c r="H70" s="77" t="n">
        <v>46337</v>
      </c>
      <c r="I70" s="77" t="n">
        <v>46411</v>
      </c>
      <c r="J70" s="78">
        <f>MIN(E70:I70)-A70</f>
        <v/>
      </c>
      <c r="K70" s="78">
        <f>MAX(E70:I70)-A70</f>
        <v/>
      </c>
      <c r="L70" s="36">
        <f>IF(AND(COUNT(E70:I70)=5,MIN(E70:I70)&gt;=A70,E70&lt;&gt;F70,E70&lt;&gt;G70,E70&lt;&gt;H70,E70&lt;&gt;I70,F70&lt;&gt;G70,F70&lt;&gt;H70,F70&lt;&gt;I70,G70&lt;&gt;H70,G70&lt;&gt;I70,H70&lt;&gt;I70),"PASS","CHECK")</f>
        <v/>
      </c>
      <c r="M70" s="36">
        <f>IF(COUNTIF('LOCAL_REFERENCE'!$D70:$O70,E70)+COUNTIF('LOCAL_REFERENCE'!$D70:$O70,F70)+COUNTIF('LOCAL_REFERENCE'!$D70:$O70,G70)+COUNTIF('LOCAL_REFERENCE'!$D70:$O70,H70)+COUNTIF('LOCAL_REFERENCE'!$D70:$O70,I70)=0,"PASS","DUPLICATE")</f>
        <v/>
      </c>
      <c r="N70" s="36">
        <f>'CRAWL_LOG'!B70</f>
        <v/>
      </c>
      <c r="O70" s="36" t="inlineStr">
        <is>
          <t>Supplementary panel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Official</t>
        </is>
      </c>
      <c r="D71" s="37" t="inlineStr">
        <is>
          <t>00:30</t>
        </is>
      </c>
      <c r="E71" s="77" t="n">
        <v>46345</v>
      </c>
      <c r="F71" s="77" t="n">
        <v>46348</v>
      </c>
      <c r="G71" s="77" t="n">
        <v>46352</v>
      </c>
      <c r="H71" s="77" t="n">
        <v>46337</v>
      </c>
      <c r="I71" s="77" t="n">
        <v>46411</v>
      </c>
      <c r="J71" s="80">
        <f>MIN(E71:I71)-A71</f>
        <v/>
      </c>
      <c r="K71" s="80">
        <f>MAX(E71:I71)-A71</f>
        <v/>
      </c>
      <c r="L71" s="37">
        <f>IF(AND(COUNT(E71:I71)=5,MIN(E71:I71)&gt;=A71,E71&lt;&gt;F71,E71&lt;&gt;G71,E71&lt;&gt;H71,E71&lt;&gt;I71,F71&lt;&gt;G71,F71&lt;&gt;H71,F71&lt;&gt;I71,G71&lt;&gt;H71,G71&lt;&gt;I71,H71&lt;&gt;I71),"PASS","CHECK")</f>
        <v/>
      </c>
      <c r="M71" s="37">
        <f>IF(COUNTIF('LOCAL_REFERENCE'!$D71:$O71,E71)+COUNTIF('LOCAL_REFERENCE'!$D71:$O71,F71)+COUNTIF('LOCAL_REFERENCE'!$D71:$O71,G71)+COUNTIF('LOCAL_REFERENCE'!$D71:$O71,H71)+COUNTIF('LOCAL_REFERENCE'!$D71:$O71,I71)=0,"PASS","DUPLICATE")</f>
        <v/>
      </c>
      <c r="N71" s="37">
        <f>'CRAWL_LOG'!B71</f>
        <v/>
      </c>
      <c r="O71" s="37" t="inlineStr">
        <is>
          <t>Supplementary panel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Official</t>
        </is>
      </c>
      <c r="D72" s="36" t="inlineStr">
        <is>
          <t>00:30</t>
        </is>
      </c>
      <c r="E72" s="77" t="n">
        <v>46345</v>
      </c>
      <c r="F72" s="77" t="n">
        <v>46348</v>
      </c>
      <c r="G72" s="77" t="n">
        <v>46352</v>
      </c>
      <c r="H72" s="77" t="n">
        <v>46337</v>
      </c>
      <c r="I72" s="77" t="n">
        <v>46411</v>
      </c>
      <c r="J72" s="78">
        <f>MIN(E72:I72)-A72</f>
        <v/>
      </c>
      <c r="K72" s="78">
        <f>MAX(E72:I72)-A72</f>
        <v/>
      </c>
      <c r="L72" s="36">
        <f>IF(AND(COUNT(E72:I72)=5,MIN(E72:I72)&gt;=A72,E72&lt;&gt;F72,E72&lt;&gt;G72,E72&lt;&gt;H72,E72&lt;&gt;I72,F72&lt;&gt;G72,F72&lt;&gt;H72,F72&lt;&gt;I72,G72&lt;&gt;H72,G72&lt;&gt;I72,H72&lt;&gt;I72),"PASS","CHECK")</f>
        <v/>
      </c>
      <c r="M72" s="36">
        <f>IF(COUNTIF('LOCAL_REFERENCE'!$D72:$O72,E72)+COUNTIF('LOCAL_REFERENCE'!$D72:$O72,F72)+COUNTIF('LOCAL_REFERENCE'!$D72:$O72,G72)+COUNTIF('LOCAL_REFERENCE'!$D72:$O72,H72)+COUNTIF('LOCAL_REFERENCE'!$D72:$O72,I72)=0,"PASS","DUPLICATE")</f>
        <v/>
      </c>
      <c r="N72" s="36">
        <f>'CRAWL_LOG'!B72</f>
        <v/>
      </c>
      <c r="O72" s="36" t="inlineStr">
        <is>
          <t>Supplementary panel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Official</t>
        </is>
      </c>
      <c r="D73" s="37" t="inlineStr">
        <is>
          <t>00:30</t>
        </is>
      </c>
      <c r="E73" s="77" t="n">
        <v>46345</v>
      </c>
      <c r="F73" s="77" t="n">
        <v>46348</v>
      </c>
      <c r="G73" s="77" t="n">
        <v>46352</v>
      </c>
      <c r="H73" s="77" t="n">
        <v>46337</v>
      </c>
      <c r="I73" s="77" t="n">
        <v>46411</v>
      </c>
      <c r="J73" s="80">
        <f>MIN(E73:I73)-A73</f>
        <v/>
      </c>
      <c r="K73" s="80">
        <f>MAX(E73:I73)-A73</f>
        <v/>
      </c>
      <c r="L73" s="37">
        <f>IF(AND(COUNT(E73:I73)=5,MIN(E73:I73)&gt;=A73,E73&lt;&gt;F73,E73&lt;&gt;G73,E73&lt;&gt;H73,E73&lt;&gt;I73,F73&lt;&gt;G73,F73&lt;&gt;H73,F73&lt;&gt;I73,G73&lt;&gt;H73,G73&lt;&gt;I73,H73&lt;&gt;I73),"PASS","CHECK")</f>
        <v/>
      </c>
      <c r="M73" s="37">
        <f>IF(COUNTIF('LOCAL_REFERENCE'!$D73:$O73,E73)+COUNTIF('LOCAL_REFERENCE'!$D73:$O73,F73)+COUNTIF('LOCAL_REFERENCE'!$D73:$O73,G73)+COUNTIF('LOCAL_REFERENCE'!$D73:$O73,H73)+COUNTIF('LOCAL_REFERENCE'!$D73:$O73,I73)=0,"PASS","DUPLICATE")</f>
        <v/>
      </c>
      <c r="N73" s="37">
        <f>'CRAWL_LOG'!B73</f>
        <v/>
      </c>
      <c r="O73" s="37" t="inlineStr">
        <is>
          <t>Supplementary panel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Official</t>
        </is>
      </c>
      <c r="D74" s="36" t="inlineStr">
        <is>
          <t>00:30</t>
        </is>
      </c>
      <c r="E74" s="77" t="n">
        <v>46345</v>
      </c>
      <c r="F74" s="77" t="n">
        <v>46348</v>
      </c>
      <c r="G74" s="77" t="n">
        <v>46352</v>
      </c>
      <c r="H74" s="77" t="n">
        <v>46337</v>
      </c>
      <c r="I74" s="77" t="n">
        <v>46411</v>
      </c>
      <c r="J74" s="78">
        <f>MIN(E74:I74)-A74</f>
        <v/>
      </c>
      <c r="K74" s="78">
        <f>MAX(E74:I74)-A74</f>
        <v/>
      </c>
      <c r="L74" s="36">
        <f>IF(AND(COUNT(E74:I74)=5,MIN(E74:I74)&gt;=A74,E74&lt;&gt;F74,E74&lt;&gt;G74,E74&lt;&gt;H74,E74&lt;&gt;I74,F74&lt;&gt;G74,F74&lt;&gt;H74,F74&lt;&gt;I74,G74&lt;&gt;H74,G74&lt;&gt;I74,H74&lt;&gt;I74),"PASS","CHECK")</f>
        <v/>
      </c>
      <c r="M74" s="36">
        <f>IF(COUNTIF('LOCAL_REFERENCE'!$D74:$O74,E74)+COUNTIF('LOCAL_REFERENCE'!$D74:$O74,F74)+COUNTIF('LOCAL_REFERENCE'!$D74:$O74,G74)+COUNTIF('LOCAL_REFERENCE'!$D74:$O74,H74)+COUNTIF('LOCAL_REFERENCE'!$D74:$O74,I74)=0,"PASS","DUPLICATE")</f>
        <v/>
      </c>
      <c r="N74" s="36">
        <f>'CRAWL_LOG'!B74</f>
        <v/>
      </c>
      <c r="O74" s="36" t="inlineStr">
        <is>
          <t>Supplementary panel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Official</t>
        </is>
      </c>
      <c r="D75" s="37" t="inlineStr">
        <is>
          <t>00:30</t>
        </is>
      </c>
      <c r="E75" s="77" t="n">
        <v>46345</v>
      </c>
      <c r="F75" s="77" t="n">
        <v>46348</v>
      </c>
      <c r="G75" s="77" t="n">
        <v>46352</v>
      </c>
      <c r="H75" s="77" t="n">
        <v>46337</v>
      </c>
      <c r="I75" s="77" t="n">
        <v>46411</v>
      </c>
      <c r="J75" s="80">
        <f>MIN(E75:I75)-A75</f>
        <v/>
      </c>
      <c r="K75" s="80">
        <f>MAX(E75:I75)-A75</f>
        <v/>
      </c>
      <c r="L75" s="37">
        <f>IF(AND(COUNT(E75:I75)=5,MIN(E75:I75)&gt;=A75,E75&lt;&gt;F75,E75&lt;&gt;G75,E75&lt;&gt;H75,E75&lt;&gt;I75,F75&lt;&gt;G75,F75&lt;&gt;H75,F75&lt;&gt;I75,G75&lt;&gt;H75,G75&lt;&gt;I75,H75&lt;&gt;I75),"PASS","CHECK")</f>
        <v/>
      </c>
      <c r="M75" s="37">
        <f>IF(COUNTIF('LOCAL_REFERENCE'!$D75:$O75,E75)+COUNTIF('LOCAL_REFERENCE'!$D75:$O75,F75)+COUNTIF('LOCAL_REFERENCE'!$D75:$O75,G75)+COUNTIF('LOCAL_REFERENCE'!$D75:$O75,H75)+COUNTIF('LOCAL_REFERENCE'!$D75:$O75,I75)=0,"PASS","DUPLICATE")</f>
        <v/>
      </c>
      <c r="N75" s="37">
        <f>'CRAWL_LOG'!B75</f>
        <v/>
      </c>
      <c r="O75" s="37" t="inlineStr">
        <is>
          <t>Supplementary panel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Official</t>
        </is>
      </c>
      <c r="D76" s="36" t="inlineStr">
        <is>
          <t>00:30</t>
        </is>
      </c>
      <c r="E76" s="77" t="n">
        <v>46345</v>
      </c>
      <c r="F76" s="77" t="n">
        <v>46348</v>
      </c>
      <c r="G76" s="77" t="n">
        <v>46352</v>
      </c>
      <c r="H76" s="77" t="n">
        <v>46337</v>
      </c>
      <c r="I76" s="77" t="n">
        <v>46411</v>
      </c>
      <c r="J76" s="78">
        <f>MIN(E76:I76)-A76</f>
        <v/>
      </c>
      <c r="K76" s="78">
        <f>MAX(E76:I76)-A76</f>
        <v/>
      </c>
      <c r="L76" s="36">
        <f>IF(AND(COUNT(E76:I76)=5,MIN(E76:I76)&gt;=A76,E76&lt;&gt;F76,E76&lt;&gt;G76,E76&lt;&gt;H76,E76&lt;&gt;I76,F76&lt;&gt;G76,F76&lt;&gt;H76,F76&lt;&gt;I76,G76&lt;&gt;H76,G76&lt;&gt;I76,H76&lt;&gt;I76),"PASS","CHECK")</f>
        <v/>
      </c>
      <c r="M76" s="36">
        <f>IF(COUNTIF('LOCAL_REFERENCE'!$D76:$O76,E76)+COUNTIF('LOCAL_REFERENCE'!$D76:$O76,F76)+COUNTIF('LOCAL_REFERENCE'!$D76:$O76,G76)+COUNTIF('LOCAL_REFERENCE'!$D76:$O76,H76)+COUNTIF('LOCAL_REFERENCE'!$D76:$O76,I76)=0,"PASS","DUPLICATE")</f>
        <v/>
      </c>
      <c r="N76" s="36">
        <f>'CRAWL_LOG'!B76</f>
        <v/>
      </c>
      <c r="O76" s="36" t="inlineStr">
        <is>
          <t>Supplementary panel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Official</t>
        </is>
      </c>
      <c r="D77" s="37" t="inlineStr">
        <is>
          <t>00:30</t>
        </is>
      </c>
      <c r="E77" s="77" t="n">
        <v>46345</v>
      </c>
      <c r="F77" s="77" t="n">
        <v>46348</v>
      </c>
      <c r="G77" s="77" t="n">
        <v>46352</v>
      </c>
      <c r="H77" s="77" t="n">
        <v>46337</v>
      </c>
      <c r="I77" s="77" t="n">
        <v>46411</v>
      </c>
      <c r="J77" s="80">
        <f>MIN(E77:I77)-A77</f>
        <v/>
      </c>
      <c r="K77" s="80">
        <f>MAX(E77:I77)-A77</f>
        <v/>
      </c>
      <c r="L77" s="37">
        <f>IF(AND(COUNT(E77:I77)=5,MIN(E77:I77)&gt;=A77,E77&lt;&gt;F77,E77&lt;&gt;G77,E77&lt;&gt;H77,E77&lt;&gt;I77,F77&lt;&gt;G77,F77&lt;&gt;H77,F77&lt;&gt;I77,G77&lt;&gt;H77,G77&lt;&gt;I77,H77&lt;&gt;I77),"PASS","CHECK")</f>
        <v/>
      </c>
      <c r="M77" s="37">
        <f>IF(COUNTIF('LOCAL_REFERENCE'!$D77:$O77,E77)+COUNTIF('LOCAL_REFERENCE'!$D77:$O77,F77)+COUNTIF('LOCAL_REFERENCE'!$D77:$O77,G77)+COUNTIF('LOCAL_REFERENCE'!$D77:$O77,H77)+COUNTIF('LOCAL_REFERENCE'!$D77:$O77,I77)=0,"PASS","DUPLICATE")</f>
        <v/>
      </c>
      <c r="N77" s="37">
        <f>'CRAWL_LOG'!B77</f>
        <v/>
      </c>
      <c r="O77" s="37" t="inlineStr">
        <is>
          <t>Supplementary panel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Official</t>
        </is>
      </c>
      <c r="D78" s="36" t="inlineStr">
        <is>
          <t>00:30</t>
        </is>
      </c>
      <c r="E78" s="77" t="n">
        <v>46345</v>
      </c>
      <c r="F78" s="77" t="n">
        <v>46348</v>
      </c>
      <c r="G78" s="77" t="n">
        <v>46352</v>
      </c>
      <c r="H78" s="77" t="n">
        <v>46337</v>
      </c>
      <c r="I78" s="77" t="n">
        <v>46411</v>
      </c>
      <c r="J78" s="78">
        <f>MIN(E78:I78)-A78</f>
        <v/>
      </c>
      <c r="K78" s="78">
        <f>MAX(E78:I78)-A78</f>
        <v/>
      </c>
      <c r="L78" s="36">
        <f>IF(AND(COUNT(E78:I78)=5,MIN(E78:I78)&gt;=A78,E78&lt;&gt;F78,E78&lt;&gt;G78,E78&lt;&gt;H78,E78&lt;&gt;I78,F78&lt;&gt;G78,F78&lt;&gt;H78,F78&lt;&gt;I78,G78&lt;&gt;H78,G78&lt;&gt;I78,H78&lt;&gt;I78),"PASS","CHECK")</f>
        <v/>
      </c>
      <c r="M78" s="36">
        <f>IF(COUNTIF('LOCAL_REFERENCE'!$D78:$O78,E78)+COUNTIF('LOCAL_REFERENCE'!$D78:$O78,F78)+COUNTIF('LOCAL_REFERENCE'!$D78:$O78,G78)+COUNTIF('LOCAL_REFERENCE'!$D78:$O78,H78)+COUNTIF('LOCAL_REFERENCE'!$D78:$O78,I78)=0,"PASS","DUPLICATE")</f>
        <v/>
      </c>
      <c r="N78" s="36">
        <f>'CRAWL_LOG'!B78</f>
        <v/>
      </c>
      <c r="O78" s="36" t="inlineStr">
        <is>
          <t>Supplementary panel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Official</t>
        </is>
      </c>
      <c r="D79" s="37" t="inlineStr">
        <is>
          <t>00:30</t>
        </is>
      </c>
      <c r="E79" s="77" t="n">
        <v>46345</v>
      </c>
      <c r="F79" s="77" t="n">
        <v>46348</v>
      </c>
      <c r="G79" s="77" t="n">
        <v>46352</v>
      </c>
      <c r="H79" s="77" t="n">
        <v>46337</v>
      </c>
      <c r="I79" s="77" t="n">
        <v>46411</v>
      </c>
      <c r="J79" s="80">
        <f>MIN(E79:I79)-A79</f>
        <v/>
      </c>
      <c r="K79" s="80">
        <f>MAX(E79:I79)-A79</f>
        <v/>
      </c>
      <c r="L79" s="37">
        <f>IF(AND(COUNT(E79:I79)=5,MIN(E79:I79)&gt;=A79,E79&lt;&gt;F79,E79&lt;&gt;G79,E79&lt;&gt;H79,E79&lt;&gt;I79,F79&lt;&gt;G79,F79&lt;&gt;H79,F79&lt;&gt;I79,G79&lt;&gt;H79,G79&lt;&gt;I79,H79&lt;&gt;I79),"PASS","CHECK")</f>
        <v/>
      </c>
      <c r="M79" s="37">
        <f>IF(COUNTIF('LOCAL_REFERENCE'!$D79:$O79,E79)+COUNTIF('LOCAL_REFERENCE'!$D79:$O79,F79)+COUNTIF('LOCAL_REFERENCE'!$D79:$O79,G79)+COUNTIF('LOCAL_REFERENCE'!$D79:$O79,H79)+COUNTIF('LOCAL_REFERENCE'!$D79:$O79,I79)=0,"PASS","DUPLICATE")</f>
        <v/>
      </c>
      <c r="N79" s="37">
        <f>'CRAWL_LOG'!B79</f>
        <v/>
      </c>
      <c r="O79" s="37" t="inlineStr">
        <is>
          <t>Supplementary panel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Official</t>
        </is>
      </c>
      <c r="D80" s="36" t="inlineStr">
        <is>
          <t>00:30</t>
        </is>
      </c>
      <c r="E80" s="77" t="n">
        <v>46345</v>
      </c>
      <c r="F80" s="77" t="n">
        <v>46348</v>
      </c>
      <c r="G80" s="77" t="n">
        <v>46352</v>
      </c>
      <c r="H80" s="77" t="n">
        <v>46337</v>
      </c>
      <c r="I80" s="77" t="n">
        <v>46411</v>
      </c>
      <c r="J80" s="78">
        <f>MIN(E80:I80)-A80</f>
        <v/>
      </c>
      <c r="K80" s="78">
        <f>MAX(E80:I80)-A80</f>
        <v/>
      </c>
      <c r="L80" s="36">
        <f>IF(AND(COUNT(E80:I80)=5,MIN(E80:I80)&gt;=A80,E80&lt;&gt;F80,E80&lt;&gt;G80,E80&lt;&gt;H80,E80&lt;&gt;I80,F80&lt;&gt;G80,F80&lt;&gt;H80,F80&lt;&gt;I80,G80&lt;&gt;H80,G80&lt;&gt;I80,H80&lt;&gt;I80),"PASS","CHECK")</f>
        <v/>
      </c>
      <c r="M80" s="36">
        <f>IF(COUNTIF('LOCAL_REFERENCE'!$D80:$O80,E80)+COUNTIF('LOCAL_REFERENCE'!$D80:$O80,F80)+COUNTIF('LOCAL_REFERENCE'!$D80:$O80,G80)+COUNTIF('LOCAL_REFERENCE'!$D80:$O80,H80)+COUNTIF('LOCAL_REFERENCE'!$D80:$O80,I80)=0,"PASS","DUPLICATE")</f>
        <v/>
      </c>
      <c r="N80" s="36">
        <f>'CRAWL_LOG'!B80</f>
        <v/>
      </c>
      <c r="O80" s="36" t="inlineStr">
        <is>
          <t>Supplementary panel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Official</t>
        </is>
      </c>
      <c r="D81" s="37" t="inlineStr">
        <is>
          <t>00:30</t>
        </is>
      </c>
      <c r="E81" s="77" t="n">
        <v>46345</v>
      </c>
      <c r="F81" s="77" t="n">
        <v>46348</v>
      </c>
      <c r="G81" s="77" t="n">
        <v>46352</v>
      </c>
      <c r="H81" s="77" t="n">
        <v>46337</v>
      </c>
      <c r="I81" s="77" t="n">
        <v>46411</v>
      </c>
      <c r="J81" s="80">
        <f>MIN(E81:I81)-A81</f>
        <v/>
      </c>
      <c r="K81" s="80">
        <f>MAX(E81:I81)-A81</f>
        <v/>
      </c>
      <c r="L81" s="37">
        <f>IF(AND(COUNT(E81:I81)=5,MIN(E81:I81)&gt;=A81,E81&lt;&gt;F81,E81&lt;&gt;G81,E81&lt;&gt;H81,E81&lt;&gt;I81,F81&lt;&gt;G81,F81&lt;&gt;H81,F81&lt;&gt;I81,G81&lt;&gt;H81,G81&lt;&gt;I81,H81&lt;&gt;I81),"PASS","CHECK")</f>
        <v/>
      </c>
      <c r="M81" s="37">
        <f>IF(COUNTIF('LOCAL_REFERENCE'!$D81:$O81,E81)+COUNTIF('LOCAL_REFERENCE'!$D81:$O81,F81)+COUNTIF('LOCAL_REFERENCE'!$D81:$O81,G81)+COUNTIF('LOCAL_REFERENCE'!$D81:$O81,H81)+COUNTIF('LOCAL_REFERENCE'!$D81:$O81,I81)=0,"PASS","DUPLICATE")</f>
        <v/>
      </c>
      <c r="N81" s="37">
        <f>'CRAWL_LOG'!B81</f>
        <v/>
      </c>
      <c r="O81" s="37" t="inlineStr">
        <is>
          <t>Supplementary panel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Official</t>
        </is>
      </c>
      <c r="D82" s="36" t="inlineStr">
        <is>
          <t>00:30</t>
        </is>
      </c>
      <c r="E82" s="77" t="n">
        <v>46345</v>
      </c>
      <c r="F82" s="77" t="n">
        <v>46348</v>
      </c>
      <c r="G82" s="77" t="n">
        <v>46352</v>
      </c>
      <c r="H82" s="77" t="n">
        <v>46337</v>
      </c>
      <c r="I82" s="77" t="n">
        <v>46411</v>
      </c>
      <c r="J82" s="78">
        <f>MIN(E82:I82)-A82</f>
        <v/>
      </c>
      <c r="K82" s="78">
        <f>MAX(E82:I82)-A82</f>
        <v/>
      </c>
      <c r="L82" s="36">
        <f>IF(AND(COUNT(E82:I82)=5,MIN(E82:I82)&gt;=A82,E82&lt;&gt;F82,E82&lt;&gt;G82,E82&lt;&gt;H82,E82&lt;&gt;I82,F82&lt;&gt;G82,F82&lt;&gt;H82,F82&lt;&gt;I82,G82&lt;&gt;H82,G82&lt;&gt;I82,H82&lt;&gt;I82),"PASS","CHECK")</f>
        <v/>
      </c>
      <c r="M82" s="36">
        <f>IF(COUNTIF('LOCAL_REFERENCE'!$D82:$O82,E82)+COUNTIF('LOCAL_REFERENCE'!$D82:$O82,F82)+COUNTIF('LOCAL_REFERENCE'!$D82:$O82,G82)+COUNTIF('LOCAL_REFERENCE'!$D82:$O82,H82)+COUNTIF('LOCAL_REFERENCE'!$D82:$O82,I82)=0,"PASS","DUPLICATE")</f>
        <v/>
      </c>
      <c r="N82" s="36">
        <f>'CRAWL_LOG'!B82</f>
        <v/>
      </c>
      <c r="O82" s="36" t="inlineStr">
        <is>
          <t>Supplementary panel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Official</t>
        </is>
      </c>
      <c r="D83" s="37" t="inlineStr">
        <is>
          <t>00:30</t>
        </is>
      </c>
      <c r="E83" s="77" t="n">
        <v>46345</v>
      </c>
      <c r="F83" s="77" t="n">
        <v>46348</v>
      </c>
      <c r="G83" s="77" t="n">
        <v>46352</v>
      </c>
      <c r="H83" s="77" t="n">
        <v>46337</v>
      </c>
      <c r="I83" s="77" t="n">
        <v>46411</v>
      </c>
      <c r="J83" s="80">
        <f>MIN(E83:I83)-A83</f>
        <v/>
      </c>
      <c r="K83" s="80">
        <f>MAX(E83:I83)-A83</f>
        <v/>
      </c>
      <c r="L83" s="37">
        <f>IF(AND(COUNT(E83:I83)=5,MIN(E83:I83)&gt;=A83,E83&lt;&gt;F83,E83&lt;&gt;G83,E83&lt;&gt;H83,E83&lt;&gt;I83,F83&lt;&gt;G83,F83&lt;&gt;H83,F83&lt;&gt;I83,G83&lt;&gt;H83,G83&lt;&gt;I83,H83&lt;&gt;I83),"PASS","CHECK")</f>
        <v/>
      </c>
      <c r="M83" s="37">
        <f>IF(COUNTIF('LOCAL_REFERENCE'!$D83:$O83,E83)+COUNTIF('LOCAL_REFERENCE'!$D83:$O83,F83)+COUNTIF('LOCAL_REFERENCE'!$D83:$O83,G83)+COUNTIF('LOCAL_REFERENCE'!$D83:$O83,H83)+COUNTIF('LOCAL_REFERENCE'!$D83:$O83,I83)=0,"PASS","DUPLICATE")</f>
        <v/>
      </c>
      <c r="N83" s="37">
        <f>'CRAWL_LOG'!B83</f>
        <v/>
      </c>
      <c r="O83" s="37" t="inlineStr">
        <is>
          <t>Supplementary panel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Official</t>
        </is>
      </c>
      <c r="D84" s="36" t="inlineStr">
        <is>
          <t>00:30</t>
        </is>
      </c>
      <c r="E84" s="77" t="n">
        <v>46345</v>
      </c>
      <c r="F84" s="77" t="n">
        <v>46348</v>
      </c>
      <c r="G84" s="77" t="n">
        <v>46352</v>
      </c>
      <c r="H84" s="77" t="n">
        <v>46365</v>
      </c>
      <c r="I84" s="77" t="n">
        <v>46411</v>
      </c>
      <c r="J84" s="78">
        <f>MIN(E84:I84)-A84</f>
        <v/>
      </c>
      <c r="K84" s="78">
        <f>MAX(E84:I84)-A84</f>
        <v/>
      </c>
      <c r="L84" s="36">
        <f>IF(AND(COUNT(E84:I84)=5,MIN(E84:I84)&gt;=A84,E84&lt;&gt;F84,E84&lt;&gt;G84,E84&lt;&gt;H84,E84&lt;&gt;I84,F84&lt;&gt;G84,F84&lt;&gt;H84,F84&lt;&gt;I84,G84&lt;&gt;H84,G84&lt;&gt;I84,H84&lt;&gt;I84),"PASS","CHECK")</f>
        <v/>
      </c>
      <c r="M84" s="36">
        <f>IF(COUNTIF('LOCAL_REFERENCE'!$D84:$O84,E84)+COUNTIF('LOCAL_REFERENCE'!$D84:$O84,F84)+COUNTIF('LOCAL_REFERENCE'!$D84:$O84,G84)+COUNTIF('LOCAL_REFERENCE'!$D84:$O84,H84)+COUNTIF('LOCAL_REFERENCE'!$D84:$O84,I84)=0,"PASS","DUPLICATE")</f>
        <v/>
      </c>
      <c r="N84" s="36">
        <f>'CRAWL_LOG'!B84</f>
        <v/>
      </c>
      <c r="O84" s="36" t="inlineStr">
        <is>
          <t>Supplementary panel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Official</t>
        </is>
      </c>
      <c r="D85" s="37" t="inlineStr">
        <is>
          <t>00:30</t>
        </is>
      </c>
      <c r="E85" s="77" t="n">
        <v>46345</v>
      </c>
      <c r="F85" s="77" t="n">
        <v>46348</v>
      </c>
      <c r="G85" s="77" t="n">
        <v>46352</v>
      </c>
      <c r="H85" s="77" t="n">
        <v>46365</v>
      </c>
      <c r="I85" s="77" t="n">
        <v>46411</v>
      </c>
      <c r="J85" s="80">
        <f>MIN(E85:I85)-A85</f>
        <v/>
      </c>
      <c r="K85" s="80">
        <f>MAX(E85:I85)-A85</f>
        <v/>
      </c>
      <c r="L85" s="37">
        <f>IF(AND(COUNT(E85:I85)=5,MIN(E85:I85)&gt;=A85,E85&lt;&gt;F85,E85&lt;&gt;G85,E85&lt;&gt;H85,E85&lt;&gt;I85,F85&lt;&gt;G85,F85&lt;&gt;H85,F85&lt;&gt;I85,G85&lt;&gt;H85,G85&lt;&gt;I85,H85&lt;&gt;I85),"PASS","CHECK")</f>
        <v/>
      </c>
      <c r="M85" s="37">
        <f>IF(COUNTIF('LOCAL_REFERENCE'!$D85:$O85,E85)+COUNTIF('LOCAL_REFERENCE'!$D85:$O85,F85)+COUNTIF('LOCAL_REFERENCE'!$D85:$O85,G85)+COUNTIF('LOCAL_REFERENCE'!$D85:$O85,H85)+COUNTIF('LOCAL_REFERENCE'!$D85:$O85,I85)=0,"PASS","DUPLICATE")</f>
        <v/>
      </c>
      <c r="N85" s="37">
        <f>'CRAWL_LOG'!B85</f>
        <v/>
      </c>
      <c r="O85" s="37" t="inlineStr">
        <is>
          <t>Supplementary panel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Official</t>
        </is>
      </c>
      <c r="D86" s="36" t="inlineStr">
        <is>
          <t>00:30</t>
        </is>
      </c>
      <c r="E86" s="77" t="n">
        <v>46345</v>
      </c>
      <c r="F86" s="77" t="n">
        <v>46348</v>
      </c>
      <c r="G86" s="77" t="n">
        <v>46352</v>
      </c>
      <c r="H86" s="77" t="n">
        <v>46365</v>
      </c>
      <c r="I86" s="77" t="n">
        <v>46411</v>
      </c>
      <c r="J86" s="78">
        <f>MIN(E86:I86)-A86</f>
        <v/>
      </c>
      <c r="K86" s="78">
        <f>MAX(E86:I86)-A86</f>
        <v/>
      </c>
      <c r="L86" s="36">
        <f>IF(AND(COUNT(E86:I86)=5,MIN(E86:I86)&gt;=A86,E86&lt;&gt;F86,E86&lt;&gt;G86,E86&lt;&gt;H86,E86&lt;&gt;I86,F86&lt;&gt;G86,F86&lt;&gt;H86,F86&lt;&gt;I86,G86&lt;&gt;H86,G86&lt;&gt;I86,H86&lt;&gt;I86),"PASS","CHECK")</f>
        <v/>
      </c>
      <c r="M86" s="36">
        <f>IF(COUNTIF('LOCAL_REFERENCE'!$D86:$O86,E86)+COUNTIF('LOCAL_REFERENCE'!$D86:$O86,F86)+COUNTIF('LOCAL_REFERENCE'!$D86:$O86,G86)+COUNTIF('LOCAL_REFERENCE'!$D86:$O86,H86)+COUNTIF('LOCAL_REFERENCE'!$D86:$O86,I86)=0,"PASS","DUPLICATE")</f>
        <v/>
      </c>
      <c r="N86" s="36">
        <f>'CRAWL_LOG'!B86</f>
        <v/>
      </c>
      <c r="O86" s="36" t="inlineStr">
        <is>
          <t>Supplementary panel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Official</t>
        </is>
      </c>
      <c r="D87" s="37" t="inlineStr">
        <is>
          <t>00:30</t>
        </is>
      </c>
      <c r="E87" s="77" t="n">
        <v>46345</v>
      </c>
      <c r="F87" s="77" t="n">
        <v>46348</v>
      </c>
      <c r="G87" s="77" t="n">
        <v>46352</v>
      </c>
      <c r="H87" s="77" t="n">
        <v>46365</v>
      </c>
      <c r="I87" s="77" t="n">
        <v>46411</v>
      </c>
      <c r="J87" s="80">
        <f>MIN(E87:I87)-A87</f>
        <v/>
      </c>
      <c r="K87" s="80">
        <f>MAX(E87:I87)-A87</f>
        <v/>
      </c>
      <c r="L87" s="37">
        <f>IF(AND(COUNT(E87:I87)=5,MIN(E87:I87)&gt;=A87,E87&lt;&gt;F87,E87&lt;&gt;G87,E87&lt;&gt;H87,E87&lt;&gt;I87,F87&lt;&gt;G87,F87&lt;&gt;H87,F87&lt;&gt;I87,G87&lt;&gt;H87,G87&lt;&gt;I87,H87&lt;&gt;I87),"PASS","CHECK")</f>
        <v/>
      </c>
      <c r="M87" s="37">
        <f>IF(COUNTIF('LOCAL_REFERENCE'!$D87:$O87,E87)+COUNTIF('LOCAL_REFERENCE'!$D87:$O87,F87)+COUNTIF('LOCAL_REFERENCE'!$D87:$O87,G87)+COUNTIF('LOCAL_REFERENCE'!$D87:$O87,H87)+COUNTIF('LOCAL_REFERENCE'!$D87:$O87,I87)=0,"PASS","DUPLICATE")</f>
        <v/>
      </c>
      <c r="N87" s="37">
        <f>'CRAWL_LOG'!B87</f>
        <v/>
      </c>
      <c r="O87" s="37" t="inlineStr">
        <is>
          <t>Supplementary panel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Official</t>
        </is>
      </c>
      <c r="D88" s="36" t="inlineStr">
        <is>
          <t>00:30</t>
        </is>
      </c>
      <c r="E88" s="77" t="n">
        <v>46345</v>
      </c>
      <c r="F88" s="77" t="n">
        <v>46348</v>
      </c>
      <c r="G88" s="77" t="n">
        <v>46352</v>
      </c>
      <c r="H88" s="77" t="n">
        <v>46365</v>
      </c>
      <c r="I88" s="77" t="n">
        <v>46411</v>
      </c>
      <c r="J88" s="78">
        <f>MIN(E88:I88)-A88</f>
        <v/>
      </c>
      <c r="K88" s="78">
        <f>MAX(E88:I88)-A88</f>
        <v/>
      </c>
      <c r="L88" s="36">
        <f>IF(AND(COUNT(E88:I88)=5,MIN(E88:I88)&gt;=A88,E88&lt;&gt;F88,E88&lt;&gt;G88,E88&lt;&gt;H88,E88&lt;&gt;I88,F88&lt;&gt;G88,F88&lt;&gt;H88,F88&lt;&gt;I88,G88&lt;&gt;H88,G88&lt;&gt;I88,H88&lt;&gt;I88),"PASS","CHECK")</f>
        <v/>
      </c>
      <c r="M88" s="36">
        <f>IF(COUNTIF('LOCAL_REFERENCE'!$D88:$O88,E88)+COUNTIF('LOCAL_REFERENCE'!$D88:$O88,F88)+COUNTIF('LOCAL_REFERENCE'!$D88:$O88,G88)+COUNTIF('LOCAL_REFERENCE'!$D88:$O88,H88)+COUNTIF('LOCAL_REFERENCE'!$D88:$O88,I88)=0,"PASS","DUPLICATE")</f>
        <v/>
      </c>
      <c r="N88" s="36">
        <f>'CRAWL_LOG'!B88</f>
        <v/>
      </c>
      <c r="O88" s="36" t="inlineStr">
        <is>
          <t>Supplementary panel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Official</t>
        </is>
      </c>
      <c r="D89" s="37" t="inlineStr">
        <is>
          <t>00:30</t>
        </is>
      </c>
      <c r="E89" s="77" t="n">
        <v>46345</v>
      </c>
      <c r="F89" s="77" t="n">
        <v>46348</v>
      </c>
      <c r="G89" s="77" t="n">
        <v>46352</v>
      </c>
      <c r="H89" s="77" t="n">
        <v>46365</v>
      </c>
      <c r="I89" s="77" t="n">
        <v>46411</v>
      </c>
      <c r="J89" s="80">
        <f>MIN(E89:I89)-A89</f>
        <v/>
      </c>
      <c r="K89" s="80">
        <f>MAX(E89:I89)-A89</f>
        <v/>
      </c>
      <c r="L89" s="37">
        <f>IF(AND(COUNT(E89:I89)=5,MIN(E89:I89)&gt;=A89,E89&lt;&gt;F89,E89&lt;&gt;G89,E89&lt;&gt;H89,E89&lt;&gt;I89,F89&lt;&gt;G89,F89&lt;&gt;H89,F89&lt;&gt;I89,G89&lt;&gt;H89,G89&lt;&gt;I89,H89&lt;&gt;I89),"PASS","CHECK")</f>
        <v/>
      </c>
      <c r="M89" s="37">
        <f>IF(COUNTIF('LOCAL_REFERENCE'!$D89:$O89,E89)+COUNTIF('LOCAL_REFERENCE'!$D89:$O89,F89)+COUNTIF('LOCAL_REFERENCE'!$D89:$O89,G89)+COUNTIF('LOCAL_REFERENCE'!$D89:$O89,H89)+COUNTIF('LOCAL_REFERENCE'!$D89:$O89,I89)=0,"PASS","DUPLICATE")</f>
        <v/>
      </c>
      <c r="N89" s="37">
        <f>'CRAWL_LOG'!B89</f>
        <v/>
      </c>
      <c r="O89" s="37" t="inlineStr">
        <is>
          <t>Supplementary panel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Official</t>
        </is>
      </c>
      <c r="D90" s="36" t="inlineStr">
        <is>
          <t>00:30</t>
        </is>
      </c>
      <c r="E90" s="77" t="n">
        <v>46345</v>
      </c>
      <c r="F90" s="77" t="n">
        <v>46348</v>
      </c>
      <c r="G90" s="77" t="n">
        <v>46352</v>
      </c>
      <c r="H90" s="77" t="n">
        <v>46365</v>
      </c>
      <c r="I90" s="77" t="n">
        <v>46411</v>
      </c>
      <c r="J90" s="78">
        <f>MIN(E90:I90)-A90</f>
        <v/>
      </c>
      <c r="K90" s="78">
        <f>MAX(E90:I90)-A90</f>
        <v/>
      </c>
      <c r="L90" s="36">
        <f>IF(AND(COUNT(E90:I90)=5,MIN(E90:I90)&gt;=A90,E90&lt;&gt;F90,E90&lt;&gt;G90,E90&lt;&gt;H90,E90&lt;&gt;I90,F90&lt;&gt;G90,F90&lt;&gt;H90,F90&lt;&gt;I90,G90&lt;&gt;H90,G90&lt;&gt;I90,H90&lt;&gt;I90),"PASS","CHECK")</f>
        <v/>
      </c>
      <c r="M90" s="36">
        <f>IF(COUNTIF('LOCAL_REFERENCE'!$D90:$O90,E90)+COUNTIF('LOCAL_REFERENCE'!$D90:$O90,F90)+COUNTIF('LOCAL_REFERENCE'!$D90:$O90,G90)+COUNTIF('LOCAL_REFERENCE'!$D90:$O90,H90)+COUNTIF('LOCAL_REFERENCE'!$D90:$O90,I90)=0,"PASS","DUPLICATE")</f>
        <v/>
      </c>
      <c r="N90" s="36">
        <f>'CRAWL_LOG'!B90</f>
        <v/>
      </c>
      <c r="O90" s="36" t="inlineStr">
        <is>
          <t>Supplementary panel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Official</t>
        </is>
      </c>
      <c r="D91" s="37" t="inlineStr">
        <is>
          <t>00:30</t>
        </is>
      </c>
      <c r="E91" s="77" t="n">
        <v>46345</v>
      </c>
      <c r="F91" s="77" t="n">
        <v>46348</v>
      </c>
      <c r="G91" s="77" t="n">
        <v>46352</v>
      </c>
      <c r="H91" s="77" t="n">
        <v>46365</v>
      </c>
      <c r="I91" s="77" t="n">
        <v>46411</v>
      </c>
      <c r="J91" s="80">
        <f>MIN(E91:I91)-A91</f>
        <v/>
      </c>
      <c r="K91" s="80">
        <f>MAX(E91:I91)-A91</f>
        <v/>
      </c>
      <c r="L91" s="37">
        <f>IF(AND(COUNT(E91:I91)=5,MIN(E91:I91)&gt;=A91,E91&lt;&gt;F91,E91&lt;&gt;G91,E91&lt;&gt;H91,E91&lt;&gt;I91,F91&lt;&gt;G91,F91&lt;&gt;H91,F91&lt;&gt;I91,G91&lt;&gt;H91,G91&lt;&gt;I91,H91&lt;&gt;I91),"PASS","CHECK")</f>
        <v/>
      </c>
      <c r="M91" s="37">
        <f>IF(COUNTIF('LOCAL_REFERENCE'!$D91:$O91,E91)+COUNTIF('LOCAL_REFERENCE'!$D91:$O91,F91)+COUNTIF('LOCAL_REFERENCE'!$D91:$O91,G91)+COUNTIF('LOCAL_REFERENCE'!$D91:$O91,H91)+COUNTIF('LOCAL_REFERENCE'!$D91:$O91,I91)=0,"PASS","DUPLICATE")</f>
        <v/>
      </c>
      <c r="N91" s="37">
        <f>'CRAWL_LOG'!B91</f>
        <v/>
      </c>
      <c r="O91" s="37" t="inlineStr">
        <is>
          <t>Supplementary panel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Official</t>
        </is>
      </c>
      <c r="D92" s="36" t="inlineStr">
        <is>
          <t>00:30</t>
        </is>
      </c>
      <c r="E92" s="77" t="n">
        <v>46373</v>
      </c>
      <c r="F92" s="77" t="n">
        <v>46348</v>
      </c>
      <c r="G92" s="77" t="n">
        <v>46352</v>
      </c>
      <c r="H92" s="77" t="n">
        <v>46365</v>
      </c>
      <c r="I92" s="77" t="n">
        <v>46411</v>
      </c>
      <c r="J92" s="78">
        <f>MIN(E92:I92)-A92</f>
        <v/>
      </c>
      <c r="K92" s="78">
        <f>MAX(E92:I92)-A92</f>
        <v/>
      </c>
      <c r="L92" s="36">
        <f>IF(AND(COUNT(E92:I92)=5,MIN(E92:I92)&gt;=A92,E92&lt;&gt;F92,E92&lt;&gt;G92,E92&lt;&gt;H92,E92&lt;&gt;I92,F92&lt;&gt;G92,F92&lt;&gt;H92,F92&lt;&gt;I92,G92&lt;&gt;H92,G92&lt;&gt;I92,H92&lt;&gt;I92),"PASS","CHECK")</f>
        <v/>
      </c>
      <c r="M92" s="36">
        <f>IF(COUNTIF('LOCAL_REFERENCE'!$D92:$O92,E92)+COUNTIF('LOCAL_REFERENCE'!$D92:$O92,F92)+COUNTIF('LOCAL_REFERENCE'!$D92:$O92,G92)+COUNTIF('LOCAL_REFERENCE'!$D92:$O92,H92)+COUNTIF('LOCAL_REFERENCE'!$D92:$O92,I92)=0,"PASS","DUPLICATE")</f>
        <v/>
      </c>
      <c r="N92" s="36">
        <f>'CRAWL_LOG'!B92</f>
        <v/>
      </c>
      <c r="O92" s="36" t="inlineStr">
        <is>
          <t>Supplementary panel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Official</t>
        </is>
      </c>
      <c r="D93" s="37" t="inlineStr">
        <is>
          <t>00:30</t>
        </is>
      </c>
      <c r="E93" s="77" t="n">
        <v>46373</v>
      </c>
      <c r="F93" s="77" t="n">
        <v>46348</v>
      </c>
      <c r="G93" s="77" t="n">
        <v>46352</v>
      </c>
      <c r="H93" s="77" t="n">
        <v>46365</v>
      </c>
      <c r="I93" s="77" t="n">
        <v>46411</v>
      </c>
      <c r="J93" s="80">
        <f>MIN(E93:I93)-A93</f>
        <v/>
      </c>
      <c r="K93" s="80">
        <f>MAX(E93:I93)-A93</f>
        <v/>
      </c>
      <c r="L93" s="37">
        <f>IF(AND(COUNT(E93:I93)=5,MIN(E93:I93)&gt;=A93,E93&lt;&gt;F93,E93&lt;&gt;G93,E93&lt;&gt;H93,E93&lt;&gt;I93,F93&lt;&gt;G93,F93&lt;&gt;H93,F93&lt;&gt;I93,G93&lt;&gt;H93,G93&lt;&gt;I93,H93&lt;&gt;I93),"PASS","CHECK")</f>
        <v/>
      </c>
      <c r="M93" s="37">
        <f>IF(COUNTIF('LOCAL_REFERENCE'!$D93:$O93,E93)+COUNTIF('LOCAL_REFERENCE'!$D93:$O93,F93)+COUNTIF('LOCAL_REFERENCE'!$D93:$O93,G93)+COUNTIF('LOCAL_REFERENCE'!$D93:$O93,H93)+COUNTIF('LOCAL_REFERENCE'!$D93:$O93,I93)=0,"PASS","DUPLICATE")</f>
        <v/>
      </c>
      <c r="N93" s="37">
        <f>'CRAWL_LOG'!B93</f>
        <v/>
      </c>
      <c r="O93" s="37" t="inlineStr">
        <is>
          <t>Supplementary panel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Official</t>
        </is>
      </c>
      <c r="D94" s="36" t="inlineStr">
        <is>
          <t>00:30</t>
        </is>
      </c>
      <c r="E94" s="77" t="n">
        <v>46373</v>
      </c>
      <c r="F94" s="77" t="n">
        <v>46348</v>
      </c>
      <c r="G94" s="77" t="n">
        <v>46352</v>
      </c>
      <c r="H94" s="77" t="n">
        <v>46365</v>
      </c>
      <c r="I94" s="77" t="n">
        <v>46411</v>
      </c>
      <c r="J94" s="78">
        <f>MIN(E94:I94)-A94</f>
        <v/>
      </c>
      <c r="K94" s="78">
        <f>MAX(E94:I94)-A94</f>
        <v/>
      </c>
      <c r="L94" s="36">
        <f>IF(AND(COUNT(E94:I94)=5,MIN(E94:I94)&gt;=A94,E94&lt;&gt;F94,E94&lt;&gt;G94,E94&lt;&gt;H94,E94&lt;&gt;I94,F94&lt;&gt;G94,F94&lt;&gt;H94,F94&lt;&gt;I94,G94&lt;&gt;H94,G94&lt;&gt;I94,H94&lt;&gt;I94),"PASS","CHECK")</f>
        <v/>
      </c>
      <c r="M94" s="36">
        <f>IF(COUNTIF('LOCAL_REFERENCE'!$D94:$O94,E94)+COUNTIF('LOCAL_REFERENCE'!$D94:$O94,F94)+COUNTIF('LOCAL_REFERENCE'!$D94:$O94,G94)+COUNTIF('LOCAL_REFERENCE'!$D94:$O94,H94)+COUNTIF('LOCAL_REFERENCE'!$D94:$O94,I94)=0,"PASS","DUPLICATE")</f>
        <v/>
      </c>
      <c r="N94" s="36">
        <f>'CRAWL_LOG'!B94</f>
        <v/>
      </c>
      <c r="O94" s="36" t="inlineStr">
        <is>
          <t>Supplementary panel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Official</t>
        </is>
      </c>
      <c r="D95" s="37" t="inlineStr">
        <is>
          <t>00:30</t>
        </is>
      </c>
      <c r="E95" s="77" t="n">
        <v>46373</v>
      </c>
      <c r="F95" s="77" t="n">
        <v>46376</v>
      </c>
      <c r="G95" s="77" t="n">
        <v>46352</v>
      </c>
      <c r="H95" s="77" t="n">
        <v>46365</v>
      </c>
      <c r="I95" s="77" t="n">
        <v>46411</v>
      </c>
      <c r="J95" s="80">
        <f>MIN(E95:I95)-A95</f>
        <v/>
      </c>
      <c r="K95" s="80">
        <f>MAX(E95:I95)-A95</f>
        <v/>
      </c>
      <c r="L95" s="37">
        <f>IF(AND(COUNT(E95:I95)=5,MIN(E95:I95)&gt;=A95,E95&lt;&gt;F95,E95&lt;&gt;G95,E95&lt;&gt;H95,E95&lt;&gt;I95,F95&lt;&gt;G95,F95&lt;&gt;H95,F95&lt;&gt;I95,G95&lt;&gt;H95,G95&lt;&gt;I95,H95&lt;&gt;I95),"PASS","CHECK")</f>
        <v/>
      </c>
      <c r="M95" s="37">
        <f>IF(COUNTIF('LOCAL_REFERENCE'!$D95:$O95,E95)+COUNTIF('LOCAL_REFERENCE'!$D95:$O95,F95)+COUNTIF('LOCAL_REFERENCE'!$D95:$O95,G95)+COUNTIF('LOCAL_REFERENCE'!$D95:$O95,H95)+COUNTIF('LOCAL_REFERENCE'!$D95:$O95,I95)=0,"PASS","DUPLICATE")</f>
        <v/>
      </c>
      <c r="N95" s="37">
        <f>'CRAWL_LOG'!B95</f>
        <v/>
      </c>
      <c r="O95" s="37" t="inlineStr">
        <is>
          <t>Supplementary panel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Official</t>
        </is>
      </c>
      <c r="D96" s="36" t="inlineStr">
        <is>
          <t>00:30</t>
        </is>
      </c>
      <c r="E96" s="77" t="n">
        <v>46373</v>
      </c>
      <c r="F96" s="77" t="n">
        <v>46376</v>
      </c>
      <c r="G96" s="77" t="n">
        <v>46352</v>
      </c>
      <c r="H96" s="77" t="n">
        <v>46365</v>
      </c>
      <c r="I96" s="77" t="n">
        <v>46411</v>
      </c>
      <c r="J96" s="78">
        <f>MIN(E96:I96)-A96</f>
        <v/>
      </c>
      <c r="K96" s="78">
        <f>MAX(E96:I96)-A96</f>
        <v/>
      </c>
      <c r="L96" s="36">
        <f>IF(AND(COUNT(E96:I96)=5,MIN(E96:I96)&gt;=A96,E96&lt;&gt;F96,E96&lt;&gt;G96,E96&lt;&gt;H96,E96&lt;&gt;I96,F96&lt;&gt;G96,F96&lt;&gt;H96,F96&lt;&gt;I96,G96&lt;&gt;H96,G96&lt;&gt;I96,H96&lt;&gt;I96),"PASS","CHECK")</f>
        <v/>
      </c>
      <c r="M96" s="36">
        <f>IF(COUNTIF('LOCAL_REFERENCE'!$D96:$O96,E96)+COUNTIF('LOCAL_REFERENCE'!$D96:$O96,F96)+COUNTIF('LOCAL_REFERENCE'!$D96:$O96,G96)+COUNTIF('LOCAL_REFERENCE'!$D96:$O96,H96)+COUNTIF('LOCAL_REFERENCE'!$D96:$O96,I96)=0,"PASS","DUPLICATE")</f>
        <v/>
      </c>
      <c r="N96" s="36">
        <f>'CRAWL_LOG'!B96</f>
        <v/>
      </c>
      <c r="O96" s="36" t="inlineStr">
        <is>
          <t>Supplementary panel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Official</t>
        </is>
      </c>
      <c r="D97" s="37" t="inlineStr">
        <is>
          <t>00:30</t>
        </is>
      </c>
      <c r="E97" s="77" t="n">
        <v>46373</v>
      </c>
      <c r="F97" s="77" t="n">
        <v>46376</v>
      </c>
      <c r="G97" s="77" t="n">
        <v>46352</v>
      </c>
      <c r="H97" s="77" t="n">
        <v>46365</v>
      </c>
      <c r="I97" s="77" t="n">
        <v>46411</v>
      </c>
      <c r="J97" s="80">
        <f>MIN(E97:I97)-A97</f>
        <v/>
      </c>
      <c r="K97" s="80">
        <f>MAX(E97:I97)-A97</f>
        <v/>
      </c>
      <c r="L97" s="37">
        <f>IF(AND(COUNT(E97:I97)=5,MIN(E97:I97)&gt;=A97,E97&lt;&gt;F97,E97&lt;&gt;G97,E97&lt;&gt;H97,E97&lt;&gt;I97,F97&lt;&gt;G97,F97&lt;&gt;H97,F97&lt;&gt;I97,G97&lt;&gt;H97,G97&lt;&gt;I97,H97&lt;&gt;I97),"PASS","CHECK")</f>
        <v/>
      </c>
      <c r="M97" s="37">
        <f>IF(COUNTIF('LOCAL_REFERENCE'!$D97:$O97,E97)+COUNTIF('LOCAL_REFERENCE'!$D97:$O97,F97)+COUNTIF('LOCAL_REFERENCE'!$D97:$O97,G97)+COUNTIF('LOCAL_REFERENCE'!$D97:$O97,H97)+COUNTIF('LOCAL_REFERENCE'!$D97:$O97,I97)=0,"PASS","DUPLICATE")</f>
        <v/>
      </c>
      <c r="N97" s="37">
        <f>'CRAWL_LOG'!B97</f>
        <v/>
      </c>
      <c r="O97" s="37" t="inlineStr">
        <is>
          <t>Supplementary panel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Official</t>
        </is>
      </c>
      <c r="D98" s="36" t="inlineStr">
        <is>
          <t>00:30</t>
        </is>
      </c>
      <c r="E98" s="77" t="n">
        <v>46373</v>
      </c>
      <c r="F98" s="77" t="n">
        <v>46376</v>
      </c>
      <c r="G98" s="77" t="n">
        <v>46352</v>
      </c>
      <c r="H98" s="77" t="n">
        <v>46365</v>
      </c>
      <c r="I98" s="77" t="n">
        <v>46411</v>
      </c>
      <c r="J98" s="78">
        <f>MIN(E98:I98)-A98</f>
        <v/>
      </c>
      <c r="K98" s="78">
        <f>MAX(E98:I98)-A98</f>
        <v/>
      </c>
      <c r="L98" s="36">
        <f>IF(AND(COUNT(E98:I98)=5,MIN(E98:I98)&gt;=A98,E98&lt;&gt;F98,E98&lt;&gt;G98,E98&lt;&gt;H98,E98&lt;&gt;I98,F98&lt;&gt;G98,F98&lt;&gt;H98,F98&lt;&gt;I98,G98&lt;&gt;H98,G98&lt;&gt;I98,H98&lt;&gt;I98),"PASS","CHECK")</f>
        <v/>
      </c>
      <c r="M98" s="36">
        <f>IF(COUNTIF('LOCAL_REFERENCE'!$D98:$O98,E98)+COUNTIF('LOCAL_REFERENCE'!$D98:$O98,F98)+COUNTIF('LOCAL_REFERENCE'!$D98:$O98,G98)+COUNTIF('LOCAL_REFERENCE'!$D98:$O98,H98)+COUNTIF('LOCAL_REFERENCE'!$D98:$O98,I98)=0,"PASS","DUPLICATE")</f>
        <v/>
      </c>
      <c r="N98" s="36">
        <f>'CRAWL_LOG'!B98</f>
        <v/>
      </c>
      <c r="O98" s="36" t="inlineStr">
        <is>
          <t>Supplementary panel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Official</t>
        </is>
      </c>
      <c r="D99" s="37" t="inlineStr">
        <is>
          <t>00:30</t>
        </is>
      </c>
      <c r="E99" s="77" t="n">
        <v>46373</v>
      </c>
      <c r="F99" s="77" t="n">
        <v>46376</v>
      </c>
      <c r="G99" s="77" t="n">
        <v>46380</v>
      </c>
      <c r="H99" s="77" t="n">
        <v>46365</v>
      </c>
      <c r="I99" s="77" t="n">
        <v>46411</v>
      </c>
      <c r="J99" s="80">
        <f>MIN(E99:I99)-A99</f>
        <v/>
      </c>
      <c r="K99" s="80">
        <f>MAX(E99:I99)-A99</f>
        <v/>
      </c>
      <c r="L99" s="37">
        <f>IF(AND(COUNT(E99:I99)=5,MIN(E99:I99)&gt;=A99,E99&lt;&gt;F99,E99&lt;&gt;G99,E99&lt;&gt;H99,E99&lt;&gt;I99,F99&lt;&gt;G99,F99&lt;&gt;H99,F99&lt;&gt;I99,G99&lt;&gt;H99,G99&lt;&gt;I99,H99&lt;&gt;I99),"PASS","CHECK")</f>
        <v/>
      </c>
      <c r="M99" s="37">
        <f>IF(COUNTIF('LOCAL_REFERENCE'!$D99:$O99,E99)+COUNTIF('LOCAL_REFERENCE'!$D99:$O99,F99)+COUNTIF('LOCAL_REFERENCE'!$D99:$O99,G99)+COUNTIF('LOCAL_REFERENCE'!$D99:$O99,H99)+COUNTIF('LOCAL_REFERENCE'!$D99:$O99,I99)=0,"PASS","DUPLICATE")</f>
        <v/>
      </c>
      <c r="N99" s="37">
        <f>'CRAWL_LOG'!B99</f>
        <v/>
      </c>
      <c r="O99" s="37" t="inlineStr">
        <is>
          <t>Supplementary panel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Official</t>
        </is>
      </c>
      <c r="D100" s="36" t="inlineStr">
        <is>
          <t>00:30</t>
        </is>
      </c>
      <c r="E100" s="77" t="n">
        <v>46373</v>
      </c>
      <c r="F100" s="77" t="n">
        <v>46376</v>
      </c>
      <c r="G100" s="77" t="n">
        <v>46380</v>
      </c>
      <c r="H100" s="77" t="n">
        <v>46365</v>
      </c>
      <c r="I100" s="77" t="n">
        <v>46411</v>
      </c>
      <c r="J100" s="78">
        <f>MIN(E100:I100)-A100</f>
        <v/>
      </c>
      <c r="K100" s="78">
        <f>MAX(E100:I100)-A100</f>
        <v/>
      </c>
      <c r="L100" s="36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36">
        <f>IF(COUNTIF('LOCAL_REFERENCE'!$D100:$O100,E100)+COUNTIF('LOCAL_REFERENCE'!$D100:$O100,F100)+COUNTIF('LOCAL_REFERENCE'!$D100:$O100,G100)+COUNTIF('LOCAL_REFERENCE'!$D100:$O100,H100)+COUNTIF('LOCAL_REFERENCE'!$D100:$O100,I100)=0,"PASS","DUPLICATE")</f>
        <v/>
      </c>
      <c r="N100" s="36">
        <f>'CRAWL_LOG'!B100</f>
        <v/>
      </c>
      <c r="O100" s="36" t="inlineStr">
        <is>
          <t>Supplementary panel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Official</t>
        </is>
      </c>
      <c r="D101" s="37" t="inlineStr">
        <is>
          <t>00:30</t>
        </is>
      </c>
      <c r="E101" s="77" t="n">
        <v>46373</v>
      </c>
      <c r="F101" s="77" t="n">
        <v>46376</v>
      </c>
      <c r="G101" s="77" t="n">
        <v>46380</v>
      </c>
      <c r="H101" s="77" t="n">
        <v>46365</v>
      </c>
      <c r="I101" s="77" t="n">
        <v>46411</v>
      </c>
      <c r="J101" s="80">
        <f>MIN(E101:I101)-A101</f>
        <v/>
      </c>
      <c r="K101" s="80">
        <f>MAX(E101:I101)-A101</f>
        <v/>
      </c>
      <c r="L101" s="37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37">
        <f>IF(COUNTIF('LOCAL_REFERENCE'!$D101:$O101,E101)+COUNTIF('LOCAL_REFERENCE'!$D101:$O101,F101)+COUNTIF('LOCAL_REFERENCE'!$D101:$O101,G101)+COUNTIF('LOCAL_REFERENCE'!$D101:$O101,H101)+COUNTIF('LOCAL_REFERENCE'!$D101:$O101,I101)=0,"PASS","DUPLICATE")</f>
        <v/>
      </c>
      <c r="N101" s="37">
        <f>'CRAWL_LOG'!B101</f>
        <v/>
      </c>
      <c r="O101" s="37" t="inlineStr">
        <is>
          <t>Supplementary panel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Official</t>
        </is>
      </c>
      <c r="D102" s="36" t="inlineStr">
        <is>
          <t>00:30</t>
        </is>
      </c>
      <c r="E102" s="77" t="n">
        <v>46373</v>
      </c>
      <c r="F102" s="77" t="n">
        <v>46376</v>
      </c>
      <c r="G102" s="77" t="n">
        <v>46380</v>
      </c>
      <c r="H102" s="77" t="n">
        <v>46365</v>
      </c>
      <c r="I102" s="77" t="n">
        <v>46411</v>
      </c>
      <c r="J102" s="78">
        <f>MIN(E102:I102)-A102</f>
        <v/>
      </c>
      <c r="K102" s="78">
        <f>MAX(E102:I102)-A102</f>
        <v/>
      </c>
      <c r="L102" s="36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36">
        <f>IF(COUNTIF('LOCAL_REFERENCE'!$D102:$O102,E102)+COUNTIF('LOCAL_REFERENCE'!$D102:$O102,F102)+COUNTIF('LOCAL_REFERENCE'!$D102:$O102,G102)+COUNTIF('LOCAL_REFERENCE'!$D102:$O102,H102)+COUNTIF('LOCAL_REFERENCE'!$D102:$O102,I102)=0,"PASS","DUPLICATE")</f>
        <v/>
      </c>
      <c r="N102" s="36">
        <f>'CRAWL_LOG'!B102</f>
        <v/>
      </c>
      <c r="O102" s="36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9" customWidth="1" min="4" max="4"/>
    <col width="19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8" customWidth="1" min="17" max="17"/>
  </cols>
  <sheetData>
    <row r="1" ht="28" customHeight="1">
      <c r="A1" s="4" t="inlineStr">
        <is>
          <t>VPS CRAWL LOG — MỖI NGÀY MỘT DÒNG</t>
        </is>
      </c>
    </row>
    <row r="2">
      <c r="A2" s="35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>
      <c r="A3" s="10" t="inlineStr">
        <is>
          <t>Crawl date</t>
        </is>
      </c>
      <c r="B3" s="10" t="inlineStr">
        <is>
          <t>Status</t>
        </is>
      </c>
      <c r="C3" s="10" t="inlineStr">
        <is>
          <t>Run IDs</t>
        </is>
      </c>
      <c r="D3" s="10" t="inlineStr">
        <is>
          <t>Started at</t>
        </is>
      </c>
      <c r="E3" s="10" t="inlineStr">
        <is>
          <t>Finished at</t>
        </is>
      </c>
      <c r="F3" s="10" t="inlineStr">
        <is>
          <t>Duration (hours)</t>
        </is>
      </c>
      <c r="G3" s="10" t="inlineStr">
        <is>
          <t>Total items</t>
        </is>
      </c>
      <c r="H3" s="10" t="inlineStr">
        <is>
          <t>Processed</t>
        </is>
      </c>
      <c r="I3" s="10" t="inlineStr">
        <is>
          <t>Success</t>
        </is>
      </c>
      <c r="J3" s="10" t="inlineStr">
        <is>
          <t>Partial</t>
        </is>
      </c>
      <c r="K3" s="10" t="inlineStr">
        <is>
          <t>Sold out</t>
        </is>
      </c>
      <c r="L3" s="10" t="inlineStr">
        <is>
          <t>Not bookable</t>
        </is>
      </c>
      <c r="M3" s="10" t="inlineStr">
        <is>
          <t>Error</t>
        </is>
      </c>
      <c r="N3" s="10" t="inlineStr">
        <is>
          <t>Valid records</t>
        </is>
      </c>
      <c r="O3" s="10" t="inlineStr">
        <is>
          <t>Check-in count</t>
        </is>
      </c>
      <c r="P3" s="10" t="inlineStr">
        <is>
          <t>Environment</t>
        </is>
      </c>
      <c r="Q3" s="10" t="inlineStr">
        <is>
          <t>Notes</t>
        </is>
      </c>
    </row>
    <row r="4">
      <c r="A4" s="76" t="n">
        <v>46258</v>
      </c>
      <c r="B4" s="36" t="inlineStr">
        <is>
          <t>Hoàn thành</t>
        </is>
      </c>
      <c r="C4" s="36" t="inlineStr">
        <is>
          <t>1</t>
        </is>
      </c>
      <c r="D4" s="89" t="n">
        <v>46258.02627314815</v>
      </c>
      <c r="E4" s="89" t="n">
        <v>46258.71729166667</v>
      </c>
      <c r="F4" s="82">
        <f>IF(OR(D4="",E4=""),"",24*(E4-D4))</f>
        <v/>
      </c>
      <c r="G4" s="83" t="n">
        <v>1775</v>
      </c>
      <c r="H4" s="83" t="n">
        <v>1775</v>
      </c>
      <c r="I4" s="83" t="n">
        <v>1525</v>
      </c>
      <c r="J4" s="83" t="n">
        <v>0</v>
      </c>
      <c r="K4" s="83" t="n">
        <v>245</v>
      </c>
      <c r="L4" s="83" t="n">
        <v>5</v>
      </c>
      <c r="M4" s="83" t="n">
        <v>0</v>
      </c>
      <c r="N4" s="83" t="n">
        <v>13709</v>
      </c>
      <c r="O4" s="83" t="n">
        <v>5</v>
      </c>
      <c r="P4" s="36" t="inlineStr">
        <is>
          <t>vps</t>
        </is>
      </c>
      <c r="Q4" s="36" t="inlineStr">
        <is>
          <t>Manual run #1 trên deploy; đúng 5 ngày VPS; artifact không lưu; scraper 2.3.0</t>
        </is>
      </c>
    </row>
    <row r="5">
      <c r="A5" s="79" t="n">
        <v>46259</v>
      </c>
      <c r="B5" s="37" t="inlineStr">
        <is>
          <t>Hoàn thành</t>
        </is>
      </c>
      <c r="C5" s="37" t="inlineStr">
        <is>
          <t>2</t>
        </is>
      </c>
      <c r="D5" s="90" t="n">
        <v>46259.03542824074</v>
      </c>
      <c r="E5" s="90" t="n">
        <v>46259.75431712963</v>
      </c>
      <c r="F5" s="85">
        <f>IF(OR(D5="",E5=""),"",24*(E5-D5))</f>
        <v/>
      </c>
      <c r="G5" s="86" t="n">
        <v>1775</v>
      </c>
      <c r="H5" s="86" t="n">
        <v>1775</v>
      </c>
      <c r="I5" s="86" t="n">
        <v>1515</v>
      </c>
      <c r="J5" s="86" t="n">
        <v>0</v>
      </c>
      <c r="K5" s="86" t="n">
        <v>255</v>
      </c>
      <c r="L5" s="86" t="n">
        <v>5</v>
      </c>
      <c r="M5" s="86" t="n">
        <v>0</v>
      </c>
      <c r="N5" s="86" t="n">
        <v>13327</v>
      </c>
      <c r="O5" s="86" t="n">
        <v>5</v>
      </c>
      <c r="P5" s="37" t="inlineStr">
        <is>
          <t>vps</t>
        </is>
      </c>
      <c r="Q5" s="37" t="inlineStr">
        <is>
          <t>Run ID 2; deploy https://hotel.projecthub.io.vn/; artifact off; scraper_version 2.3.0; terminal API status completed</t>
        </is>
      </c>
    </row>
    <row r="6">
      <c r="A6" s="76" t="n">
        <v>46260</v>
      </c>
      <c r="B6" s="36" t="inlineStr">
        <is>
          <t>Hoàn thành</t>
        </is>
      </c>
      <c r="C6" s="36" t="inlineStr">
        <is>
          <t>3</t>
        </is>
      </c>
      <c r="D6" s="89" t="n">
        <v>46260.0284375</v>
      </c>
      <c r="E6" s="89" t="n">
        <v>46260.77434027778</v>
      </c>
      <c r="F6" s="82" t="n">
        <v>17.90166666666667</v>
      </c>
      <c r="G6" s="83" t="n">
        <v>1775</v>
      </c>
      <c r="H6" s="83" t="n">
        <v>1775</v>
      </c>
      <c r="I6" s="83" t="n">
        <v>1506</v>
      </c>
      <c r="J6" s="83" t="n">
        <v>0</v>
      </c>
      <c r="K6" s="83" t="n">
        <v>264</v>
      </c>
      <c r="L6" s="83" t="n">
        <v>5</v>
      </c>
      <c r="M6" s="83" t="n">
        <v>0</v>
      </c>
      <c r="N6" s="83" t="n">
        <v>13245</v>
      </c>
      <c r="O6" s="83" t="n">
        <v>5</v>
      </c>
      <c r="P6" s="36" t="inlineStr">
        <is>
          <t>vps</t>
        </is>
      </c>
      <c r="Q6" s="36" t="inlineStr">
        <is>
          <t>Run ID 3; deploy https://hotel.projecthub.io.vn/; artifact off; scraper_version 2.3.0; terminal API status completed</t>
        </is>
      </c>
    </row>
    <row r="7">
      <c r="A7" s="79" t="n">
        <v>46261</v>
      </c>
      <c r="B7" s="37" t="inlineStr">
        <is>
          <t>Hoàn thành có lỗi</t>
        </is>
      </c>
      <c r="C7" s="37" t="inlineStr">
        <is>
          <t>4</t>
        </is>
      </c>
      <c r="D7" s="90" t="n">
        <v>46261.02307870371</v>
      </c>
      <c r="E7" s="90" t="n">
        <v>46261.93287037037</v>
      </c>
      <c r="F7" s="85" t="n">
        <v>21.83499999996275</v>
      </c>
      <c r="G7" s="86" t="n">
        <v>1775</v>
      </c>
      <c r="H7" s="86" t="n">
        <v>1775</v>
      </c>
      <c r="I7" s="86" t="n">
        <v>1544</v>
      </c>
      <c r="J7" s="86" t="n">
        <v>0</v>
      </c>
      <c r="K7" s="86" t="n">
        <v>186</v>
      </c>
      <c r="L7" s="86" t="n">
        <v>35</v>
      </c>
      <c r="M7" s="86" t="n">
        <v>10</v>
      </c>
      <c r="N7" s="86" t="n">
        <v>14080</v>
      </c>
      <c r="O7" s="86" t="n">
        <v>5</v>
      </c>
      <c r="P7" s="37" t="inlineStr">
        <is>
          <t>vps</t>
        </is>
      </c>
      <c r="Q7" s="37" t="inlineStr">
        <is>
          <t>Run ID 4; deploy https://hotel.projecthub.io.vn/; artifact off; scraper_version 2.3.0; terminal API status completed</t>
        </is>
      </c>
    </row>
    <row r="8">
      <c r="A8" s="76" t="n">
        <v>46262</v>
      </c>
      <c r="B8" s="36" t="inlineStr">
        <is>
          <t>Hoàn thành có lỗi</t>
        </is>
      </c>
      <c r="C8" s="36" t="inlineStr">
        <is>
          <t>5</t>
        </is>
      </c>
      <c r="D8" s="89" t="n">
        <v>46262.03721064814</v>
      </c>
      <c r="E8" s="89" t="n">
        <v>46262.85714120371</v>
      </c>
      <c r="F8" s="82" t="n">
        <v>19.67833333333333</v>
      </c>
      <c r="G8" s="83" t="n">
        <v>1775</v>
      </c>
      <c r="H8" s="83" t="n">
        <v>1775</v>
      </c>
      <c r="I8" s="83" t="n">
        <v>1495</v>
      </c>
      <c r="J8" s="83" t="n">
        <v>0</v>
      </c>
      <c r="K8" s="83" t="n">
        <v>235</v>
      </c>
      <c r="L8" s="83" t="n">
        <v>40</v>
      </c>
      <c r="M8" s="83" t="n">
        <v>5</v>
      </c>
      <c r="N8" s="83" t="n">
        <v>13016</v>
      </c>
      <c r="O8" s="83" t="n">
        <v>5</v>
      </c>
      <c r="P8" s="36" t="inlineStr">
        <is>
          <t>vps</t>
        </is>
      </c>
      <c r="Q8" s="36" t="inlineStr">
        <is>
          <t>Run ID 5; deploy https://hotel.projecthub.io.vn/; artifact off; scraper_version 2.3.0; terminal completed</t>
        </is>
      </c>
    </row>
    <row r="9">
      <c r="A9" s="79" t="n">
        <v>46263</v>
      </c>
      <c r="B9" s="37" t="inlineStr">
        <is>
          <t>Hoàn thành có lỗi</t>
        </is>
      </c>
      <c r="C9" s="37" t="inlineStr">
        <is>
          <t>6</t>
        </is>
      </c>
      <c r="D9" s="90" t="n">
        <v>46262.73239583334</v>
      </c>
      <c r="E9" s="90" t="n">
        <v>46263.90916666666</v>
      </c>
      <c r="F9" s="85" t="n">
        <v>28.2424999998766</v>
      </c>
      <c r="G9" s="86" t="n">
        <v>1775</v>
      </c>
      <c r="H9" s="86" t="n">
        <v>1775</v>
      </c>
      <c r="I9" s="86" t="n">
        <v>1569</v>
      </c>
      <c r="J9" s="86" t="n">
        <v>0</v>
      </c>
      <c r="K9" s="86" t="n">
        <v>166</v>
      </c>
      <c r="L9" s="86" t="n">
        <v>35</v>
      </c>
      <c r="M9" s="86" t="n">
        <v>5</v>
      </c>
      <c r="N9" s="86" t="n">
        <v>15195</v>
      </c>
      <c r="O9" s="86" t="n">
        <v>5</v>
      </c>
      <c r="P9" s="37" t="inlineStr">
        <is>
          <t>vps</t>
        </is>
      </c>
      <c r="Q9" s="37" t="inlineStr">
        <is>
          <t>Run ID 6; deploy https://hotel.projecthub.io.vn/; artifact off; scraper_version 2.3.0; terminal API status completed</t>
        </is>
      </c>
    </row>
    <row r="10">
      <c r="A10" s="76" t="n">
        <v>46264</v>
      </c>
      <c r="B10" s="36" t="inlineStr">
        <is>
          <t>Hoàn thành có lỗi</t>
        </is>
      </c>
      <c r="C10" s="36" t="inlineStr">
        <is>
          <t>7</t>
        </is>
      </c>
      <c r="D10" s="89" t="n">
        <v>46263.73232638889</v>
      </c>
      <c r="E10" s="89" t="n">
        <v>46264.50788194445</v>
      </c>
      <c r="F10" s="82" t="n">
        <v>18.61333333333333</v>
      </c>
      <c r="G10" s="83" t="n">
        <v>1775</v>
      </c>
      <c r="H10" s="83" t="n">
        <v>1775</v>
      </c>
      <c r="I10" s="83" t="n">
        <v>1475</v>
      </c>
      <c r="J10" s="83" t="n">
        <v>0</v>
      </c>
      <c r="K10" s="83" t="n">
        <v>265</v>
      </c>
      <c r="L10" s="83" t="n">
        <v>30</v>
      </c>
      <c r="M10" s="83" t="n">
        <v>5</v>
      </c>
      <c r="N10" s="83" t="n">
        <v>12987</v>
      </c>
      <c r="O10" s="83" t="n">
        <v>5</v>
      </c>
      <c r="P10" s="36" t="inlineStr">
        <is>
          <t>vps</t>
        </is>
      </c>
      <c r="Q10" s="36" t="inlineStr">
        <is>
          <t>Run ID 7; deploy https://hotel.projecthub.io.vn/; artifact off; scraper_version 2.3.0; terminal API status completed</t>
        </is>
      </c>
    </row>
    <row r="11">
      <c r="A11" s="79" t="n">
        <v>46265</v>
      </c>
      <c r="B11" s="37" t="inlineStr">
        <is>
          <t>Hoàn thành có lỗi</t>
        </is>
      </c>
      <c r="C11" s="37" t="inlineStr">
        <is>
          <t>8</t>
        </is>
      </c>
      <c r="D11" s="90" t="n">
        <v>46264.73168981481</v>
      </c>
      <c r="E11" s="90" t="n">
        <v>46265.57034722222</v>
      </c>
      <c r="F11" s="85" t="n">
        <v>20.12777777777778</v>
      </c>
      <c r="G11" s="86" t="n">
        <v>1775</v>
      </c>
      <c r="H11" s="86" t="n">
        <v>1775</v>
      </c>
      <c r="I11" s="86" t="n">
        <v>1569</v>
      </c>
      <c r="J11" s="86" t="n">
        <v>0</v>
      </c>
      <c r="K11" s="86" t="n">
        <v>171</v>
      </c>
      <c r="L11" s="86" t="n">
        <v>30</v>
      </c>
      <c r="M11" s="86" t="n">
        <v>5</v>
      </c>
      <c r="N11" s="86" t="n">
        <v>15130</v>
      </c>
      <c r="O11" s="86" t="n">
        <v>5</v>
      </c>
      <c r="P11" s="37" t="inlineStr">
        <is>
          <t>vps</t>
        </is>
      </c>
      <c r="Q11" s="37" t="inlineStr">
        <is>
          <t>Run ID 8; deploy https://hotel.projecthub.io.vn/; artifact off; scraper_version 2.3.0; terminal API completed; items pagination 1775; saved_options_count 15130.</t>
        </is>
      </c>
    </row>
    <row r="12">
      <c r="A12" s="76" t="n">
        <v>46266</v>
      </c>
      <c r="B12" s="36" t="inlineStr">
        <is>
          <t>Hoàn thành có lỗi</t>
        </is>
      </c>
      <c r="C12" s="36" t="inlineStr">
        <is>
          <t>9</t>
        </is>
      </c>
      <c r="D12" s="89" t="n">
        <v>46265.73229166667</v>
      </c>
      <c r="E12" s="89" t="n">
        <v>46266.5821412037</v>
      </c>
      <c r="F12" s="82" t="n">
        <v>20.39638888888889</v>
      </c>
      <c r="G12" s="83" t="n">
        <v>1775</v>
      </c>
      <c r="H12" s="83" t="n">
        <v>1775</v>
      </c>
      <c r="I12" s="83" t="n">
        <v>1578</v>
      </c>
      <c r="J12" s="83" t="n">
        <v>0</v>
      </c>
      <c r="K12" s="83" t="n">
        <v>162</v>
      </c>
      <c r="L12" s="83" t="n">
        <v>30</v>
      </c>
      <c r="M12" s="83" t="n">
        <v>5</v>
      </c>
      <c r="N12" s="83" t="n">
        <v>15196</v>
      </c>
      <c r="O12" s="83" t="n">
        <v>5</v>
      </c>
      <c r="P12" s="36" t="inlineStr">
        <is>
          <t>vps</t>
        </is>
      </c>
      <c r="Q12" s="36" t="inlineStr">
        <is>
          <t>Run ID 9; deploy https://hotel.projecthub.io.vn/; artifact off; scraper_version 2.3.0; terminal API status completed; items pagination 1775; saved_options_count 15196.</t>
        </is>
      </c>
    </row>
    <row r="13">
      <c r="A13" s="79" t="n">
        <v>46267</v>
      </c>
      <c r="B13" s="37" t="inlineStr">
        <is>
          <t>Hoàn thành có lỗi</t>
        </is>
      </c>
      <c r="C13" s="37" t="n">
        <v>10</v>
      </c>
      <c r="D13" s="90" t="n">
        <v>46267.02332175926</v>
      </c>
      <c r="E13" s="90" t="n">
        <v>46267.89032407408</v>
      </c>
      <c r="F13" s="85" t="n">
        <v>20.8080555556</v>
      </c>
      <c r="G13" s="86" t="n">
        <v>1775</v>
      </c>
      <c r="H13" s="86" t="n">
        <v>1775</v>
      </c>
      <c r="I13" s="86" t="n">
        <v>1580</v>
      </c>
      <c r="J13" s="86" t="n">
        <v>0</v>
      </c>
      <c r="K13" s="86" t="n">
        <v>160</v>
      </c>
      <c r="L13" s="86" t="n">
        <v>30</v>
      </c>
      <c r="M13" s="86" t="n">
        <v>5</v>
      </c>
      <c r="N13" s="86" t="n">
        <v>12932</v>
      </c>
      <c r="O13" s="86" t="n">
        <v>5</v>
      </c>
      <c r="P13" s="37" t="inlineStr">
        <is>
          <t>vps</t>
        </is>
      </c>
      <c r="Q13" s="37" t="inlineStr">
        <is>
          <t>Run ID 10; deploy https://hotel.projecthub.io.vn/; artifact off; scraper_version 2.3.0; terminal API status completed; items pagination 1775; saved_options_count 12932.</t>
        </is>
      </c>
    </row>
    <row r="14">
      <c r="A14" s="76" t="n">
        <v>46268</v>
      </c>
      <c r="B14" s="36" t="inlineStr">
        <is>
          <t>Hoàn thành có lỗi</t>
        </is>
      </c>
      <c r="C14" s="36" t="n">
        <v>13</v>
      </c>
      <c r="D14" s="89" t="n">
        <v>46268.02444444445</v>
      </c>
      <c r="E14" s="89" t="n">
        <v>46268.80280092593</v>
      </c>
      <c r="F14" s="82" t="n">
        <v>18.6805555556</v>
      </c>
      <c r="G14" s="83" t="n">
        <v>1770</v>
      </c>
      <c r="H14" s="83" t="n">
        <v>1770</v>
      </c>
      <c r="I14" s="83" t="n">
        <v>1575</v>
      </c>
      <c r="J14" s="83" t="n">
        <v>0</v>
      </c>
      <c r="K14" s="83" t="n">
        <v>165</v>
      </c>
      <c r="L14" s="83" t="n">
        <v>20</v>
      </c>
      <c r="M14" s="83" t="n">
        <v>10</v>
      </c>
      <c r="N14" s="83" t="n">
        <v>14827</v>
      </c>
      <c r="O14" s="83" t="n">
        <v>5</v>
      </c>
      <c r="P14" s="36" t="inlineStr">
        <is>
          <t>vps</t>
        </is>
      </c>
      <c r="Q14" s="36" t="inlineStr">
        <is>
          <t>Run ID 13; deploy https://hotel.projecthub.io.vn/; artifact off; scraper_version 2.3.0; terminal API status completed; items pagination 1770; saved_options_count 14827.</t>
        </is>
      </c>
    </row>
    <row r="15">
      <c r="A15" s="79" t="n">
        <v>46269</v>
      </c>
      <c r="B15" s="37" t="inlineStr">
        <is>
          <t>Hoàn thành có lỗi</t>
        </is>
      </c>
      <c r="C15" s="37" t="n">
        <v>14</v>
      </c>
      <c r="D15" s="90" t="n">
        <v>46269.02368055555</v>
      </c>
      <c r="E15" s="90" t="n">
        <v>46269.90994212963</v>
      </c>
      <c r="F15" s="85" t="n">
        <v>21.2702777778</v>
      </c>
      <c r="G15" s="86" t="n">
        <v>1770</v>
      </c>
      <c r="H15" s="86" t="n">
        <v>1770</v>
      </c>
      <c r="I15" s="86" t="n">
        <v>1578</v>
      </c>
      <c r="J15" s="86" t="n">
        <v>0</v>
      </c>
      <c r="K15" s="86" t="n">
        <v>167</v>
      </c>
      <c r="L15" s="86" t="n">
        <v>15</v>
      </c>
      <c r="M15" s="86" t="n">
        <v>10</v>
      </c>
      <c r="N15" s="86" t="n">
        <v>14967</v>
      </c>
      <c r="O15" s="86" t="n">
        <v>5</v>
      </c>
      <c r="P15" s="37" t="inlineStr">
        <is>
          <t>vps</t>
        </is>
      </c>
      <c r="Q15" s="37" t="inlineStr">
        <is>
          <t>Run ID 14; deploy https://hotel.projecthub.io.vn/; artifact off; scraper_version 2.3.0; terminal API status completed; items pagination 1770; saved_options_count 14967.</t>
        </is>
      </c>
    </row>
    <row r="16">
      <c r="A16" s="76" t="n">
        <v>46270</v>
      </c>
      <c r="B16" s="36" t="inlineStr">
        <is>
          <t>Hoàn thành có lỗi</t>
        </is>
      </c>
      <c r="C16" s="36" t="inlineStr">
        <is>
          <t>15</t>
        </is>
      </c>
      <c r="D16" s="87" t="n">
        <v>46270.0231712963</v>
      </c>
      <c r="E16" s="89" t="n">
        <v>46270.93908564815</v>
      </c>
      <c r="F16" s="82" t="n">
        <v>21.98194444435649</v>
      </c>
      <c r="G16" s="83" t="n">
        <v>1770</v>
      </c>
      <c r="H16" s="83" t="n">
        <v>1770</v>
      </c>
      <c r="I16" s="83" t="n">
        <v>1583</v>
      </c>
      <c r="J16" s="83" t="n">
        <v>0</v>
      </c>
      <c r="K16" s="83" t="n">
        <v>162</v>
      </c>
      <c r="L16" s="83" t="n">
        <v>15</v>
      </c>
      <c r="M16" s="83" t="n">
        <v>10</v>
      </c>
      <c r="N16" s="83" t="n">
        <v>14706</v>
      </c>
      <c r="O16" s="83" t="n">
        <v>5</v>
      </c>
      <c r="P16" s="36" t="inlineStr">
        <is>
          <t>vps</t>
        </is>
      </c>
      <c r="Q16" s="36" t="inlineStr">
        <is>
          <t>Run ID 15; deploy https://hotel.projecthub.io.vn/; artifact không lưu; scraper_version 2.3.0; terminal API status completed; items pagination 1770; saved_options_count 14706.</t>
        </is>
      </c>
    </row>
    <row r="17">
      <c r="A17" s="79" t="n">
        <v>46271</v>
      </c>
      <c r="B17" s="37" t="inlineStr">
        <is>
          <t>Hoàn thành có lỗi</t>
        </is>
      </c>
      <c r="C17" s="37" t="n">
        <v>16</v>
      </c>
      <c r="D17" s="90" t="n">
        <v>46271.02481481482</v>
      </c>
      <c r="E17" s="90" t="n">
        <v>46271.98013888889</v>
      </c>
      <c r="F17" s="85" t="n">
        <v>22.92777777777778</v>
      </c>
      <c r="G17" s="86" t="n">
        <v>1770</v>
      </c>
      <c r="H17" s="86" t="n">
        <v>1770</v>
      </c>
      <c r="I17" s="86" t="n">
        <v>1584</v>
      </c>
      <c r="J17" s="86" t="n">
        <v>0</v>
      </c>
      <c r="K17" s="86" t="n">
        <v>161</v>
      </c>
      <c r="L17" s="86" t="n">
        <v>15</v>
      </c>
      <c r="M17" s="86" t="n">
        <v>10</v>
      </c>
      <c r="N17" s="86" t="n">
        <v>14816</v>
      </c>
      <c r="O17" s="86" t="n">
        <v>5</v>
      </c>
      <c r="P17" s="37" t="inlineStr">
        <is>
          <t>vps</t>
        </is>
      </c>
      <c r="Q17" s="37" t="inlineStr">
        <is>
          <t>Run ID 16; deploy https://hotel.projecthub.io.vn/; artifact không lưu; scraper_version 2.3.0; terminal API status completed; items pagination 1770; saved_options_count 14816.</t>
        </is>
      </c>
    </row>
    <row r="18">
      <c r="A18" s="76" t="n">
        <v>46272</v>
      </c>
      <c r="B18" s="36" t="inlineStr">
        <is>
          <t>Hoàn thành có lỗi</t>
        </is>
      </c>
      <c r="C18" s="36" t="n">
        <v>17</v>
      </c>
      <c r="D18" s="89" t="n">
        <v>46272.02271990741</v>
      </c>
      <c r="E18" s="89" t="n">
        <v>46272.93084490741</v>
      </c>
      <c r="F18" s="82" t="n">
        <v>21.795</v>
      </c>
      <c r="G18" s="83" t="n">
        <v>1770</v>
      </c>
      <c r="H18" s="83" t="n">
        <v>1770</v>
      </c>
      <c r="I18" s="83" t="n">
        <v>1581</v>
      </c>
      <c r="J18" s="83" t="n">
        <v>0</v>
      </c>
      <c r="K18" s="83" t="n">
        <v>159</v>
      </c>
      <c r="L18" s="83" t="n">
        <v>20</v>
      </c>
      <c r="M18" s="83" t="n">
        <v>10</v>
      </c>
      <c r="N18" s="83" t="n">
        <v>14688</v>
      </c>
      <c r="O18" s="83" t="n">
        <v>5</v>
      </c>
      <c r="P18" s="36" t="inlineStr">
        <is>
          <t>vps</t>
        </is>
      </c>
      <c r="Q18" s="36" t="inlineStr">
        <is>
          <t>Run ID 17; deploy https://hotel.projecthub.io.vn/; artifact không lưu; scraper_version=2.3.0</t>
        </is>
      </c>
    </row>
    <row r="19">
      <c r="A19" s="79" t="n">
        <v>46273</v>
      </c>
      <c r="B19" s="37" t="inlineStr">
        <is>
          <t>Hoàn thành có lỗi</t>
        </is>
      </c>
      <c r="C19" s="37" t="n">
        <v>18</v>
      </c>
      <c r="D19" s="90" t="n">
        <v>46273.02431712963</v>
      </c>
      <c r="E19" s="90" t="n">
        <v>46273.96641203704</v>
      </c>
      <c r="F19" s="85" t="n">
        <v>22.61027777777778</v>
      </c>
      <c r="G19" s="86" t="n">
        <v>1770</v>
      </c>
      <c r="H19" s="86" t="n">
        <v>1770</v>
      </c>
      <c r="I19" s="86" t="n">
        <v>1582</v>
      </c>
      <c r="J19" s="86" t="n">
        <v>0</v>
      </c>
      <c r="K19" s="86" t="n">
        <v>158</v>
      </c>
      <c r="L19" s="86" t="n">
        <v>20</v>
      </c>
      <c r="M19" s="86" t="n">
        <v>10</v>
      </c>
      <c r="N19" s="86" t="n">
        <v>15259</v>
      </c>
      <c r="O19" s="86" t="n">
        <v>5</v>
      </c>
      <c r="P19" s="37" t="inlineStr">
        <is>
          <t>vps</t>
        </is>
      </c>
      <c r="Q19" s="37" t="inlineStr">
        <is>
          <t>Run ID 18; deploy https://hotel.projecthub.io.vn/; artifact không lưu; scraper_version=2.3.0</t>
        </is>
      </c>
    </row>
    <row r="20">
      <c r="A20" s="76" t="n">
        <v>46274</v>
      </c>
      <c r="B20" s="36" t="inlineStr">
        <is>
          <t>Hoàn thành có lỗi</t>
        </is>
      </c>
      <c r="C20" s="36" t="n">
        <v>19</v>
      </c>
      <c r="D20" s="89" t="n">
        <v>46274.0233912037</v>
      </c>
      <c r="E20" s="89" t="n">
        <v>46274.92560185185</v>
      </c>
      <c r="F20" s="82" t="n">
        <v>21.65305555555556</v>
      </c>
      <c r="G20" s="83" t="n">
        <v>1770</v>
      </c>
      <c r="H20" s="83" t="n">
        <v>1770</v>
      </c>
      <c r="I20" s="83" t="n">
        <v>1574</v>
      </c>
      <c r="J20" s="83" t="n">
        <v>0</v>
      </c>
      <c r="K20" s="83" t="n">
        <v>166</v>
      </c>
      <c r="L20" s="83" t="n">
        <v>20</v>
      </c>
      <c r="M20" s="83" t="n">
        <v>10</v>
      </c>
      <c r="N20" s="83" t="n">
        <v>15038</v>
      </c>
      <c r="O20" s="83" t="n">
        <v>5</v>
      </c>
      <c r="P20" s="36" t="inlineStr">
        <is>
          <t>vps</t>
        </is>
      </c>
      <c r="Q20" s="36" t="inlineStr">
        <is>
          <t>Run ID 19; deploy https://hotel.projecthub.io.vn/; artifact không lưu; scraper_version=2.3.0</t>
        </is>
      </c>
    </row>
    <row r="21">
      <c r="A21" s="79" t="n">
        <v>46275</v>
      </c>
      <c r="B21" s="37" t="inlineStr">
        <is>
          <t>Hoàn thành có lỗi</t>
        </is>
      </c>
      <c r="C21" s="37" t="n">
        <v>20</v>
      </c>
      <c r="D21" s="90" t="n">
        <v>46275.02995370371</v>
      </c>
      <c r="E21" s="90" t="n">
        <v>46275.94020833333</v>
      </c>
      <c r="F21" s="85" t="n">
        <v>21.84611111111111</v>
      </c>
      <c r="G21" s="86" t="n">
        <v>1770</v>
      </c>
      <c r="H21" s="86" t="n">
        <v>1770</v>
      </c>
      <c r="I21" s="86" t="n">
        <v>1569</v>
      </c>
      <c r="J21" s="86" t="n">
        <v>0</v>
      </c>
      <c r="K21" s="86" t="n">
        <v>166</v>
      </c>
      <c r="L21" s="86" t="n">
        <v>25</v>
      </c>
      <c r="M21" s="86" t="n">
        <v>10</v>
      </c>
      <c r="N21" s="86" t="n">
        <v>14673</v>
      </c>
      <c r="O21" s="86" t="n">
        <v>5</v>
      </c>
      <c r="P21" s="37" t="inlineStr">
        <is>
          <t>vps</t>
        </is>
      </c>
      <c r="Q21" s="37" t="inlineStr">
        <is>
          <t>Run ID 20; deploy https://hotel.projecthub.io.vn/; artifact không lưu; scraper_version=2.3.0</t>
        </is>
      </c>
    </row>
    <row r="22">
      <c r="A22" s="76" t="n">
        <v>46276</v>
      </c>
      <c r="B22" s="36" t="inlineStr">
        <is>
          <t>Hoàn thành có lỗi</t>
        </is>
      </c>
      <c r="C22" s="36" t="n">
        <v>21</v>
      </c>
      <c r="D22" s="89" t="n">
        <v>46276.02586805556</v>
      </c>
      <c r="E22" s="89" t="n">
        <v>46276.94533564815</v>
      </c>
      <c r="F22" s="82" t="n">
        <v>22.06722222222222</v>
      </c>
      <c r="G22" s="83" t="n">
        <v>1770</v>
      </c>
      <c r="H22" s="83" t="n">
        <v>1770</v>
      </c>
      <c r="I22" s="83" t="n">
        <v>1579</v>
      </c>
      <c r="J22" s="83" t="n">
        <v>0</v>
      </c>
      <c r="K22" s="83" t="n">
        <v>166</v>
      </c>
      <c r="L22" s="83" t="n">
        <v>15</v>
      </c>
      <c r="M22" s="83" t="n">
        <v>10</v>
      </c>
      <c r="N22" s="83" t="n">
        <v>14887</v>
      </c>
      <c r="O22" s="83" t="n">
        <v>5</v>
      </c>
      <c r="P22" s="36" t="inlineStr">
        <is>
          <t>vps</t>
        </is>
      </c>
      <c r="Q22" s="36" t="inlineStr">
        <is>
          <t>Run ID 21; deploy https://hotel.projecthub.io.vn/; artifact không lưu; scraper_version=2.3.0</t>
        </is>
      </c>
    </row>
    <row r="23">
      <c r="A23" s="79" t="n">
        <v>46277</v>
      </c>
      <c r="B23" s="37" t="inlineStr">
        <is>
          <t>Hoàn thành có lỗi</t>
        </is>
      </c>
      <c r="C23" s="37" t="inlineStr">
        <is>
          <t>22</t>
        </is>
      </c>
      <c r="D23" s="90" t="n">
        <v>46277.04614583333</v>
      </c>
      <c r="E23" s="90" t="n">
        <v>46277.98825231481</v>
      </c>
      <c r="F23" s="85" t="n">
        <v>22.61055555555504</v>
      </c>
      <c r="G23" s="86" t="n">
        <v>1770</v>
      </c>
      <c r="H23" s="86" t="n">
        <v>1770</v>
      </c>
      <c r="I23" s="86" t="n">
        <v>1578</v>
      </c>
      <c r="J23" s="86" t="n">
        <v>0</v>
      </c>
      <c r="K23" s="86" t="n">
        <v>167</v>
      </c>
      <c r="L23" s="86" t="n">
        <v>15</v>
      </c>
      <c r="M23" s="86" t="n">
        <v>10</v>
      </c>
      <c r="N23" s="86" t="n">
        <v>14760</v>
      </c>
      <c r="O23" s="86" t="n">
        <v>5</v>
      </c>
      <c r="P23" s="37" t="inlineStr">
        <is>
          <t>vps</t>
        </is>
      </c>
      <c r="Q23" s="37" t="inlineStr">
        <is>
          <t>Run ID 22; deploy https://hotel.projecthub.io.vn/; artifact không lưu; scraper_version 2.3.0; terminal API status completed; items pagination 1770; saved_options_count 14760.</t>
        </is>
      </c>
    </row>
    <row r="24">
      <c r="A24" s="76" t="n">
        <v>46278</v>
      </c>
      <c r="B24" s="36" t="inlineStr">
        <is>
          <t>Hoàn thành có lỗi</t>
        </is>
      </c>
      <c r="C24" s="36" t="inlineStr">
        <is>
          <t>23</t>
        </is>
      </c>
      <c r="D24" s="89" t="n">
        <v>46278.03136574074</v>
      </c>
      <c r="E24" s="89" t="n">
        <v>46278.99358796296</v>
      </c>
      <c r="F24" s="82">
        <f>IF(OR(D24="",E24=""),"",24*(E24-D24))</f>
        <v/>
      </c>
      <c r="G24" s="83" t="n">
        <v>1770</v>
      </c>
      <c r="H24" s="83" t="n">
        <v>1770</v>
      </c>
      <c r="I24" s="83" t="n">
        <v>1581</v>
      </c>
      <c r="J24" s="83" t="n">
        <v>0</v>
      </c>
      <c r="K24" s="83" t="n">
        <v>160</v>
      </c>
      <c r="L24" s="83" t="n">
        <v>15</v>
      </c>
      <c r="M24" s="83" t="n">
        <v>14</v>
      </c>
      <c r="N24" s="83" t="n">
        <v>14508</v>
      </c>
      <c r="O24" s="83" t="n">
        <v>5</v>
      </c>
      <c r="P24" s="36" t="inlineStr">
        <is>
          <t>vps</t>
        </is>
      </c>
      <c r="Q24" s="36" t="inlineStr">
        <is>
          <t>Run ID 23; deploy https://hotel.projecthub.io.vn/; artifact không lưu; scraper_version=2.3.0</t>
        </is>
      </c>
    </row>
    <row r="25">
      <c r="A25" s="79" t="n">
        <v>46279</v>
      </c>
      <c r="B25" s="37" t="inlineStr">
        <is>
          <t>Chưa chạy</t>
        </is>
      </c>
      <c r="C25" s="37" t="n"/>
      <c r="D25" s="90" t="n"/>
      <c r="E25" s="90" t="n"/>
      <c r="F25" s="85">
        <f>IF(OR(D25="",E25=""),"",24*(E25-D25))</f>
        <v/>
      </c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>
        <v>5</v>
      </c>
      <c r="P25" s="37" t="inlineStr">
        <is>
          <t>vps</t>
        </is>
      </c>
      <c r="Q25" s="37" t="n"/>
    </row>
    <row r="26">
      <c r="A26" s="76" t="n">
        <v>46280</v>
      </c>
      <c r="B26" s="36" t="inlineStr">
        <is>
          <t>Chưa chạy</t>
        </is>
      </c>
      <c r="C26" s="36" t="n"/>
      <c r="D26" s="89" t="n"/>
      <c r="E26" s="89" t="n"/>
      <c r="F26" s="82">
        <f>IF(OR(D26="",E26=""),"",24*(E26-D26))</f>
        <v/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83" t="n">
        <v>5</v>
      </c>
      <c r="P26" s="36" t="inlineStr">
        <is>
          <t>vps</t>
        </is>
      </c>
      <c r="Q26" s="36" t="n"/>
    </row>
    <row r="27">
      <c r="A27" s="79" t="n">
        <v>46281</v>
      </c>
      <c r="B27" s="37" t="inlineStr">
        <is>
          <t>Chưa chạy</t>
        </is>
      </c>
      <c r="C27" s="37" t="n"/>
      <c r="D27" s="90" t="n"/>
      <c r="E27" s="90" t="n"/>
      <c r="F27" s="85">
        <f>IF(OR(D27="",E27=""),"",24*(E27-D27))</f>
        <v/>
      </c>
      <c r="G27" s="86" t="n"/>
      <c r="H27" s="86" t="n"/>
      <c r="I27" s="86" t="n"/>
      <c r="J27" s="86" t="n"/>
      <c r="K27" s="86" t="n"/>
      <c r="L27" s="86" t="n"/>
      <c r="M27" s="86" t="n"/>
      <c r="N27" s="86" t="n"/>
      <c r="O27" s="86" t="n">
        <v>5</v>
      </c>
      <c r="P27" s="37" t="inlineStr">
        <is>
          <t>vps</t>
        </is>
      </c>
      <c r="Q27" s="37" t="n"/>
    </row>
    <row r="28">
      <c r="A28" s="76" t="n">
        <v>46282</v>
      </c>
      <c r="B28" s="36" t="inlineStr">
        <is>
          <t>Chưa chạy</t>
        </is>
      </c>
      <c r="C28" s="36" t="n"/>
      <c r="D28" s="89" t="n"/>
      <c r="E28" s="89" t="n"/>
      <c r="F28" s="82">
        <f>IF(OR(D28="",E28=""),"",24*(E28-D28))</f>
        <v/>
      </c>
      <c r="G28" s="83" t="n"/>
      <c r="H28" s="83" t="n"/>
      <c r="I28" s="83" t="n"/>
      <c r="J28" s="83" t="n"/>
      <c r="K28" s="83" t="n"/>
      <c r="L28" s="83" t="n"/>
      <c r="M28" s="83" t="n"/>
      <c r="N28" s="83" t="n"/>
      <c r="O28" s="83" t="n">
        <v>5</v>
      </c>
      <c r="P28" s="36" t="inlineStr">
        <is>
          <t>vps</t>
        </is>
      </c>
      <c r="Q28" s="36" t="n"/>
    </row>
    <row r="29">
      <c r="A29" s="79" t="n">
        <v>46283</v>
      </c>
      <c r="B29" s="37" t="inlineStr">
        <is>
          <t>Chưa chạy</t>
        </is>
      </c>
      <c r="C29" s="37" t="n"/>
      <c r="D29" s="90" t="n"/>
      <c r="E29" s="90" t="n"/>
      <c r="F29" s="85">
        <f>IF(OR(D29="",E29=""),"",24*(E29-D29))</f>
        <v/>
      </c>
      <c r="G29" s="86" t="n"/>
      <c r="H29" s="86" t="n"/>
      <c r="I29" s="86" t="n"/>
      <c r="J29" s="86" t="n"/>
      <c r="K29" s="86" t="n"/>
      <c r="L29" s="86" t="n"/>
      <c r="M29" s="86" t="n"/>
      <c r="N29" s="86" t="n"/>
      <c r="O29" s="86" t="n">
        <v>5</v>
      </c>
      <c r="P29" s="37" t="inlineStr">
        <is>
          <t>vps</t>
        </is>
      </c>
      <c r="Q29" s="37" t="n"/>
    </row>
    <row r="30">
      <c r="A30" s="76" t="n">
        <v>46284</v>
      </c>
      <c r="B30" s="36" t="inlineStr">
        <is>
          <t>Chưa chạy</t>
        </is>
      </c>
      <c r="C30" s="36" t="n"/>
      <c r="D30" s="89" t="n"/>
      <c r="E30" s="89" t="n"/>
      <c r="F30" s="82">
        <f>IF(OR(D30="",E30=""),"",24*(E30-D30))</f>
        <v/>
      </c>
      <c r="G30" s="83" t="n"/>
      <c r="H30" s="83" t="n"/>
      <c r="I30" s="83" t="n"/>
      <c r="J30" s="83" t="n"/>
      <c r="K30" s="83" t="n"/>
      <c r="L30" s="83" t="n"/>
      <c r="M30" s="83" t="n"/>
      <c r="N30" s="83" t="n"/>
      <c r="O30" s="83" t="n">
        <v>5</v>
      </c>
      <c r="P30" s="36" t="inlineStr">
        <is>
          <t>vps</t>
        </is>
      </c>
      <c r="Q30" s="36" t="n"/>
    </row>
    <row r="31">
      <c r="A31" s="79" t="n">
        <v>46285</v>
      </c>
      <c r="B31" s="37" t="inlineStr">
        <is>
          <t>Chưa chạy</t>
        </is>
      </c>
      <c r="C31" s="37" t="n"/>
      <c r="D31" s="90" t="n"/>
      <c r="E31" s="90" t="n"/>
      <c r="F31" s="85">
        <f>IF(OR(D31="",E31=""),"",24*(E31-D31))</f>
        <v/>
      </c>
      <c r="G31" s="86" t="n"/>
      <c r="H31" s="86" t="n"/>
      <c r="I31" s="86" t="n"/>
      <c r="J31" s="86" t="n"/>
      <c r="K31" s="86" t="n"/>
      <c r="L31" s="86" t="n"/>
      <c r="M31" s="86" t="n"/>
      <c r="N31" s="86" t="n"/>
      <c r="O31" s="86" t="n">
        <v>5</v>
      </c>
      <c r="P31" s="37" t="inlineStr">
        <is>
          <t>vps</t>
        </is>
      </c>
      <c r="Q31" s="37" t="n"/>
    </row>
    <row r="32">
      <c r="A32" s="76" t="n">
        <v>46286</v>
      </c>
      <c r="B32" s="36" t="inlineStr">
        <is>
          <t>Chưa chạy</t>
        </is>
      </c>
      <c r="C32" s="36" t="n"/>
      <c r="D32" s="89" t="n"/>
      <c r="E32" s="89" t="n"/>
      <c r="F32" s="82">
        <f>IF(OR(D32="",E32=""),"",24*(E32-D32))</f>
        <v/>
      </c>
      <c r="G32" s="83" t="n"/>
      <c r="H32" s="83" t="n"/>
      <c r="I32" s="83" t="n"/>
      <c r="J32" s="83" t="n"/>
      <c r="K32" s="83" t="n"/>
      <c r="L32" s="83" t="n"/>
      <c r="M32" s="83" t="n"/>
      <c r="N32" s="83" t="n"/>
      <c r="O32" s="83" t="n">
        <v>5</v>
      </c>
      <c r="P32" s="36" t="inlineStr">
        <is>
          <t>vps</t>
        </is>
      </c>
      <c r="Q32" s="36" t="n"/>
    </row>
    <row r="33">
      <c r="A33" s="79" t="n">
        <v>46287</v>
      </c>
      <c r="B33" s="37" t="inlineStr">
        <is>
          <t>Chưa chạy</t>
        </is>
      </c>
      <c r="C33" s="37" t="n"/>
      <c r="D33" s="90" t="n"/>
      <c r="E33" s="90" t="n"/>
      <c r="F33" s="85">
        <f>IF(OR(D33="",E33=""),"",24*(E33-D33))</f>
        <v/>
      </c>
      <c r="G33" s="86" t="n"/>
      <c r="H33" s="86" t="n"/>
      <c r="I33" s="86" t="n"/>
      <c r="J33" s="86" t="n"/>
      <c r="K33" s="86" t="n"/>
      <c r="L33" s="86" t="n"/>
      <c r="M33" s="86" t="n"/>
      <c r="N33" s="86" t="n"/>
      <c r="O33" s="86" t="n">
        <v>5</v>
      </c>
      <c r="P33" s="37" t="inlineStr">
        <is>
          <t>vps</t>
        </is>
      </c>
      <c r="Q33" s="37" t="n"/>
    </row>
    <row r="34">
      <c r="A34" s="76" t="n">
        <v>46288</v>
      </c>
      <c r="B34" s="36" t="inlineStr">
        <is>
          <t>Chưa chạy</t>
        </is>
      </c>
      <c r="C34" s="36" t="n"/>
      <c r="D34" s="89" t="n"/>
      <c r="E34" s="89" t="n"/>
      <c r="F34" s="82">
        <f>IF(OR(D34="",E34=""),"",24*(E34-D34))</f>
        <v/>
      </c>
      <c r="G34" s="83" t="n"/>
      <c r="H34" s="83" t="n"/>
      <c r="I34" s="83" t="n"/>
      <c r="J34" s="83" t="n"/>
      <c r="K34" s="83" t="n"/>
      <c r="L34" s="83" t="n"/>
      <c r="M34" s="83" t="n"/>
      <c r="N34" s="83" t="n"/>
      <c r="O34" s="83" t="n">
        <v>5</v>
      </c>
      <c r="P34" s="36" t="inlineStr">
        <is>
          <t>vps</t>
        </is>
      </c>
      <c r="Q34" s="36" t="n"/>
    </row>
    <row r="35">
      <c r="A35" s="79" t="n">
        <v>46289</v>
      </c>
      <c r="B35" s="37" t="inlineStr">
        <is>
          <t>Chưa chạy</t>
        </is>
      </c>
      <c r="C35" s="37" t="n"/>
      <c r="D35" s="90" t="n"/>
      <c r="E35" s="90" t="n"/>
      <c r="F35" s="85">
        <f>IF(OR(D35="",E35=""),"",24*(E35-D35))</f>
        <v/>
      </c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>
        <v>5</v>
      </c>
      <c r="P35" s="37" t="inlineStr">
        <is>
          <t>vps</t>
        </is>
      </c>
      <c r="Q35" s="37" t="n"/>
    </row>
    <row r="36">
      <c r="A36" s="76" t="n">
        <v>46290</v>
      </c>
      <c r="B36" s="36" t="inlineStr">
        <is>
          <t>Chưa chạy</t>
        </is>
      </c>
      <c r="C36" s="36" t="n"/>
      <c r="D36" s="89" t="n"/>
      <c r="E36" s="89" t="n"/>
      <c r="F36" s="82">
        <f>IF(OR(D36="",E36=""),"",24*(E36-D36))</f>
        <v/>
      </c>
      <c r="G36" s="83" t="n"/>
      <c r="H36" s="83" t="n"/>
      <c r="I36" s="83" t="n"/>
      <c r="J36" s="83" t="n"/>
      <c r="K36" s="83" t="n"/>
      <c r="L36" s="83" t="n"/>
      <c r="M36" s="83" t="n"/>
      <c r="N36" s="83" t="n"/>
      <c r="O36" s="83" t="n">
        <v>5</v>
      </c>
      <c r="P36" s="36" t="inlineStr">
        <is>
          <t>vps</t>
        </is>
      </c>
      <c r="Q36" s="36" t="n"/>
    </row>
    <row r="37">
      <c r="A37" s="79" t="n">
        <v>46291</v>
      </c>
      <c r="B37" s="37" t="inlineStr">
        <is>
          <t>Chưa chạy</t>
        </is>
      </c>
      <c r="C37" s="37" t="n"/>
      <c r="D37" s="90" t="n"/>
      <c r="E37" s="90" t="n"/>
      <c r="F37" s="85">
        <f>IF(OR(D37="",E37=""),"",24*(E37-D37))</f>
        <v/>
      </c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>
        <v>5</v>
      </c>
      <c r="P37" s="37" t="inlineStr">
        <is>
          <t>vps</t>
        </is>
      </c>
      <c r="Q37" s="37" t="n"/>
    </row>
    <row r="38">
      <c r="A38" s="76" t="n">
        <v>46292</v>
      </c>
      <c r="B38" s="36" t="inlineStr">
        <is>
          <t>Chưa chạy</t>
        </is>
      </c>
      <c r="C38" s="36" t="n"/>
      <c r="D38" s="89" t="n"/>
      <c r="E38" s="89" t="n"/>
      <c r="F38" s="82">
        <f>IF(OR(D38="",E38=""),"",24*(E38-D38))</f>
        <v/>
      </c>
      <c r="G38" s="83" t="n"/>
      <c r="H38" s="83" t="n"/>
      <c r="I38" s="83" t="n"/>
      <c r="J38" s="83" t="n"/>
      <c r="K38" s="83" t="n"/>
      <c r="L38" s="83" t="n"/>
      <c r="M38" s="83" t="n"/>
      <c r="N38" s="83" t="n"/>
      <c r="O38" s="83" t="n">
        <v>5</v>
      </c>
      <c r="P38" s="36" t="inlineStr">
        <is>
          <t>vps</t>
        </is>
      </c>
      <c r="Q38" s="36" t="n"/>
    </row>
    <row r="39">
      <c r="A39" s="79" t="n">
        <v>46293</v>
      </c>
      <c r="B39" s="37" t="inlineStr">
        <is>
          <t>Chưa chạy</t>
        </is>
      </c>
      <c r="C39" s="37" t="n"/>
      <c r="D39" s="90" t="n"/>
      <c r="E39" s="90" t="n"/>
      <c r="F39" s="85">
        <f>IF(OR(D39="",E39=""),"",24*(E39-D39))</f>
        <v/>
      </c>
      <c r="G39" s="86" t="n"/>
      <c r="H39" s="86" t="n"/>
      <c r="I39" s="86" t="n"/>
      <c r="J39" s="86" t="n"/>
      <c r="K39" s="86" t="n"/>
      <c r="L39" s="86" t="n"/>
      <c r="M39" s="86" t="n"/>
      <c r="N39" s="86" t="n"/>
      <c r="O39" s="86" t="n">
        <v>5</v>
      </c>
      <c r="P39" s="37" t="inlineStr">
        <is>
          <t>vps</t>
        </is>
      </c>
      <c r="Q39" s="37" t="n"/>
    </row>
    <row r="40">
      <c r="A40" s="76" t="n">
        <v>46294</v>
      </c>
      <c r="B40" s="36" t="inlineStr">
        <is>
          <t>Chưa chạy</t>
        </is>
      </c>
      <c r="C40" s="36" t="n"/>
      <c r="D40" s="89" t="n"/>
      <c r="E40" s="89" t="n"/>
      <c r="F40" s="82">
        <f>IF(OR(D40="",E40=""),"",24*(E40-D40))</f>
        <v/>
      </c>
      <c r="G40" s="83" t="n"/>
      <c r="H40" s="83" t="n"/>
      <c r="I40" s="83" t="n"/>
      <c r="J40" s="83" t="n"/>
      <c r="K40" s="83" t="n"/>
      <c r="L40" s="83" t="n"/>
      <c r="M40" s="83" t="n"/>
      <c r="N40" s="83" t="n"/>
      <c r="O40" s="83" t="n">
        <v>5</v>
      </c>
      <c r="P40" s="36" t="inlineStr">
        <is>
          <t>vps</t>
        </is>
      </c>
      <c r="Q40" s="36" t="n"/>
    </row>
    <row r="41">
      <c r="A41" s="79" t="n">
        <v>46295</v>
      </c>
      <c r="B41" s="37" t="inlineStr">
        <is>
          <t>Chưa chạy</t>
        </is>
      </c>
      <c r="C41" s="37" t="n"/>
      <c r="D41" s="90" t="n"/>
      <c r="E41" s="90" t="n"/>
      <c r="F41" s="85">
        <f>IF(OR(D41="",E41=""),"",24*(E41-D41))</f>
        <v/>
      </c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>
        <v>5</v>
      </c>
      <c r="P41" s="37" t="inlineStr">
        <is>
          <t>vps</t>
        </is>
      </c>
      <c r="Q41" s="37" t="n"/>
    </row>
    <row r="42">
      <c r="A42" s="76" t="n">
        <v>46296</v>
      </c>
      <c r="B42" s="36" t="inlineStr">
        <is>
          <t>Chưa chạy</t>
        </is>
      </c>
      <c r="C42" s="36" t="n"/>
      <c r="D42" s="89" t="n"/>
      <c r="E42" s="89" t="n"/>
      <c r="F42" s="82">
        <f>IF(OR(D42="",E42=""),"",24*(E42-D42))</f>
        <v/>
      </c>
      <c r="G42" s="83" t="n"/>
      <c r="H42" s="83" t="n"/>
      <c r="I42" s="83" t="n"/>
      <c r="J42" s="83" t="n"/>
      <c r="K42" s="83" t="n"/>
      <c r="L42" s="83" t="n"/>
      <c r="M42" s="83" t="n"/>
      <c r="N42" s="83" t="n"/>
      <c r="O42" s="83" t="n">
        <v>5</v>
      </c>
      <c r="P42" s="36" t="inlineStr">
        <is>
          <t>vps</t>
        </is>
      </c>
      <c r="Q42" s="36" t="n"/>
    </row>
    <row r="43">
      <c r="A43" s="79" t="n">
        <v>46297</v>
      </c>
      <c r="B43" s="37" t="inlineStr">
        <is>
          <t>Chưa chạy</t>
        </is>
      </c>
      <c r="C43" s="37" t="n"/>
      <c r="D43" s="90" t="n"/>
      <c r="E43" s="90" t="n"/>
      <c r="F43" s="85">
        <f>IF(OR(D43="",E43=""),"",24*(E43-D43))</f>
        <v/>
      </c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>
        <v>5</v>
      </c>
      <c r="P43" s="37" t="inlineStr">
        <is>
          <t>vps</t>
        </is>
      </c>
      <c r="Q43" s="37" t="n"/>
    </row>
    <row r="44">
      <c r="A44" s="76" t="n">
        <v>46298</v>
      </c>
      <c r="B44" s="36" t="inlineStr">
        <is>
          <t>Chưa chạy</t>
        </is>
      </c>
      <c r="C44" s="36" t="n"/>
      <c r="D44" s="89" t="n"/>
      <c r="E44" s="89" t="n"/>
      <c r="F44" s="82">
        <f>IF(OR(D44="",E44=""),"",24*(E44-D44))</f>
        <v/>
      </c>
      <c r="G44" s="83" t="n"/>
      <c r="H44" s="83" t="n"/>
      <c r="I44" s="83" t="n"/>
      <c r="J44" s="83" t="n"/>
      <c r="K44" s="83" t="n"/>
      <c r="L44" s="83" t="n"/>
      <c r="M44" s="83" t="n"/>
      <c r="N44" s="83" t="n"/>
      <c r="O44" s="83" t="n">
        <v>5</v>
      </c>
      <c r="P44" s="36" t="inlineStr">
        <is>
          <t>vps</t>
        </is>
      </c>
      <c r="Q44" s="36" t="n"/>
    </row>
    <row r="45">
      <c r="A45" s="79" t="n">
        <v>46299</v>
      </c>
      <c r="B45" s="37" t="inlineStr">
        <is>
          <t>Chưa chạy</t>
        </is>
      </c>
      <c r="C45" s="37" t="n"/>
      <c r="D45" s="90" t="n"/>
      <c r="E45" s="90" t="n"/>
      <c r="F45" s="85">
        <f>IF(OR(D45="",E45=""),"",24*(E45-D45))</f>
        <v/>
      </c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>
        <v>5</v>
      </c>
      <c r="P45" s="37" t="inlineStr">
        <is>
          <t>vps</t>
        </is>
      </c>
      <c r="Q45" s="37" t="n"/>
    </row>
    <row r="46">
      <c r="A46" s="76" t="n">
        <v>46300</v>
      </c>
      <c r="B46" s="36" t="inlineStr">
        <is>
          <t>Chưa chạy</t>
        </is>
      </c>
      <c r="C46" s="36" t="n"/>
      <c r="D46" s="89" t="n"/>
      <c r="E46" s="89" t="n"/>
      <c r="F46" s="82">
        <f>IF(OR(D46="",E46=""),"",24*(E46-D46))</f>
        <v/>
      </c>
      <c r="G46" s="83" t="n"/>
      <c r="H46" s="83" t="n"/>
      <c r="I46" s="83" t="n"/>
      <c r="J46" s="83" t="n"/>
      <c r="K46" s="83" t="n"/>
      <c r="L46" s="83" t="n"/>
      <c r="M46" s="83" t="n"/>
      <c r="N46" s="83" t="n"/>
      <c r="O46" s="83" t="n">
        <v>5</v>
      </c>
      <c r="P46" s="36" t="inlineStr">
        <is>
          <t>vps</t>
        </is>
      </c>
      <c r="Q46" s="36" t="n"/>
    </row>
    <row r="47">
      <c r="A47" s="79" t="n">
        <v>46301</v>
      </c>
      <c r="B47" s="37" t="inlineStr">
        <is>
          <t>Chưa chạy</t>
        </is>
      </c>
      <c r="C47" s="37" t="n"/>
      <c r="D47" s="90" t="n"/>
      <c r="E47" s="90" t="n"/>
      <c r="F47" s="85">
        <f>IF(OR(D47="",E47=""),"",24*(E47-D47))</f>
        <v/>
      </c>
      <c r="G47" s="86" t="n"/>
      <c r="H47" s="86" t="n"/>
      <c r="I47" s="86" t="n"/>
      <c r="J47" s="86" t="n"/>
      <c r="K47" s="86" t="n"/>
      <c r="L47" s="86" t="n"/>
      <c r="M47" s="86" t="n"/>
      <c r="N47" s="86" t="n"/>
      <c r="O47" s="86" t="n">
        <v>5</v>
      </c>
      <c r="P47" s="37" t="inlineStr">
        <is>
          <t>vps</t>
        </is>
      </c>
      <c r="Q47" s="37" t="n"/>
    </row>
    <row r="48">
      <c r="A48" s="76" t="n">
        <v>46302</v>
      </c>
      <c r="B48" s="36" t="inlineStr">
        <is>
          <t>Chưa chạy</t>
        </is>
      </c>
      <c r="C48" s="36" t="n"/>
      <c r="D48" s="89" t="n"/>
      <c r="E48" s="89" t="n"/>
      <c r="F48" s="82">
        <f>IF(OR(D48="",E48=""),"",24*(E48-D48))</f>
        <v/>
      </c>
      <c r="G48" s="83" t="n"/>
      <c r="H48" s="83" t="n"/>
      <c r="I48" s="83" t="n"/>
      <c r="J48" s="83" t="n"/>
      <c r="K48" s="83" t="n"/>
      <c r="L48" s="83" t="n"/>
      <c r="M48" s="83" t="n"/>
      <c r="N48" s="83" t="n"/>
      <c r="O48" s="83" t="n">
        <v>5</v>
      </c>
      <c r="P48" s="36" t="inlineStr">
        <is>
          <t>vps</t>
        </is>
      </c>
      <c r="Q48" s="36" t="n"/>
    </row>
    <row r="49">
      <c r="A49" s="79" t="n">
        <v>46303</v>
      </c>
      <c r="B49" s="37" t="inlineStr">
        <is>
          <t>Chưa chạy</t>
        </is>
      </c>
      <c r="C49" s="37" t="n"/>
      <c r="D49" s="90" t="n"/>
      <c r="E49" s="90" t="n"/>
      <c r="F49" s="85">
        <f>IF(OR(D49="",E49=""),"",24*(E49-D49))</f>
        <v/>
      </c>
      <c r="G49" s="86" t="n"/>
      <c r="H49" s="86" t="n"/>
      <c r="I49" s="86" t="n"/>
      <c r="J49" s="86" t="n"/>
      <c r="K49" s="86" t="n"/>
      <c r="L49" s="86" t="n"/>
      <c r="M49" s="86" t="n"/>
      <c r="N49" s="86" t="n"/>
      <c r="O49" s="86" t="n">
        <v>5</v>
      </c>
      <c r="P49" s="37" t="inlineStr">
        <is>
          <t>vps</t>
        </is>
      </c>
      <c r="Q49" s="37" t="n"/>
    </row>
    <row r="50">
      <c r="A50" s="76" t="n">
        <v>46304</v>
      </c>
      <c r="B50" s="36" t="inlineStr">
        <is>
          <t>Chưa chạy</t>
        </is>
      </c>
      <c r="C50" s="36" t="n"/>
      <c r="D50" s="89" t="n"/>
      <c r="E50" s="89" t="n"/>
      <c r="F50" s="82">
        <f>IF(OR(D50="",E50=""),"",24*(E50-D50))</f>
        <v/>
      </c>
      <c r="G50" s="83" t="n"/>
      <c r="H50" s="83" t="n"/>
      <c r="I50" s="83" t="n"/>
      <c r="J50" s="83" t="n"/>
      <c r="K50" s="83" t="n"/>
      <c r="L50" s="83" t="n"/>
      <c r="M50" s="83" t="n"/>
      <c r="N50" s="83" t="n"/>
      <c r="O50" s="83" t="n">
        <v>5</v>
      </c>
      <c r="P50" s="36" t="inlineStr">
        <is>
          <t>vps</t>
        </is>
      </c>
      <c r="Q50" s="36" t="n"/>
    </row>
    <row r="51">
      <c r="A51" s="79" t="n">
        <v>46305</v>
      </c>
      <c r="B51" s="37" t="inlineStr">
        <is>
          <t>Chưa chạy</t>
        </is>
      </c>
      <c r="C51" s="37" t="n"/>
      <c r="D51" s="90" t="n"/>
      <c r="E51" s="90" t="n"/>
      <c r="F51" s="85">
        <f>IF(OR(D51="",E51=""),"",24*(E51-D51))</f>
        <v/>
      </c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>
        <v>5</v>
      </c>
      <c r="P51" s="37" t="inlineStr">
        <is>
          <t>vps</t>
        </is>
      </c>
      <c r="Q51" s="37" t="n"/>
    </row>
    <row r="52">
      <c r="A52" s="76" t="n">
        <v>46306</v>
      </c>
      <c r="B52" s="36" t="inlineStr">
        <is>
          <t>Chưa chạy</t>
        </is>
      </c>
      <c r="C52" s="36" t="n"/>
      <c r="D52" s="89" t="n"/>
      <c r="E52" s="89" t="n"/>
      <c r="F52" s="82">
        <f>IF(OR(D52="",E52=""),"",24*(E52-D52))</f>
        <v/>
      </c>
      <c r="G52" s="83" t="n"/>
      <c r="H52" s="83" t="n"/>
      <c r="I52" s="83" t="n"/>
      <c r="J52" s="83" t="n"/>
      <c r="K52" s="83" t="n"/>
      <c r="L52" s="83" t="n"/>
      <c r="M52" s="83" t="n"/>
      <c r="N52" s="83" t="n"/>
      <c r="O52" s="83" t="n">
        <v>5</v>
      </c>
      <c r="P52" s="36" t="inlineStr">
        <is>
          <t>vps</t>
        </is>
      </c>
      <c r="Q52" s="36" t="n"/>
    </row>
    <row r="53">
      <c r="A53" s="79" t="n">
        <v>46307</v>
      </c>
      <c r="B53" s="37" t="inlineStr">
        <is>
          <t>Chưa chạy</t>
        </is>
      </c>
      <c r="C53" s="37" t="n"/>
      <c r="D53" s="90" t="n"/>
      <c r="E53" s="90" t="n"/>
      <c r="F53" s="85">
        <f>IF(OR(D53="",E53=""),"",24*(E53-D53))</f>
        <v/>
      </c>
      <c r="G53" s="86" t="n"/>
      <c r="H53" s="86" t="n"/>
      <c r="I53" s="86" t="n"/>
      <c r="J53" s="86" t="n"/>
      <c r="K53" s="86" t="n"/>
      <c r="L53" s="86" t="n"/>
      <c r="M53" s="86" t="n"/>
      <c r="N53" s="86" t="n"/>
      <c r="O53" s="86" t="n">
        <v>5</v>
      </c>
      <c r="P53" s="37" t="inlineStr">
        <is>
          <t>vps</t>
        </is>
      </c>
      <c r="Q53" s="37" t="n"/>
    </row>
    <row r="54">
      <c r="A54" s="76" t="n">
        <v>46308</v>
      </c>
      <c r="B54" s="36" t="inlineStr">
        <is>
          <t>Chưa chạy</t>
        </is>
      </c>
      <c r="C54" s="36" t="n"/>
      <c r="D54" s="89" t="n"/>
      <c r="E54" s="89" t="n"/>
      <c r="F54" s="82">
        <f>IF(OR(D54="",E54=""),"",24*(E54-D54))</f>
        <v/>
      </c>
      <c r="G54" s="83" t="n"/>
      <c r="H54" s="83" t="n"/>
      <c r="I54" s="83" t="n"/>
      <c r="J54" s="83" t="n"/>
      <c r="K54" s="83" t="n"/>
      <c r="L54" s="83" t="n"/>
      <c r="M54" s="83" t="n"/>
      <c r="N54" s="83" t="n"/>
      <c r="O54" s="83" t="n">
        <v>5</v>
      </c>
      <c r="P54" s="36" t="inlineStr">
        <is>
          <t>vps</t>
        </is>
      </c>
      <c r="Q54" s="36" t="n"/>
    </row>
    <row r="55">
      <c r="A55" s="79" t="n">
        <v>46309</v>
      </c>
      <c r="B55" s="37" t="inlineStr">
        <is>
          <t>Chưa chạy</t>
        </is>
      </c>
      <c r="C55" s="37" t="n"/>
      <c r="D55" s="90" t="n"/>
      <c r="E55" s="90" t="n"/>
      <c r="F55" s="85">
        <f>IF(OR(D55="",E55=""),"",24*(E55-D55))</f>
        <v/>
      </c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>
        <v>5</v>
      </c>
      <c r="P55" s="37" t="inlineStr">
        <is>
          <t>vps</t>
        </is>
      </c>
      <c r="Q55" s="37" t="n"/>
    </row>
    <row r="56">
      <c r="A56" s="76" t="n">
        <v>46310</v>
      </c>
      <c r="B56" s="36" t="inlineStr">
        <is>
          <t>Chưa chạy</t>
        </is>
      </c>
      <c r="C56" s="36" t="n"/>
      <c r="D56" s="89" t="n"/>
      <c r="E56" s="89" t="n"/>
      <c r="F56" s="82">
        <f>IF(OR(D56="",E56=""),"",24*(E56-D56))</f>
        <v/>
      </c>
      <c r="G56" s="83" t="n"/>
      <c r="H56" s="83" t="n"/>
      <c r="I56" s="83" t="n"/>
      <c r="J56" s="83" t="n"/>
      <c r="K56" s="83" t="n"/>
      <c r="L56" s="83" t="n"/>
      <c r="M56" s="83" t="n"/>
      <c r="N56" s="83" t="n"/>
      <c r="O56" s="83" t="n">
        <v>5</v>
      </c>
      <c r="P56" s="36" t="inlineStr">
        <is>
          <t>vps</t>
        </is>
      </c>
      <c r="Q56" s="36" t="n"/>
    </row>
    <row r="57">
      <c r="A57" s="79" t="n">
        <v>46311</v>
      </c>
      <c r="B57" s="37" t="inlineStr">
        <is>
          <t>Chưa chạy</t>
        </is>
      </c>
      <c r="C57" s="37" t="n"/>
      <c r="D57" s="90" t="n"/>
      <c r="E57" s="90" t="n"/>
      <c r="F57" s="85">
        <f>IF(OR(D57="",E57=""),"",24*(E57-D57))</f>
        <v/>
      </c>
      <c r="G57" s="86" t="n"/>
      <c r="H57" s="86" t="n"/>
      <c r="I57" s="86" t="n"/>
      <c r="J57" s="86" t="n"/>
      <c r="K57" s="86" t="n"/>
      <c r="L57" s="86" t="n"/>
      <c r="M57" s="86" t="n"/>
      <c r="N57" s="86" t="n"/>
      <c r="O57" s="86" t="n">
        <v>5</v>
      </c>
      <c r="P57" s="37" t="inlineStr">
        <is>
          <t>vps</t>
        </is>
      </c>
      <c r="Q57" s="37" t="n"/>
    </row>
    <row r="58">
      <c r="A58" s="76" t="n">
        <v>46312</v>
      </c>
      <c r="B58" s="36" t="inlineStr">
        <is>
          <t>Chưa chạy</t>
        </is>
      </c>
      <c r="C58" s="36" t="n"/>
      <c r="D58" s="89" t="n"/>
      <c r="E58" s="89" t="n"/>
      <c r="F58" s="82">
        <f>IF(OR(D58="",E58=""),"",24*(E58-D58))</f>
        <v/>
      </c>
      <c r="G58" s="83" t="n"/>
      <c r="H58" s="83" t="n"/>
      <c r="I58" s="83" t="n"/>
      <c r="J58" s="83" t="n"/>
      <c r="K58" s="83" t="n"/>
      <c r="L58" s="83" t="n"/>
      <c r="M58" s="83" t="n"/>
      <c r="N58" s="83" t="n"/>
      <c r="O58" s="83" t="n">
        <v>5</v>
      </c>
      <c r="P58" s="36" t="inlineStr">
        <is>
          <t>vps</t>
        </is>
      </c>
      <c r="Q58" s="36" t="n"/>
    </row>
    <row r="59">
      <c r="A59" s="79" t="n">
        <v>46313</v>
      </c>
      <c r="B59" s="37" t="inlineStr">
        <is>
          <t>Chưa chạy</t>
        </is>
      </c>
      <c r="C59" s="37" t="n"/>
      <c r="D59" s="90" t="n"/>
      <c r="E59" s="90" t="n"/>
      <c r="F59" s="85">
        <f>IF(OR(D59="",E59=""),"",24*(E59-D59))</f>
        <v/>
      </c>
      <c r="G59" s="86" t="n"/>
      <c r="H59" s="86" t="n"/>
      <c r="I59" s="86" t="n"/>
      <c r="J59" s="86" t="n"/>
      <c r="K59" s="86" t="n"/>
      <c r="L59" s="86" t="n"/>
      <c r="M59" s="86" t="n"/>
      <c r="N59" s="86" t="n"/>
      <c r="O59" s="86" t="n">
        <v>5</v>
      </c>
      <c r="P59" s="37" t="inlineStr">
        <is>
          <t>vps</t>
        </is>
      </c>
      <c r="Q59" s="37" t="n"/>
    </row>
    <row r="60">
      <c r="A60" s="76" t="n">
        <v>46314</v>
      </c>
      <c r="B60" s="36" t="inlineStr">
        <is>
          <t>Chưa chạy</t>
        </is>
      </c>
      <c r="C60" s="36" t="n"/>
      <c r="D60" s="89" t="n"/>
      <c r="E60" s="89" t="n"/>
      <c r="F60" s="82">
        <f>IF(OR(D60="",E60=""),"",24*(E60-D60))</f>
        <v/>
      </c>
      <c r="G60" s="83" t="n"/>
      <c r="H60" s="83" t="n"/>
      <c r="I60" s="83" t="n"/>
      <c r="J60" s="83" t="n"/>
      <c r="K60" s="83" t="n"/>
      <c r="L60" s="83" t="n"/>
      <c r="M60" s="83" t="n"/>
      <c r="N60" s="83" t="n"/>
      <c r="O60" s="83" t="n">
        <v>5</v>
      </c>
      <c r="P60" s="36" t="inlineStr">
        <is>
          <t>vps</t>
        </is>
      </c>
      <c r="Q60" s="36" t="n"/>
    </row>
    <row r="61">
      <c r="A61" s="79" t="n">
        <v>46315</v>
      </c>
      <c r="B61" s="37" t="inlineStr">
        <is>
          <t>Chưa chạy</t>
        </is>
      </c>
      <c r="C61" s="37" t="n"/>
      <c r="D61" s="90" t="n"/>
      <c r="E61" s="90" t="n"/>
      <c r="F61" s="85">
        <f>IF(OR(D61="",E61=""),"",24*(E61-D61))</f>
        <v/>
      </c>
      <c r="G61" s="86" t="n"/>
      <c r="H61" s="86" t="n"/>
      <c r="I61" s="86" t="n"/>
      <c r="J61" s="86" t="n"/>
      <c r="K61" s="86" t="n"/>
      <c r="L61" s="86" t="n"/>
      <c r="M61" s="86" t="n"/>
      <c r="N61" s="86" t="n"/>
      <c r="O61" s="86" t="n">
        <v>5</v>
      </c>
      <c r="P61" s="37" t="inlineStr">
        <is>
          <t>vps</t>
        </is>
      </c>
      <c r="Q61" s="37" t="n"/>
    </row>
    <row r="62">
      <c r="A62" s="76" t="n">
        <v>46316</v>
      </c>
      <c r="B62" s="36" t="inlineStr">
        <is>
          <t>Chưa chạy</t>
        </is>
      </c>
      <c r="C62" s="36" t="n"/>
      <c r="D62" s="89" t="n"/>
      <c r="E62" s="89" t="n"/>
      <c r="F62" s="82">
        <f>IF(OR(D62="",E62=""),"",24*(E62-D62))</f>
        <v/>
      </c>
      <c r="G62" s="83" t="n"/>
      <c r="H62" s="83" t="n"/>
      <c r="I62" s="83" t="n"/>
      <c r="J62" s="83" t="n"/>
      <c r="K62" s="83" t="n"/>
      <c r="L62" s="83" t="n"/>
      <c r="M62" s="83" t="n"/>
      <c r="N62" s="83" t="n"/>
      <c r="O62" s="83" t="n">
        <v>5</v>
      </c>
      <c r="P62" s="36" t="inlineStr">
        <is>
          <t>vps</t>
        </is>
      </c>
      <c r="Q62" s="36" t="n"/>
    </row>
    <row r="63">
      <c r="A63" s="79" t="n">
        <v>46317</v>
      </c>
      <c r="B63" s="37" t="inlineStr">
        <is>
          <t>Chưa chạy</t>
        </is>
      </c>
      <c r="C63" s="37" t="n"/>
      <c r="D63" s="90" t="n"/>
      <c r="E63" s="90" t="n"/>
      <c r="F63" s="85">
        <f>IF(OR(D63="",E63=""),"",24*(E63-D63))</f>
        <v/>
      </c>
      <c r="G63" s="86" t="n"/>
      <c r="H63" s="86" t="n"/>
      <c r="I63" s="86" t="n"/>
      <c r="J63" s="86" t="n"/>
      <c r="K63" s="86" t="n"/>
      <c r="L63" s="86" t="n"/>
      <c r="M63" s="86" t="n"/>
      <c r="N63" s="86" t="n"/>
      <c r="O63" s="86" t="n">
        <v>5</v>
      </c>
      <c r="P63" s="37" t="inlineStr">
        <is>
          <t>vps</t>
        </is>
      </c>
      <c r="Q63" s="37" t="n"/>
    </row>
    <row r="64">
      <c r="A64" s="76" t="n">
        <v>46318</v>
      </c>
      <c r="B64" s="36" t="inlineStr">
        <is>
          <t>Chưa chạy</t>
        </is>
      </c>
      <c r="C64" s="36" t="n"/>
      <c r="D64" s="89" t="n"/>
      <c r="E64" s="89" t="n"/>
      <c r="F64" s="82">
        <f>IF(OR(D64="",E64=""),"",24*(E64-D64))</f>
        <v/>
      </c>
      <c r="G64" s="83" t="n"/>
      <c r="H64" s="83" t="n"/>
      <c r="I64" s="83" t="n"/>
      <c r="J64" s="83" t="n"/>
      <c r="K64" s="83" t="n"/>
      <c r="L64" s="83" t="n"/>
      <c r="M64" s="83" t="n"/>
      <c r="N64" s="83" t="n"/>
      <c r="O64" s="83" t="n">
        <v>5</v>
      </c>
      <c r="P64" s="36" t="inlineStr">
        <is>
          <t>vps</t>
        </is>
      </c>
      <c r="Q64" s="36" t="n"/>
    </row>
    <row r="65">
      <c r="A65" s="79" t="n">
        <v>46319</v>
      </c>
      <c r="B65" s="37" t="inlineStr">
        <is>
          <t>Chưa chạy</t>
        </is>
      </c>
      <c r="C65" s="37" t="n"/>
      <c r="D65" s="90" t="n"/>
      <c r="E65" s="90" t="n"/>
      <c r="F65" s="85">
        <f>IF(OR(D65="",E65=""),"",24*(E65-D65))</f>
        <v/>
      </c>
      <c r="G65" s="86" t="n"/>
      <c r="H65" s="86" t="n"/>
      <c r="I65" s="86" t="n"/>
      <c r="J65" s="86" t="n"/>
      <c r="K65" s="86" t="n"/>
      <c r="L65" s="86" t="n"/>
      <c r="M65" s="86" t="n"/>
      <c r="N65" s="86" t="n"/>
      <c r="O65" s="86" t="n">
        <v>5</v>
      </c>
      <c r="P65" s="37" t="inlineStr">
        <is>
          <t>vps</t>
        </is>
      </c>
      <c r="Q65" s="37" t="n"/>
    </row>
    <row r="66">
      <c r="A66" s="76" t="n">
        <v>46320</v>
      </c>
      <c r="B66" s="36" t="inlineStr">
        <is>
          <t>Chưa chạy</t>
        </is>
      </c>
      <c r="C66" s="36" t="n"/>
      <c r="D66" s="89" t="n"/>
      <c r="E66" s="89" t="n"/>
      <c r="F66" s="82">
        <f>IF(OR(D66="",E66=""),"",24*(E66-D66))</f>
        <v/>
      </c>
      <c r="G66" s="83" t="n"/>
      <c r="H66" s="83" t="n"/>
      <c r="I66" s="83" t="n"/>
      <c r="J66" s="83" t="n"/>
      <c r="K66" s="83" t="n"/>
      <c r="L66" s="83" t="n"/>
      <c r="M66" s="83" t="n"/>
      <c r="N66" s="83" t="n"/>
      <c r="O66" s="83" t="n">
        <v>5</v>
      </c>
      <c r="P66" s="36" t="inlineStr">
        <is>
          <t>vps</t>
        </is>
      </c>
      <c r="Q66" s="36" t="n"/>
    </row>
    <row r="67">
      <c r="A67" s="79" t="n">
        <v>46321</v>
      </c>
      <c r="B67" s="37" t="inlineStr">
        <is>
          <t>Chưa chạy</t>
        </is>
      </c>
      <c r="C67" s="37" t="n"/>
      <c r="D67" s="90" t="n"/>
      <c r="E67" s="90" t="n"/>
      <c r="F67" s="85">
        <f>IF(OR(D67="",E67=""),"",24*(E67-D67))</f>
        <v/>
      </c>
      <c r="G67" s="86" t="n"/>
      <c r="H67" s="86" t="n"/>
      <c r="I67" s="86" t="n"/>
      <c r="J67" s="86" t="n"/>
      <c r="K67" s="86" t="n"/>
      <c r="L67" s="86" t="n"/>
      <c r="M67" s="86" t="n"/>
      <c r="N67" s="86" t="n"/>
      <c r="O67" s="86" t="n">
        <v>5</v>
      </c>
      <c r="P67" s="37" t="inlineStr">
        <is>
          <t>vps</t>
        </is>
      </c>
      <c r="Q67" s="37" t="n"/>
    </row>
    <row r="68">
      <c r="A68" s="76" t="n">
        <v>46322</v>
      </c>
      <c r="B68" s="36" t="inlineStr">
        <is>
          <t>Chưa chạy</t>
        </is>
      </c>
      <c r="C68" s="36" t="n"/>
      <c r="D68" s="89" t="n"/>
      <c r="E68" s="89" t="n"/>
      <c r="F68" s="82">
        <f>IF(OR(D68="",E68=""),"",24*(E68-D68))</f>
        <v/>
      </c>
      <c r="G68" s="83" t="n"/>
      <c r="H68" s="83" t="n"/>
      <c r="I68" s="83" t="n"/>
      <c r="J68" s="83" t="n"/>
      <c r="K68" s="83" t="n"/>
      <c r="L68" s="83" t="n"/>
      <c r="M68" s="83" t="n"/>
      <c r="N68" s="83" t="n"/>
      <c r="O68" s="83" t="n">
        <v>5</v>
      </c>
      <c r="P68" s="36" t="inlineStr">
        <is>
          <t>vps</t>
        </is>
      </c>
      <c r="Q68" s="36" t="n"/>
    </row>
    <row r="69">
      <c r="A69" s="79" t="n">
        <v>46323</v>
      </c>
      <c r="B69" s="37" t="inlineStr">
        <is>
          <t>Chưa chạy</t>
        </is>
      </c>
      <c r="C69" s="37" t="n"/>
      <c r="D69" s="90" t="n"/>
      <c r="E69" s="90" t="n"/>
      <c r="F69" s="85">
        <f>IF(OR(D69="",E69=""),"",24*(E69-D69))</f>
        <v/>
      </c>
      <c r="G69" s="86" t="n"/>
      <c r="H69" s="86" t="n"/>
      <c r="I69" s="86" t="n"/>
      <c r="J69" s="86" t="n"/>
      <c r="K69" s="86" t="n"/>
      <c r="L69" s="86" t="n"/>
      <c r="M69" s="86" t="n"/>
      <c r="N69" s="86" t="n"/>
      <c r="O69" s="86" t="n">
        <v>5</v>
      </c>
      <c r="P69" s="37" t="inlineStr">
        <is>
          <t>vps</t>
        </is>
      </c>
      <c r="Q69" s="37" t="n"/>
    </row>
    <row r="70">
      <c r="A70" s="76" t="n">
        <v>46324</v>
      </c>
      <c r="B70" s="36" t="inlineStr">
        <is>
          <t>Chưa chạy</t>
        </is>
      </c>
      <c r="C70" s="36" t="n"/>
      <c r="D70" s="89" t="n"/>
      <c r="E70" s="89" t="n"/>
      <c r="F70" s="82">
        <f>IF(OR(D70="",E70=""),"",24*(E70-D70))</f>
        <v/>
      </c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>
        <v>5</v>
      </c>
      <c r="P70" s="36" t="inlineStr">
        <is>
          <t>vps</t>
        </is>
      </c>
      <c r="Q70" s="36" t="n"/>
    </row>
    <row r="71">
      <c r="A71" s="79" t="n">
        <v>46325</v>
      </c>
      <c r="B71" s="37" t="inlineStr">
        <is>
          <t>Chưa chạy</t>
        </is>
      </c>
      <c r="C71" s="37" t="n"/>
      <c r="D71" s="90" t="n"/>
      <c r="E71" s="90" t="n"/>
      <c r="F71" s="85">
        <f>IF(OR(D71="",E71=""),"",24*(E71-D71))</f>
        <v/>
      </c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>
        <v>5</v>
      </c>
      <c r="P71" s="37" t="inlineStr">
        <is>
          <t>vps</t>
        </is>
      </c>
      <c r="Q71" s="37" t="n"/>
    </row>
    <row r="72">
      <c r="A72" s="76" t="n">
        <v>46326</v>
      </c>
      <c r="B72" s="36" t="inlineStr">
        <is>
          <t>Chưa chạy</t>
        </is>
      </c>
      <c r="C72" s="36" t="n"/>
      <c r="D72" s="89" t="n"/>
      <c r="E72" s="89" t="n"/>
      <c r="F72" s="82">
        <f>IF(OR(D72="",E72=""),"",24*(E72-D72))</f>
        <v/>
      </c>
      <c r="G72" s="83" t="n"/>
      <c r="H72" s="83" t="n"/>
      <c r="I72" s="83" t="n"/>
      <c r="J72" s="83" t="n"/>
      <c r="K72" s="83" t="n"/>
      <c r="L72" s="83" t="n"/>
      <c r="M72" s="83" t="n"/>
      <c r="N72" s="83" t="n"/>
      <c r="O72" s="83" t="n">
        <v>5</v>
      </c>
      <c r="P72" s="36" t="inlineStr">
        <is>
          <t>vps</t>
        </is>
      </c>
      <c r="Q72" s="36" t="n"/>
    </row>
    <row r="73">
      <c r="A73" s="79" t="n">
        <v>46327</v>
      </c>
      <c r="B73" s="37" t="inlineStr">
        <is>
          <t>Chưa chạy</t>
        </is>
      </c>
      <c r="C73" s="37" t="n"/>
      <c r="D73" s="90" t="n"/>
      <c r="E73" s="90" t="n"/>
      <c r="F73" s="85">
        <f>IF(OR(D73="",E73=""),"",24*(E73-D73))</f>
        <v/>
      </c>
      <c r="G73" s="86" t="n"/>
      <c r="H73" s="86" t="n"/>
      <c r="I73" s="86" t="n"/>
      <c r="J73" s="86" t="n"/>
      <c r="K73" s="86" t="n"/>
      <c r="L73" s="86" t="n"/>
      <c r="M73" s="86" t="n"/>
      <c r="N73" s="86" t="n"/>
      <c r="O73" s="86" t="n">
        <v>5</v>
      </c>
      <c r="P73" s="37" t="inlineStr">
        <is>
          <t>vps</t>
        </is>
      </c>
      <c r="Q73" s="37" t="n"/>
    </row>
    <row r="74">
      <c r="A74" s="76" t="n">
        <v>46328</v>
      </c>
      <c r="B74" s="36" t="inlineStr">
        <is>
          <t>Chưa chạy</t>
        </is>
      </c>
      <c r="C74" s="36" t="n"/>
      <c r="D74" s="89" t="n"/>
      <c r="E74" s="89" t="n"/>
      <c r="F74" s="82">
        <f>IF(OR(D74="",E74=""),"",24*(E74-D74))</f>
        <v/>
      </c>
      <c r="G74" s="83" t="n"/>
      <c r="H74" s="83" t="n"/>
      <c r="I74" s="83" t="n"/>
      <c r="J74" s="83" t="n"/>
      <c r="K74" s="83" t="n"/>
      <c r="L74" s="83" t="n"/>
      <c r="M74" s="83" t="n"/>
      <c r="N74" s="83" t="n"/>
      <c r="O74" s="83" t="n">
        <v>5</v>
      </c>
      <c r="P74" s="36" t="inlineStr">
        <is>
          <t>vps</t>
        </is>
      </c>
      <c r="Q74" s="36" t="n"/>
    </row>
    <row r="75">
      <c r="A75" s="79" t="n">
        <v>46329</v>
      </c>
      <c r="B75" s="37" t="inlineStr">
        <is>
          <t>Chưa chạy</t>
        </is>
      </c>
      <c r="C75" s="37" t="n"/>
      <c r="D75" s="90" t="n"/>
      <c r="E75" s="90" t="n"/>
      <c r="F75" s="85">
        <f>IF(OR(D75="",E75=""),"",24*(E75-D75))</f>
        <v/>
      </c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>
        <v>5</v>
      </c>
      <c r="P75" s="37" t="inlineStr">
        <is>
          <t>vps</t>
        </is>
      </c>
      <c r="Q75" s="37" t="n"/>
    </row>
    <row r="76">
      <c r="A76" s="76" t="n">
        <v>46330</v>
      </c>
      <c r="B76" s="36" t="inlineStr">
        <is>
          <t>Chưa chạy</t>
        </is>
      </c>
      <c r="C76" s="36" t="n"/>
      <c r="D76" s="89" t="n"/>
      <c r="E76" s="89" t="n"/>
      <c r="F76" s="82">
        <f>IF(OR(D76="",E76=""),"",24*(E76-D76))</f>
        <v/>
      </c>
      <c r="G76" s="83" t="n"/>
      <c r="H76" s="83" t="n"/>
      <c r="I76" s="83" t="n"/>
      <c r="J76" s="83" t="n"/>
      <c r="K76" s="83" t="n"/>
      <c r="L76" s="83" t="n"/>
      <c r="M76" s="83" t="n"/>
      <c r="N76" s="83" t="n"/>
      <c r="O76" s="83" t="n">
        <v>5</v>
      </c>
      <c r="P76" s="36" t="inlineStr">
        <is>
          <t>vps</t>
        </is>
      </c>
      <c r="Q76" s="36" t="n"/>
    </row>
    <row r="77">
      <c r="A77" s="79" t="n">
        <v>46331</v>
      </c>
      <c r="B77" s="37" t="inlineStr">
        <is>
          <t>Chưa chạy</t>
        </is>
      </c>
      <c r="C77" s="37" t="n"/>
      <c r="D77" s="90" t="n"/>
      <c r="E77" s="90" t="n"/>
      <c r="F77" s="85">
        <f>IF(OR(D77="",E77=""),"",24*(E77-D77))</f>
        <v/>
      </c>
      <c r="G77" s="86" t="n"/>
      <c r="H77" s="86" t="n"/>
      <c r="I77" s="86" t="n"/>
      <c r="J77" s="86" t="n"/>
      <c r="K77" s="86" t="n"/>
      <c r="L77" s="86" t="n"/>
      <c r="M77" s="86" t="n"/>
      <c r="N77" s="86" t="n"/>
      <c r="O77" s="86" t="n">
        <v>5</v>
      </c>
      <c r="P77" s="37" t="inlineStr">
        <is>
          <t>vps</t>
        </is>
      </c>
      <c r="Q77" s="37" t="n"/>
    </row>
    <row r="78">
      <c r="A78" s="76" t="n">
        <v>46332</v>
      </c>
      <c r="B78" s="36" t="inlineStr">
        <is>
          <t>Chưa chạy</t>
        </is>
      </c>
      <c r="C78" s="36" t="n"/>
      <c r="D78" s="89" t="n"/>
      <c r="E78" s="89" t="n"/>
      <c r="F78" s="82">
        <f>IF(OR(D78="",E78=""),"",24*(E78-D78))</f>
        <v/>
      </c>
      <c r="G78" s="83" t="n"/>
      <c r="H78" s="83" t="n"/>
      <c r="I78" s="83" t="n"/>
      <c r="J78" s="83" t="n"/>
      <c r="K78" s="83" t="n"/>
      <c r="L78" s="83" t="n"/>
      <c r="M78" s="83" t="n"/>
      <c r="N78" s="83" t="n"/>
      <c r="O78" s="83" t="n">
        <v>5</v>
      </c>
      <c r="P78" s="36" t="inlineStr">
        <is>
          <t>vps</t>
        </is>
      </c>
      <c r="Q78" s="36" t="n"/>
    </row>
    <row r="79">
      <c r="A79" s="79" t="n">
        <v>46333</v>
      </c>
      <c r="B79" s="37" t="inlineStr">
        <is>
          <t>Chưa chạy</t>
        </is>
      </c>
      <c r="C79" s="37" t="n"/>
      <c r="D79" s="90" t="n"/>
      <c r="E79" s="90" t="n"/>
      <c r="F79" s="85">
        <f>IF(OR(D79="",E79=""),"",24*(E79-D79))</f>
        <v/>
      </c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>
        <v>5</v>
      </c>
      <c r="P79" s="37" t="inlineStr">
        <is>
          <t>vps</t>
        </is>
      </c>
      <c r="Q79" s="37" t="n"/>
    </row>
    <row r="80">
      <c r="A80" s="76" t="n">
        <v>46334</v>
      </c>
      <c r="B80" s="36" t="inlineStr">
        <is>
          <t>Chưa chạy</t>
        </is>
      </c>
      <c r="C80" s="36" t="n"/>
      <c r="D80" s="89" t="n"/>
      <c r="E80" s="89" t="n"/>
      <c r="F80" s="82">
        <f>IF(OR(D80="",E80=""),"",24*(E80-D80))</f>
        <v/>
      </c>
      <c r="G80" s="83" t="n"/>
      <c r="H80" s="83" t="n"/>
      <c r="I80" s="83" t="n"/>
      <c r="J80" s="83" t="n"/>
      <c r="K80" s="83" t="n"/>
      <c r="L80" s="83" t="n"/>
      <c r="M80" s="83" t="n"/>
      <c r="N80" s="83" t="n"/>
      <c r="O80" s="83" t="n">
        <v>5</v>
      </c>
      <c r="P80" s="36" t="inlineStr">
        <is>
          <t>vps</t>
        </is>
      </c>
      <c r="Q80" s="36" t="n"/>
    </row>
    <row r="81">
      <c r="A81" s="79" t="n">
        <v>46335</v>
      </c>
      <c r="B81" s="37" t="inlineStr">
        <is>
          <t>Chưa chạy</t>
        </is>
      </c>
      <c r="C81" s="37" t="n"/>
      <c r="D81" s="90" t="n"/>
      <c r="E81" s="90" t="n"/>
      <c r="F81" s="85">
        <f>IF(OR(D81="",E81=""),"",24*(E81-D81))</f>
        <v/>
      </c>
      <c r="G81" s="86" t="n"/>
      <c r="H81" s="86" t="n"/>
      <c r="I81" s="86" t="n"/>
      <c r="J81" s="86" t="n"/>
      <c r="K81" s="86" t="n"/>
      <c r="L81" s="86" t="n"/>
      <c r="M81" s="86" t="n"/>
      <c r="N81" s="86" t="n"/>
      <c r="O81" s="86" t="n">
        <v>5</v>
      </c>
      <c r="P81" s="37" t="inlineStr">
        <is>
          <t>vps</t>
        </is>
      </c>
      <c r="Q81" s="37" t="n"/>
    </row>
    <row r="82">
      <c r="A82" s="76" t="n">
        <v>46336</v>
      </c>
      <c r="B82" s="36" t="inlineStr">
        <is>
          <t>Chưa chạy</t>
        </is>
      </c>
      <c r="C82" s="36" t="n"/>
      <c r="D82" s="89" t="n"/>
      <c r="E82" s="89" t="n"/>
      <c r="F82" s="82">
        <f>IF(OR(D82="",E82=""),"",24*(E82-D82))</f>
        <v/>
      </c>
      <c r="G82" s="83" t="n"/>
      <c r="H82" s="83" t="n"/>
      <c r="I82" s="83" t="n"/>
      <c r="J82" s="83" t="n"/>
      <c r="K82" s="83" t="n"/>
      <c r="L82" s="83" t="n"/>
      <c r="M82" s="83" t="n"/>
      <c r="N82" s="83" t="n"/>
      <c r="O82" s="83" t="n">
        <v>5</v>
      </c>
      <c r="P82" s="36" t="inlineStr">
        <is>
          <t>vps</t>
        </is>
      </c>
      <c r="Q82" s="36" t="n"/>
    </row>
    <row r="83">
      <c r="A83" s="79" t="n">
        <v>46337</v>
      </c>
      <c r="B83" s="37" t="inlineStr">
        <is>
          <t>Chưa chạy</t>
        </is>
      </c>
      <c r="C83" s="37" t="n"/>
      <c r="D83" s="90" t="n"/>
      <c r="E83" s="90" t="n"/>
      <c r="F83" s="85">
        <f>IF(OR(D83="",E83=""),"",24*(E83-D83))</f>
        <v/>
      </c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>
        <v>5</v>
      </c>
      <c r="P83" s="37" t="inlineStr">
        <is>
          <t>vps</t>
        </is>
      </c>
      <c r="Q83" s="37" t="n"/>
    </row>
    <row r="84">
      <c r="A84" s="76" t="n">
        <v>46338</v>
      </c>
      <c r="B84" s="36" t="inlineStr">
        <is>
          <t>Chưa chạy</t>
        </is>
      </c>
      <c r="C84" s="36" t="n"/>
      <c r="D84" s="89" t="n"/>
      <c r="E84" s="89" t="n"/>
      <c r="F84" s="82">
        <f>IF(OR(D84="",E84=""),"",24*(E84-D84))</f>
        <v/>
      </c>
      <c r="G84" s="83" t="n"/>
      <c r="H84" s="83" t="n"/>
      <c r="I84" s="83" t="n"/>
      <c r="J84" s="83" t="n"/>
      <c r="K84" s="83" t="n"/>
      <c r="L84" s="83" t="n"/>
      <c r="M84" s="83" t="n"/>
      <c r="N84" s="83" t="n"/>
      <c r="O84" s="83" t="n">
        <v>5</v>
      </c>
      <c r="P84" s="36" t="inlineStr">
        <is>
          <t>vps</t>
        </is>
      </c>
      <c r="Q84" s="36" t="n"/>
    </row>
    <row r="85">
      <c r="A85" s="79" t="n">
        <v>46339</v>
      </c>
      <c r="B85" s="37" t="inlineStr">
        <is>
          <t>Chưa chạy</t>
        </is>
      </c>
      <c r="C85" s="37" t="n"/>
      <c r="D85" s="90" t="n"/>
      <c r="E85" s="90" t="n"/>
      <c r="F85" s="85">
        <f>IF(OR(D85="",E85=""),"",24*(E85-D85))</f>
        <v/>
      </c>
      <c r="G85" s="86" t="n"/>
      <c r="H85" s="86" t="n"/>
      <c r="I85" s="86" t="n"/>
      <c r="J85" s="86" t="n"/>
      <c r="K85" s="86" t="n"/>
      <c r="L85" s="86" t="n"/>
      <c r="M85" s="86" t="n"/>
      <c r="N85" s="86" t="n"/>
      <c r="O85" s="86" t="n">
        <v>5</v>
      </c>
      <c r="P85" s="37" t="inlineStr">
        <is>
          <t>vps</t>
        </is>
      </c>
      <c r="Q85" s="37" t="n"/>
    </row>
    <row r="86">
      <c r="A86" s="76" t="n">
        <v>46340</v>
      </c>
      <c r="B86" s="36" t="inlineStr">
        <is>
          <t>Chưa chạy</t>
        </is>
      </c>
      <c r="C86" s="36" t="n"/>
      <c r="D86" s="89" t="n"/>
      <c r="E86" s="89" t="n"/>
      <c r="F86" s="82">
        <f>IF(OR(D86="",E86=""),"",24*(E86-D86))</f>
        <v/>
      </c>
      <c r="G86" s="83" t="n"/>
      <c r="H86" s="83" t="n"/>
      <c r="I86" s="83" t="n"/>
      <c r="J86" s="83" t="n"/>
      <c r="K86" s="83" t="n"/>
      <c r="L86" s="83" t="n"/>
      <c r="M86" s="83" t="n"/>
      <c r="N86" s="83" t="n"/>
      <c r="O86" s="83" t="n">
        <v>5</v>
      </c>
      <c r="P86" s="36" t="inlineStr">
        <is>
          <t>vps</t>
        </is>
      </c>
      <c r="Q86" s="36" t="n"/>
    </row>
    <row r="87">
      <c r="A87" s="79" t="n">
        <v>46341</v>
      </c>
      <c r="B87" s="37" t="inlineStr">
        <is>
          <t>Chưa chạy</t>
        </is>
      </c>
      <c r="C87" s="37" t="n"/>
      <c r="D87" s="90" t="n"/>
      <c r="E87" s="90" t="n"/>
      <c r="F87" s="85">
        <f>IF(OR(D87="",E87=""),"",24*(E87-D87))</f>
        <v/>
      </c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>
        <v>5</v>
      </c>
      <c r="P87" s="37" t="inlineStr">
        <is>
          <t>vps</t>
        </is>
      </c>
      <c r="Q87" s="37" t="n"/>
    </row>
    <row r="88">
      <c r="A88" s="76" t="n">
        <v>46342</v>
      </c>
      <c r="B88" s="36" t="inlineStr">
        <is>
          <t>Chưa chạy</t>
        </is>
      </c>
      <c r="C88" s="36" t="n"/>
      <c r="D88" s="89" t="n"/>
      <c r="E88" s="89" t="n"/>
      <c r="F88" s="82">
        <f>IF(OR(D88="",E88=""),"",24*(E88-D88))</f>
        <v/>
      </c>
      <c r="G88" s="83" t="n"/>
      <c r="H88" s="83" t="n"/>
      <c r="I88" s="83" t="n"/>
      <c r="J88" s="83" t="n"/>
      <c r="K88" s="83" t="n"/>
      <c r="L88" s="83" t="n"/>
      <c r="M88" s="83" t="n"/>
      <c r="N88" s="83" t="n"/>
      <c r="O88" s="83" t="n">
        <v>5</v>
      </c>
      <c r="P88" s="36" t="inlineStr">
        <is>
          <t>vps</t>
        </is>
      </c>
      <c r="Q88" s="36" t="n"/>
    </row>
    <row r="89">
      <c r="A89" s="79" t="n">
        <v>46343</v>
      </c>
      <c r="B89" s="37" t="inlineStr">
        <is>
          <t>Chưa chạy</t>
        </is>
      </c>
      <c r="C89" s="37" t="n"/>
      <c r="D89" s="90" t="n"/>
      <c r="E89" s="90" t="n"/>
      <c r="F89" s="85">
        <f>IF(OR(D89="",E89=""),"",24*(E89-D89))</f>
        <v/>
      </c>
      <c r="G89" s="86" t="n"/>
      <c r="H89" s="86" t="n"/>
      <c r="I89" s="86" t="n"/>
      <c r="J89" s="86" t="n"/>
      <c r="K89" s="86" t="n"/>
      <c r="L89" s="86" t="n"/>
      <c r="M89" s="86" t="n"/>
      <c r="N89" s="86" t="n"/>
      <c r="O89" s="86" t="n">
        <v>5</v>
      </c>
      <c r="P89" s="37" t="inlineStr">
        <is>
          <t>vps</t>
        </is>
      </c>
      <c r="Q89" s="37" t="n"/>
    </row>
    <row r="90">
      <c r="A90" s="76" t="n">
        <v>46344</v>
      </c>
      <c r="B90" s="36" t="inlineStr">
        <is>
          <t>Chưa chạy</t>
        </is>
      </c>
      <c r="C90" s="36" t="n"/>
      <c r="D90" s="89" t="n"/>
      <c r="E90" s="89" t="n"/>
      <c r="F90" s="82">
        <f>IF(OR(D90="",E90=""),"",24*(E90-D90))</f>
        <v/>
      </c>
      <c r="G90" s="83" t="n"/>
      <c r="H90" s="83" t="n"/>
      <c r="I90" s="83" t="n"/>
      <c r="J90" s="83" t="n"/>
      <c r="K90" s="83" t="n"/>
      <c r="L90" s="83" t="n"/>
      <c r="M90" s="83" t="n"/>
      <c r="N90" s="83" t="n"/>
      <c r="O90" s="83" t="n">
        <v>5</v>
      </c>
      <c r="P90" s="36" t="inlineStr">
        <is>
          <t>vps</t>
        </is>
      </c>
      <c r="Q90" s="36" t="n"/>
    </row>
    <row r="91">
      <c r="A91" s="79" t="n">
        <v>46345</v>
      </c>
      <c r="B91" s="37" t="inlineStr">
        <is>
          <t>Chưa chạy</t>
        </is>
      </c>
      <c r="C91" s="37" t="n"/>
      <c r="D91" s="90" t="n"/>
      <c r="E91" s="90" t="n"/>
      <c r="F91" s="85">
        <f>IF(OR(D91="",E91=""),"",24*(E91-D91))</f>
        <v/>
      </c>
      <c r="G91" s="86" t="n"/>
      <c r="H91" s="86" t="n"/>
      <c r="I91" s="86" t="n"/>
      <c r="J91" s="86" t="n"/>
      <c r="K91" s="86" t="n"/>
      <c r="L91" s="86" t="n"/>
      <c r="M91" s="86" t="n"/>
      <c r="N91" s="86" t="n"/>
      <c r="O91" s="86" t="n">
        <v>5</v>
      </c>
      <c r="P91" s="37" t="inlineStr">
        <is>
          <t>vps</t>
        </is>
      </c>
      <c r="Q91" s="37" t="n"/>
    </row>
    <row r="92">
      <c r="A92" s="76" t="n">
        <v>46346</v>
      </c>
      <c r="B92" s="36" t="inlineStr">
        <is>
          <t>Chưa chạy</t>
        </is>
      </c>
      <c r="C92" s="36" t="n"/>
      <c r="D92" s="89" t="n"/>
      <c r="E92" s="89" t="n"/>
      <c r="F92" s="82">
        <f>IF(OR(D92="",E92=""),"",24*(E92-D92))</f>
        <v/>
      </c>
      <c r="G92" s="83" t="n"/>
      <c r="H92" s="83" t="n"/>
      <c r="I92" s="83" t="n"/>
      <c r="J92" s="83" t="n"/>
      <c r="K92" s="83" t="n"/>
      <c r="L92" s="83" t="n"/>
      <c r="M92" s="83" t="n"/>
      <c r="N92" s="83" t="n"/>
      <c r="O92" s="83" t="n">
        <v>5</v>
      </c>
      <c r="P92" s="36" t="inlineStr">
        <is>
          <t>vps</t>
        </is>
      </c>
      <c r="Q92" s="36" t="n"/>
    </row>
    <row r="93">
      <c r="A93" s="79" t="n">
        <v>46347</v>
      </c>
      <c r="B93" s="37" t="inlineStr">
        <is>
          <t>Chưa chạy</t>
        </is>
      </c>
      <c r="C93" s="37" t="n"/>
      <c r="D93" s="90" t="n"/>
      <c r="E93" s="90" t="n"/>
      <c r="F93" s="85">
        <f>IF(OR(D93="",E93=""),"",24*(E93-D93))</f>
        <v/>
      </c>
      <c r="G93" s="86" t="n"/>
      <c r="H93" s="86" t="n"/>
      <c r="I93" s="86" t="n"/>
      <c r="J93" s="86" t="n"/>
      <c r="K93" s="86" t="n"/>
      <c r="L93" s="86" t="n"/>
      <c r="M93" s="86" t="n"/>
      <c r="N93" s="86" t="n"/>
      <c r="O93" s="86" t="n">
        <v>5</v>
      </c>
      <c r="P93" s="37" t="inlineStr">
        <is>
          <t>vps</t>
        </is>
      </c>
      <c r="Q93" s="37" t="n"/>
    </row>
    <row r="94">
      <c r="A94" s="76" t="n">
        <v>46348</v>
      </c>
      <c r="B94" s="36" t="inlineStr">
        <is>
          <t>Chưa chạy</t>
        </is>
      </c>
      <c r="C94" s="36" t="n"/>
      <c r="D94" s="89" t="n"/>
      <c r="E94" s="89" t="n"/>
      <c r="F94" s="82">
        <f>IF(OR(D94="",E94=""),"",24*(E94-D94))</f>
        <v/>
      </c>
      <c r="G94" s="83" t="n"/>
      <c r="H94" s="83" t="n"/>
      <c r="I94" s="83" t="n"/>
      <c r="J94" s="83" t="n"/>
      <c r="K94" s="83" t="n"/>
      <c r="L94" s="83" t="n"/>
      <c r="M94" s="83" t="n"/>
      <c r="N94" s="83" t="n"/>
      <c r="O94" s="83" t="n">
        <v>5</v>
      </c>
      <c r="P94" s="36" t="inlineStr">
        <is>
          <t>vps</t>
        </is>
      </c>
      <c r="Q94" s="36" t="n"/>
    </row>
    <row r="95">
      <c r="A95" s="79" t="n">
        <v>46349</v>
      </c>
      <c r="B95" s="37" t="inlineStr">
        <is>
          <t>Chưa chạy</t>
        </is>
      </c>
      <c r="C95" s="37" t="n"/>
      <c r="D95" s="90" t="n"/>
      <c r="E95" s="90" t="n"/>
      <c r="F95" s="85">
        <f>IF(OR(D95="",E95=""),"",24*(E95-D95))</f>
        <v/>
      </c>
      <c r="G95" s="86" t="n"/>
      <c r="H95" s="86" t="n"/>
      <c r="I95" s="86" t="n"/>
      <c r="J95" s="86" t="n"/>
      <c r="K95" s="86" t="n"/>
      <c r="L95" s="86" t="n"/>
      <c r="M95" s="86" t="n"/>
      <c r="N95" s="86" t="n"/>
      <c r="O95" s="86" t="n">
        <v>5</v>
      </c>
      <c r="P95" s="37" t="inlineStr">
        <is>
          <t>vps</t>
        </is>
      </c>
      <c r="Q95" s="37" t="n"/>
    </row>
    <row r="96">
      <c r="A96" s="76" t="n">
        <v>46350</v>
      </c>
      <c r="B96" s="36" t="inlineStr">
        <is>
          <t>Chưa chạy</t>
        </is>
      </c>
      <c r="C96" s="36" t="n"/>
      <c r="D96" s="89" t="n"/>
      <c r="E96" s="89" t="n"/>
      <c r="F96" s="82">
        <f>IF(OR(D96="",E96=""),"",24*(E96-D96))</f>
        <v/>
      </c>
      <c r="G96" s="83" t="n"/>
      <c r="H96" s="83" t="n"/>
      <c r="I96" s="83" t="n"/>
      <c r="J96" s="83" t="n"/>
      <c r="K96" s="83" t="n"/>
      <c r="L96" s="83" t="n"/>
      <c r="M96" s="83" t="n"/>
      <c r="N96" s="83" t="n"/>
      <c r="O96" s="83" t="n">
        <v>5</v>
      </c>
      <c r="P96" s="36" t="inlineStr">
        <is>
          <t>vps</t>
        </is>
      </c>
      <c r="Q96" s="36" t="n"/>
    </row>
    <row r="97">
      <c r="A97" s="79" t="n">
        <v>46351</v>
      </c>
      <c r="B97" s="37" t="inlineStr">
        <is>
          <t>Chưa chạy</t>
        </is>
      </c>
      <c r="C97" s="37" t="n"/>
      <c r="D97" s="90" t="n"/>
      <c r="E97" s="90" t="n"/>
      <c r="F97" s="85">
        <f>IF(OR(D97="",E97=""),"",24*(E97-D97))</f>
        <v/>
      </c>
      <c r="G97" s="86" t="n"/>
      <c r="H97" s="86" t="n"/>
      <c r="I97" s="86" t="n"/>
      <c r="J97" s="86" t="n"/>
      <c r="K97" s="86" t="n"/>
      <c r="L97" s="86" t="n"/>
      <c r="M97" s="86" t="n"/>
      <c r="N97" s="86" t="n"/>
      <c r="O97" s="86" t="n">
        <v>5</v>
      </c>
      <c r="P97" s="37" t="inlineStr">
        <is>
          <t>vps</t>
        </is>
      </c>
      <c r="Q97" s="37" t="n"/>
    </row>
    <row r="98">
      <c r="A98" s="76" t="n">
        <v>46352</v>
      </c>
      <c r="B98" s="36" t="inlineStr">
        <is>
          <t>Chưa chạy</t>
        </is>
      </c>
      <c r="C98" s="36" t="n"/>
      <c r="D98" s="89" t="n"/>
      <c r="E98" s="89" t="n"/>
      <c r="F98" s="82">
        <f>IF(OR(D98="",E98=""),"",24*(E98-D98))</f>
        <v/>
      </c>
      <c r="G98" s="83" t="n"/>
      <c r="H98" s="83" t="n"/>
      <c r="I98" s="83" t="n"/>
      <c r="J98" s="83" t="n"/>
      <c r="K98" s="83" t="n"/>
      <c r="L98" s="83" t="n"/>
      <c r="M98" s="83" t="n"/>
      <c r="N98" s="83" t="n"/>
      <c r="O98" s="83" t="n">
        <v>5</v>
      </c>
      <c r="P98" s="36" t="inlineStr">
        <is>
          <t>vps</t>
        </is>
      </c>
      <c r="Q98" s="36" t="n"/>
    </row>
    <row r="99">
      <c r="A99" s="79" t="n">
        <v>46353</v>
      </c>
      <c r="B99" s="37" t="inlineStr">
        <is>
          <t>Chưa chạy</t>
        </is>
      </c>
      <c r="C99" s="37" t="n"/>
      <c r="D99" s="90" t="n"/>
      <c r="E99" s="90" t="n"/>
      <c r="F99" s="85">
        <f>IF(OR(D99="",E99=""),"",24*(E99-D99))</f>
        <v/>
      </c>
      <c r="G99" s="86" t="n"/>
      <c r="H99" s="86" t="n"/>
      <c r="I99" s="86" t="n"/>
      <c r="J99" s="86" t="n"/>
      <c r="K99" s="86" t="n"/>
      <c r="L99" s="86" t="n"/>
      <c r="M99" s="86" t="n"/>
      <c r="N99" s="86" t="n"/>
      <c r="O99" s="86" t="n">
        <v>5</v>
      </c>
      <c r="P99" s="37" t="inlineStr">
        <is>
          <t>vps</t>
        </is>
      </c>
      <c r="Q99" s="37" t="n"/>
    </row>
    <row r="100">
      <c r="A100" s="76" t="n">
        <v>46354</v>
      </c>
      <c r="B100" s="36" t="inlineStr">
        <is>
          <t>Chưa chạy</t>
        </is>
      </c>
      <c r="C100" s="36" t="n"/>
      <c r="D100" s="89" t="n"/>
      <c r="E100" s="89" t="n"/>
      <c r="F100" s="82">
        <f>IF(OR(D100="",E100=""),"",24*(E100-D100))</f>
        <v/>
      </c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3" t="n">
        <v>5</v>
      </c>
      <c r="P100" s="36" t="inlineStr">
        <is>
          <t>vps</t>
        </is>
      </c>
      <c r="Q100" s="36" t="n"/>
    </row>
    <row r="101">
      <c r="A101" s="79" t="n">
        <v>46355</v>
      </c>
      <c r="B101" s="37" t="inlineStr">
        <is>
          <t>Chưa chạy</t>
        </is>
      </c>
      <c r="C101" s="37" t="n"/>
      <c r="D101" s="90" t="n"/>
      <c r="E101" s="90" t="n"/>
      <c r="F101" s="85">
        <f>IF(OR(D101="",E101=""),"",24*(E101-D101))</f>
        <v/>
      </c>
      <c r="G101" s="86" t="n"/>
      <c r="H101" s="86" t="n"/>
      <c r="I101" s="86" t="n"/>
      <c r="J101" s="86" t="n"/>
      <c r="K101" s="86" t="n"/>
      <c r="L101" s="86" t="n"/>
      <c r="M101" s="86" t="n"/>
      <c r="N101" s="86" t="n"/>
      <c r="O101" s="86" t="n">
        <v>5</v>
      </c>
      <c r="P101" s="37" t="inlineStr">
        <is>
          <t>vps</t>
        </is>
      </c>
      <c r="Q101" s="37" t="n"/>
    </row>
    <row r="102">
      <c r="A102" s="76" t="n">
        <v>46356</v>
      </c>
      <c r="B102" s="36" t="inlineStr">
        <is>
          <t>Chưa chạy</t>
        </is>
      </c>
      <c r="C102" s="36" t="n"/>
      <c r="D102" s="89" t="n"/>
      <c r="E102" s="89" t="n"/>
      <c r="F102" s="82">
        <f>IF(OR(D102="",E102=""),"",24*(E102-D102))</f>
        <v/>
      </c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3" t="n">
        <v>5</v>
      </c>
      <c r="P102" s="36" t="inlineStr">
        <is>
          <t>vps</t>
        </is>
      </c>
      <c r="Q102" s="36" t="n"/>
    </row>
  </sheetData>
  <mergeCells count="2">
    <mergeCell ref="A2:Q2"/>
    <mergeCell ref="A1:Q1"/>
  </mergeCells>
  <conditionalFormatting sqref="B4:B102">
    <cfRule type="containsText" priority="1" operator="containsText" dxfId="0" text="Hoàn thành"/>
    <cfRule type="containsText" priority="2" operator="containsText" dxfId="2" text="Thất bại"/>
    <cfRule type="containsText" priority="3" operator="containsText" dxfId="1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7" customWidth="1" min="16" max="16"/>
  </cols>
  <sheetData>
    <row r="1" ht="28" customHeight="1">
      <c r="A1" s="4" t="inlineStr">
        <is>
          <t>LOCAL REFERENCE — 12 CHECK-IN DÙNG ĐỂ LOẠI TRÙNG</t>
        </is>
      </c>
    </row>
    <row r="2">
      <c r="A2" s="35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Start time</t>
        </is>
      </c>
      <c r="D3" s="10" t="inlineStr">
        <is>
          <t>N1</t>
        </is>
      </c>
      <c r="E3" s="10" t="inlineStr">
        <is>
          <t>N2</t>
        </is>
      </c>
      <c r="F3" s="10" t="inlineStr">
        <is>
          <t>N3</t>
        </is>
      </c>
      <c r="G3" s="10" t="inlineStr">
        <is>
          <t>N4</t>
        </is>
      </c>
      <c r="H3" s="10" t="inlineStr">
        <is>
          <t>N5</t>
        </is>
      </c>
      <c r="I3" s="10" t="inlineStr">
        <is>
          <t>N6</t>
        </is>
      </c>
      <c r="J3" s="10" t="inlineStr">
        <is>
          <t>N7</t>
        </is>
      </c>
      <c r="K3" s="10" t="inlineStr">
        <is>
          <t>N8</t>
        </is>
      </c>
      <c r="L3" s="10" t="inlineStr">
        <is>
          <t>N9</t>
        </is>
      </c>
      <c r="M3" s="10" t="inlineStr">
        <is>
          <t>F1</t>
        </is>
      </c>
      <c r="N3" s="10" t="inlineStr">
        <is>
          <t>F2</t>
        </is>
      </c>
      <c r="O3" s="10" t="inlineStr">
        <is>
          <t>F3</t>
        </is>
      </c>
      <c r="P3" s="10" t="inlineStr">
        <is>
          <t>Source file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00:30</t>
        </is>
      </c>
      <c r="D4" s="76" t="n">
        <v>46282</v>
      </c>
      <c r="E4" s="76" t="n">
        <v>46284</v>
      </c>
      <c r="F4" s="76" t="n">
        <v>46259</v>
      </c>
      <c r="G4" s="76" t="n">
        <v>46263</v>
      </c>
      <c r="H4" s="76" t="n">
        <v>46267</v>
      </c>
      <c r="I4" s="76" t="n">
        <v>46271</v>
      </c>
      <c r="J4" s="76" t="n">
        <v>46274</v>
      </c>
      <c r="K4" s="76" t="n">
        <v>46277</v>
      </c>
      <c r="L4" s="76" t="n">
        <v>46279</v>
      </c>
      <c r="M4" s="76" t="n">
        <v>46306</v>
      </c>
      <c r="N4" s="76" t="n">
        <v>46344</v>
      </c>
      <c r="O4" s="76" t="n">
        <v>46388</v>
      </c>
      <c r="P4" s="36" t="inlineStr">
        <is>
          <t>crawl_sampling_master.xlsx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00:30</t>
        </is>
      </c>
      <c r="D5" s="79" t="n">
        <v>46282</v>
      </c>
      <c r="E5" s="79" t="n">
        <v>46284</v>
      </c>
      <c r="F5" s="79" t="n">
        <v>46259</v>
      </c>
      <c r="G5" s="79" t="n">
        <v>46263</v>
      </c>
      <c r="H5" s="79" t="n">
        <v>46267</v>
      </c>
      <c r="I5" s="79" t="n">
        <v>46271</v>
      </c>
      <c r="J5" s="79" t="n">
        <v>46274</v>
      </c>
      <c r="K5" s="79" t="n">
        <v>46277</v>
      </c>
      <c r="L5" s="79" t="n">
        <v>46279</v>
      </c>
      <c r="M5" s="79" t="n">
        <v>46306</v>
      </c>
      <c r="N5" s="79" t="n">
        <v>46344</v>
      </c>
      <c r="O5" s="79" t="n">
        <v>46388</v>
      </c>
      <c r="P5" s="37" t="inlineStr">
        <is>
          <t>crawl_sampling_master.xlsx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00:30</t>
        </is>
      </c>
      <c r="D6" s="76" t="n">
        <v>46282</v>
      </c>
      <c r="E6" s="76" t="n">
        <v>46284</v>
      </c>
      <c r="F6" s="76" t="n">
        <v>46287</v>
      </c>
      <c r="G6" s="76" t="n">
        <v>46263</v>
      </c>
      <c r="H6" s="76" t="n">
        <v>46267</v>
      </c>
      <c r="I6" s="76" t="n">
        <v>46271</v>
      </c>
      <c r="J6" s="76" t="n">
        <v>46274</v>
      </c>
      <c r="K6" s="76" t="n">
        <v>46277</v>
      </c>
      <c r="L6" s="76" t="n">
        <v>46279</v>
      </c>
      <c r="M6" s="76" t="n">
        <v>46306</v>
      </c>
      <c r="N6" s="76" t="n">
        <v>46344</v>
      </c>
      <c r="O6" s="76" t="n">
        <v>46388</v>
      </c>
      <c r="P6" s="36" t="inlineStr">
        <is>
          <t>crawl_sampling_master.xlsx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00:30</t>
        </is>
      </c>
      <c r="D7" s="79" t="n">
        <v>46282</v>
      </c>
      <c r="E7" s="79" t="n">
        <v>46284</v>
      </c>
      <c r="F7" s="79" t="n">
        <v>46287</v>
      </c>
      <c r="G7" s="79" t="n">
        <v>46263</v>
      </c>
      <c r="H7" s="79" t="n">
        <v>46267</v>
      </c>
      <c r="I7" s="79" t="n">
        <v>46271</v>
      </c>
      <c r="J7" s="79" t="n">
        <v>46274</v>
      </c>
      <c r="K7" s="79" t="n">
        <v>46277</v>
      </c>
      <c r="L7" s="79" t="n">
        <v>46279</v>
      </c>
      <c r="M7" s="79" t="n">
        <v>46306</v>
      </c>
      <c r="N7" s="79" t="n">
        <v>46344</v>
      </c>
      <c r="O7" s="79" t="n">
        <v>46388</v>
      </c>
      <c r="P7" s="37" t="inlineStr">
        <is>
          <t>crawl_sampling_master.xlsx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00:30</t>
        </is>
      </c>
      <c r="D8" s="76" t="n">
        <v>46282</v>
      </c>
      <c r="E8" s="76" t="n">
        <v>46284</v>
      </c>
      <c r="F8" s="76" t="n">
        <v>46287</v>
      </c>
      <c r="G8" s="76" t="n">
        <v>46263</v>
      </c>
      <c r="H8" s="76" t="n">
        <v>46267</v>
      </c>
      <c r="I8" s="76" t="n">
        <v>46271</v>
      </c>
      <c r="J8" s="76" t="n">
        <v>46274</v>
      </c>
      <c r="K8" s="76" t="n">
        <v>46277</v>
      </c>
      <c r="L8" s="76" t="n">
        <v>46279</v>
      </c>
      <c r="M8" s="76" t="n">
        <v>46306</v>
      </c>
      <c r="N8" s="76" t="n">
        <v>46344</v>
      </c>
      <c r="O8" s="76" t="n">
        <v>46388</v>
      </c>
      <c r="P8" s="36" t="inlineStr">
        <is>
          <t>crawl_sampling_master.xlsx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00:30</t>
        </is>
      </c>
      <c r="D9" s="79" t="n">
        <v>46282</v>
      </c>
      <c r="E9" s="79" t="n">
        <v>46284</v>
      </c>
      <c r="F9" s="79" t="n">
        <v>46287</v>
      </c>
      <c r="G9" s="79" t="n">
        <v>46263</v>
      </c>
      <c r="H9" s="79" t="n">
        <v>46267</v>
      </c>
      <c r="I9" s="79" t="n">
        <v>46271</v>
      </c>
      <c r="J9" s="79" t="n">
        <v>46274</v>
      </c>
      <c r="K9" s="79" t="n">
        <v>46277</v>
      </c>
      <c r="L9" s="79" t="n">
        <v>46279</v>
      </c>
      <c r="M9" s="79" t="n">
        <v>46306</v>
      </c>
      <c r="N9" s="79" t="n">
        <v>46344</v>
      </c>
      <c r="O9" s="79" t="n">
        <v>46388</v>
      </c>
      <c r="P9" s="37" t="inlineStr">
        <is>
          <t>crawl_sampling_master.xlsx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00:30</t>
        </is>
      </c>
      <c r="D10" s="76" t="n">
        <v>46282</v>
      </c>
      <c r="E10" s="76" t="n">
        <v>46284</v>
      </c>
      <c r="F10" s="76" t="n">
        <v>46287</v>
      </c>
      <c r="G10" s="76" t="n">
        <v>46291</v>
      </c>
      <c r="H10" s="76" t="n">
        <v>46267</v>
      </c>
      <c r="I10" s="76" t="n">
        <v>46271</v>
      </c>
      <c r="J10" s="76" t="n">
        <v>46274</v>
      </c>
      <c r="K10" s="76" t="n">
        <v>46277</v>
      </c>
      <c r="L10" s="76" t="n">
        <v>46279</v>
      </c>
      <c r="M10" s="76" t="n">
        <v>46306</v>
      </c>
      <c r="N10" s="76" t="n">
        <v>46344</v>
      </c>
      <c r="O10" s="76" t="n">
        <v>46388</v>
      </c>
      <c r="P10" s="36" t="inlineStr">
        <is>
          <t>crawl_sampling_master.xlsx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00:30</t>
        </is>
      </c>
      <c r="D11" s="79" t="n">
        <v>46282</v>
      </c>
      <c r="E11" s="79" t="n">
        <v>46284</v>
      </c>
      <c r="F11" s="79" t="n">
        <v>46287</v>
      </c>
      <c r="G11" s="79" t="n">
        <v>46291</v>
      </c>
      <c r="H11" s="79" t="n">
        <v>46267</v>
      </c>
      <c r="I11" s="79" t="n">
        <v>46271</v>
      </c>
      <c r="J11" s="79" t="n">
        <v>46274</v>
      </c>
      <c r="K11" s="79" t="n">
        <v>46277</v>
      </c>
      <c r="L11" s="79" t="n">
        <v>46279</v>
      </c>
      <c r="M11" s="79" t="n">
        <v>46306</v>
      </c>
      <c r="N11" s="79" t="n">
        <v>46344</v>
      </c>
      <c r="O11" s="79" t="n">
        <v>46388</v>
      </c>
      <c r="P11" s="37" t="inlineStr">
        <is>
          <t>crawl_sampling_master.xlsx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00:30</t>
        </is>
      </c>
      <c r="D12" s="76" t="n">
        <v>46282</v>
      </c>
      <c r="E12" s="76" t="n">
        <v>46284</v>
      </c>
      <c r="F12" s="76" t="n">
        <v>46287</v>
      </c>
      <c r="G12" s="76" t="n">
        <v>46291</v>
      </c>
      <c r="H12" s="76" t="n">
        <v>46267</v>
      </c>
      <c r="I12" s="76" t="n">
        <v>46271</v>
      </c>
      <c r="J12" s="76" t="n">
        <v>46274</v>
      </c>
      <c r="K12" s="76" t="n">
        <v>46277</v>
      </c>
      <c r="L12" s="76" t="n">
        <v>46279</v>
      </c>
      <c r="M12" s="76" t="n">
        <v>46306</v>
      </c>
      <c r="N12" s="76" t="n">
        <v>46344</v>
      </c>
      <c r="O12" s="76" t="n">
        <v>46388</v>
      </c>
      <c r="P12" s="36" t="inlineStr">
        <is>
          <t>crawl_sampling_master.xlsx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00:30</t>
        </is>
      </c>
      <c r="D13" s="79" t="n">
        <v>46282</v>
      </c>
      <c r="E13" s="79" t="n">
        <v>46284</v>
      </c>
      <c r="F13" s="79" t="n">
        <v>46287</v>
      </c>
      <c r="G13" s="79" t="n">
        <v>46291</v>
      </c>
      <c r="H13" s="79" t="n">
        <v>46267</v>
      </c>
      <c r="I13" s="79" t="n">
        <v>46271</v>
      </c>
      <c r="J13" s="79" t="n">
        <v>46274</v>
      </c>
      <c r="K13" s="79" t="n">
        <v>46277</v>
      </c>
      <c r="L13" s="79" t="n">
        <v>46279</v>
      </c>
      <c r="M13" s="79" t="n">
        <v>46306</v>
      </c>
      <c r="N13" s="79" t="n">
        <v>46344</v>
      </c>
      <c r="O13" s="79" t="n">
        <v>46388</v>
      </c>
      <c r="P13" s="37" t="inlineStr">
        <is>
          <t>crawl_sampling_master.xlsx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00:30</t>
        </is>
      </c>
      <c r="D14" s="76" t="n">
        <v>46282</v>
      </c>
      <c r="E14" s="76" t="n">
        <v>46284</v>
      </c>
      <c r="F14" s="76" t="n">
        <v>46287</v>
      </c>
      <c r="G14" s="76" t="n">
        <v>46291</v>
      </c>
      <c r="H14" s="76" t="n">
        <v>46295</v>
      </c>
      <c r="I14" s="76" t="n">
        <v>46271</v>
      </c>
      <c r="J14" s="76" t="n">
        <v>46274</v>
      </c>
      <c r="K14" s="76" t="n">
        <v>46277</v>
      </c>
      <c r="L14" s="76" t="n">
        <v>46279</v>
      </c>
      <c r="M14" s="76" t="n">
        <v>46306</v>
      </c>
      <c r="N14" s="76" t="n">
        <v>46344</v>
      </c>
      <c r="O14" s="76" t="n">
        <v>46388</v>
      </c>
      <c r="P14" s="36" t="inlineStr">
        <is>
          <t>crawl_sampling_master.xlsx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00:30</t>
        </is>
      </c>
      <c r="D15" s="79" t="n">
        <v>46282</v>
      </c>
      <c r="E15" s="79" t="n">
        <v>46284</v>
      </c>
      <c r="F15" s="79" t="n">
        <v>46287</v>
      </c>
      <c r="G15" s="79" t="n">
        <v>46291</v>
      </c>
      <c r="H15" s="79" t="n">
        <v>46295</v>
      </c>
      <c r="I15" s="79" t="n">
        <v>46271</v>
      </c>
      <c r="J15" s="79" t="n">
        <v>46274</v>
      </c>
      <c r="K15" s="79" t="n">
        <v>46277</v>
      </c>
      <c r="L15" s="79" t="n">
        <v>46279</v>
      </c>
      <c r="M15" s="79" t="n">
        <v>46306</v>
      </c>
      <c r="N15" s="79" t="n">
        <v>46344</v>
      </c>
      <c r="O15" s="79" t="n">
        <v>46388</v>
      </c>
      <c r="P15" s="37" t="inlineStr">
        <is>
          <t>crawl_sampling_master.xlsx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00:30</t>
        </is>
      </c>
      <c r="D16" s="76" t="n">
        <v>46282</v>
      </c>
      <c r="E16" s="76" t="n">
        <v>46284</v>
      </c>
      <c r="F16" s="76" t="n">
        <v>46287</v>
      </c>
      <c r="G16" s="76" t="n">
        <v>46291</v>
      </c>
      <c r="H16" s="76" t="n">
        <v>46295</v>
      </c>
      <c r="I16" s="76" t="n">
        <v>46271</v>
      </c>
      <c r="J16" s="76" t="n">
        <v>46274</v>
      </c>
      <c r="K16" s="76" t="n">
        <v>46277</v>
      </c>
      <c r="L16" s="76" t="n">
        <v>46279</v>
      </c>
      <c r="M16" s="76" t="n">
        <v>46306</v>
      </c>
      <c r="N16" s="76" t="n">
        <v>46344</v>
      </c>
      <c r="O16" s="76" t="n">
        <v>46388</v>
      </c>
      <c r="P16" s="36" t="inlineStr">
        <is>
          <t>crawl_sampling_master.xlsx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00:30</t>
        </is>
      </c>
      <c r="D17" s="79" t="n">
        <v>46282</v>
      </c>
      <c r="E17" s="79" t="n">
        <v>46284</v>
      </c>
      <c r="F17" s="79" t="n">
        <v>46287</v>
      </c>
      <c r="G17" s="79" t="n">
        <v>46291</v>
      </c>
      <c r="H17" s="79" t="n">
        <v>46295</v>
      </c>
      <c r="I17" s="79" t="n">
        <v>46271</v>
      </c>
      <c r="J17" s="79" t="n">
        <v>46274</v>
      </c>
      <c r="K17" s="79" t="n">
        <v>46277</v>
      </c>
      <c r="L17" s="79" t="n">
        <v>46279</v>
      </c>
      <c r="M17" s="79" t="n">
        <v>46306</v>
      </c>
      <c r="N17" s="79" t="n">
        <v>46344</v>
      </c>
      <c r="O17" s="79" t="n">
        <v>46388</v>
      </c>
      <c r="P17" s="37" t="inlineStr">
        <is>
          <t>crawl_sampling_master.xlsx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00:30</t>
        </is>
      </c>
      <c r="D18" s="76" t="n">
        <v>46282</v>
      </c>
      <c r="E18" s="76" t="n">
        <v>46284</v>
      </c>
      <c r="F18" s="76" t="n">
        <v>46287</v>
      </c>
      <c r="G18" s="76" t="n">
        <v>46291</v>
      </c>
      <c r="H18" s="76" t="n">
        <v>46295</v>
      </c>
      <c r="I18" s="76" t="n">
        <v>46299</v>
      </c>
      <c r="J18" s="76" t="n">
        <v>46274</v>
      </c>
      <c r="K18" s="76" t="n">
        <v>46277</v>
      </c>
      <c r="L18" s="76" t="n">
        <v>46279</v>
      </c>
      <c r="M18" s="76" t="n">
        <v>46306</v>
      </c>
      <c r="N18" s="76" t="n">
        <v>46344</v>
      </c>
      <c r="O18" s="76" t="n">
        <v>46388</v>
      </c>
      <c r="P18" s="36" t="inlineStr">
        <is>
          <t>crawl_sampling_master.xlsx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00:30</t>
        </is>
      </c>
      <c r="D19" s="79" t="n">
        <v>46282</v>
      </c>
      <c r="E19" s="79" t="n">
        <v>46284</v>
      </c>
      <c r="F19" s="79" t="n">
        <v>46287</v>
      </c>
      <c r="G19" s="79" t="n">
        <v>46291</v>
      </c>
      <c r="H19" s="79" t="n">
        <v>46295</v>
      </c>
      <c r="I19" s="79" t="n">
        <v>46299</v>
      </c>
      <c r="J19" s="79" t="n">
        <v>46274</v>
      </c>
      <c r="K19" s="79" t="n">
        <v>46277</v>
      </c>
      <c r="L19" s="79" t="n">
        <v>46279</v>
      </c>
      <c r="M19" s="79" t="n">
        <v>46306</v>
      </c>
      <c r="N19" s="79" t="n">
        <v>46344</v>
      </c>
      <c r="O19" s="79" t="n">
        <v>46388</v>
      </c>
      <c r="P19" s="37" t="inlineStr">
        <is>
          <t>crawl_sampling_master.xlsx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00:30</t>
        </is>
      </c>
      <c r="D20" s="76" t="n">
        <v>46282</v>
      </c>
      <c r="E20" s="76" t="n">
        <v>46284</v>
      </c>
      <c r="F20" s="76" t="n">
        <v>46287</v>
      </c>
      <c r="G20" s="76" t="n">
        <v>46291</v>
      </c>
      <c r="H20" s="76" t="n">
        <v>46295</v>
      </c>
      <c r="I20" s="76" t="n">
        <v>46299</v>
      </c>
      <c r="J20" s="76" t="n">
        <v>46274</v>
      </c>
      <c r="K20" s="76" t="n">
        <v>46277</v>
      </c>
      <c r="L20" s="76" t="n">
        <v>46279</v>
      </c>
      <c r="M20" s="76" t="n">
        <v>46306</v>
      </c>
      <c r="N20" s="76" t="n">
        <v>46344</v>
      </c>
      <c r="O20" s="76" t="n">
        <v>46388</v>
      </c>
      <c r="P20" s="36" t="inlineStr">
        <is>
          <t>crawl_sampling_master.xlsx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00:30</t>
        </is>
      </c>
      <c r="D21" s="79" t="n">
        <v>46282</v>
      </c>
      <c r="E21" s="79" t="n">
        <v>46284</v>
      </c>
      <c r="F21" s="79" t="n">
        <v>46287</v>
      </c>
      <c r="G21" s="79" t="n">
        <v>46291</v>
      </c>
      <c r="H21" s="79" t="n">
        <v>46295</v>
      </c>
      <c r="I21" s="79" t="n">
        <v>46299</v>
      </c>
      <c r="J21" s="79" t="n">
        <v>46302</v>
      </c>
      <c r="K21" s="79" t="n">
        <v>46277</v>
      </c>
      <c r="L21" s="79" t="n">
        <v>46279</v>
      </c>
      <c r="M21" s="79" t="n">
        <v>46306</v>
      </c>
      <c r="N21" s="79" t="n">
        <v>46344</v>
      </c>
      <c r="O21" s="79" t="n">
        <v>46388</v>
      </c>
      <c r="P21" s="37" t="inlineStr">
        <is>
          <t>crawl_sampling_master.xlsx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00:30</t>
        </is>
      </c>
      <c r="D22" s="76" t="n">
        <v>46282</v>
      </c>
      <c r="E22" s="76" t="n">
        <v>46284</v>
      </c>
      <c r="F22" s="76" t="n">
        <v>46287</v>
      </c>
      <c r="G22" s="76" t="n">
        <v>46291</v>
      </c>
      <c r="H22" s="76" t="n">
        <v>46295</v>
      </c>
      <c r="I22" s="76" t="n">
        <v>46299</v>
      </c>
      <c r="J22" s="76" t="n">
        <v>46302</v>
      </c>
      <c r="K22" s="76" t="n">
        <v>46277</v>
      </c>
      <c r="L22" s="76" t="n">
        <v>46279</v>
      </c>
      <c r="M22" s="76" t="n">
        <v>46306</v>
      </c>
      <c r="N22" s="76" t="n">
        <v>46344</v>
      </c>
      <c r="O22" s="76" t="n">
        <v>46388</v>
      </c>
      <c r="P22" s="36" t="inlineStr">
        <is>
          <t>crawl_sampling_master.xlsx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00:30</t>
        </is>
      </c>
      <c r="D23" s="79" t="n">
        <v>46282</v>
      </c>
      <c r="E23" s="79" t="n">
        <v>46284</v>
      </c>
      <c r="F23" s="79" t="n">
        <v>46287</v>
      </c>
      <c r="G23" s="79" t="n">
        <v>46291</v>
      </c>
      <c r="H23" s="79" t="n">
        <v>46295</v>
      </c>
      <c r="I23" s="79" t="n">
        <v>46299</v>
      </c>
      <c r="J23" s="79" t="n">
        <v>46302</v>
      </c>
      <c r="K23" s="79" t="n">
        <v>46277</v>
      </c>
      <c r="L23" s="79" t="n">
        <v>46279</v>
      </c>
      <c r="M23" s="79" t="n">
        <v>46306</v>
      </c>
      <c r="N23" s="79" t="n">
        <v>46344</v>
      </c>
      <c r="O23" s="79" t="n">
        <v>46388</v>
      </c>
      <c r="P23" s="37" t="inlineStr">
        <is>
          <t>crawl_sampling_master.xlsx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00:30</t>
        </is>
      </c>
      <c r="D24" s="76" t="n">
        <v>46282</v>
      </c>
      <c r="E24" s="76" t="n">
        <v>46284</v>
      </c>
      <c r="F24" s="76" t="n">
        <v>46287</v>
      </c>
      <c r="G24" s="76" t="n">
        <v>46291</v>
      </c>
      <c r="H24" s="76" t="n">
        <v>46295</v>
      </c>
      <c r="I24" s="76" t="n">
        <v>46299</v>
      </c>
      <c r="J24" s="76" t="n">
        <v>46302</v>
      </c>
      <c r="K24" s="76" t="n">
        <v>46305</v>
      </c>
      <c r="L24" s="76" t="n">
        <v>46279</v>
      </c>
      <c r="M24" s="76" t="n">
        <v>46306</v>
      </c>
      <c r="N24" s="76" t="n">
        <v>46344</v>
      </c>
      <c r="O24" s="76" t="n">
        <v>46388</v>
      </c>
      <c r="P24" s="36" t="inlineStr">
        <is>
          <t>crawl_sampling_master.xlsx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00:30</t>
        </is>
      </c>
      <c r="D25" s="79" t="n">
        <v>46282</v>
      </c>
      <c r="E25" s="79" t="n">
        <v>46284</v>
      </c>
      <c r="F25" s="79" t="n">
        <v>46287</v>
      </c>
      <c r="G25" s="79" t="n">
        <v>46291</v>
      </c>
      <c r="H25" s="79" t="n">
        <v>46295</v>
      </c>
      <c r="I25" s="79" t="n">
        <v>46299</v>
      </c>
      <c r="J25" s="79" t="n">
        <v>46302</v>
      </c>
      <c r="K25" s="79" t="n">
        <v>46305</v>
      </c>
      <c r="L25" s="79" t="n">
        <v>46279</v>
      </c>
      <c r="M25" s="79" t="n">
        <v>46306</v>
      </c>
      <c r="N25" s="79" t="n">
        <v>46344</v>
      </c>
      <c r="O25" s="79" t="n">
        <v>46388</v>
      </c>
      <c r="P25" s="37" t="inlineStr">
        <is>
          <t>crawl_sampling_master.xlsx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00:30</t>
        </is>
      </c>
      <c r="D26" s="76" t="n">
        <v>46282</v>
      </c>
      <c r="E26" s="76" t="n">
        <v>46284</v>
      </c>
      <c r="F26" s="76" t="n">
        <v>46287</v>
      </c>
      <c r="G26" s="76" t="n">
        <v>46291</v>
      </c>
      <c r="H26" s="76" t="n">
        <v>46295</v>
      </c>
      <c r="I26" s="76" t="n">
        <v>46299</v>
      </c>
      <c r="J26" s="76" t="n">
        <v>46302</v>
      </c>
      <c r="K26" s="76" t="n">
        <v>46305</v>
      </c>
      <c r="L26" s="76" t="n">
        <v>46307</v>
      </c>
      <c r="M26" s="76" t="n">
        <v>46306</v>
      </c>
      <c r="N26" s="76" t="n">
        <v>46344</v>
      </c>
      <c r="O26" s="76" t="n">
        <v>46388</v>
      </c>
      <c r="P26" s="36" t="inlineStr">
        <is>
          <t>crawl_sampling_master.xlsx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00:30</t>
        </is>
      </c>
      <c r="D27" s="79" t="n">
        <v>46282</v>
      </c>
      <c r="E27" s="79" t="n">
        <v>46284</v>
      </c>
      <c r="F27" s="79" t="n">
        <v>46287</v>
      </c>
      <c r="G27" s="79" t="n">
        <v>46291</v>
      </c>
      <c r="H27" s="79" t="n">
        <v>46295</v>
      </c>
      <c r="I27" s="79" t="n">
        <v>46299</v>
      </c>
      <c r="J27" s="79" t="n">
        <v>46302</v>
      </c>
      <c r="K27" s="79" t="n">
        <v>46305</v>
      </c>
      <c r="L27" s="79" t="n">
        <v>46307</v>
      </c>
      <c r="M27" s="79" t="n">
        <v>46306</v>
      </c>
      <c r="N27" s="79" t="n">
        <v>46344</v>
      </c>
      <c r="O27" s="79" t="n">
        <v>46388</v>
      </c>
      <c r="P27" s="37" t="inlineStr">
        <is>
          <t>crawl_sampling_master.xlsx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00:30</t>
        </is>
      </c>
      <c r="D28" s="76" t="n">
        <v>46282</v>
      </c>
      <c r="E28" s="76" t="n">
        <v>46284</v>
      </c>
      <c r="F28" s="76" t="n">
        <v>46287</v>
      </c>
      <c r="G28" s="76" t="n">
        <v>46291</v>
      </c>
      <c r="H28" s="76" t="n">
        <v>46295</v>
      </c>
      <c r="I28" s="76" t="n">
        <v>46299</v>
      </c>
      <c r="J28" s="76" t="n">
        <v>46302</v>
      </c>
      <c r="K28" s="76" t="n">
        <v>46305</v>
      </c>
      <c r="L28" s="76" t="n">
        <v>46307</v>
      </c>
      <c r="M28" s="76" t="n">
        <v>46306</v>
      </c>
      <c r="N28" s="76" t="n">
        <v>46344</v>
      </c>
      <c r="O28" s="76" t="n">
        <v>46388</v>
      </c>
      <c r="P28" s="36" t="inlineStr">
        <is>
          <t>crawl_sampling_master.xlsx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00:30</t>
        </is>
      </c>
      <c r="D29" s="79" t="n">
        <v>46310</v>
      </c>
      <c r="E29" s="79" t="n">
        <v>46284</v>
      </c>
      <c r="F29" s="79" t="n">
        <v>46287</v>
      </c>
      <c r="G29" s="79" t="n">
        <v>46291</v>
      </c>
      <c r="H29" s="79" t="n">
        <v>46295</v>
      </c>
      <c r="I29" s="79" t="n">
        <v>46299</v>
      </c>
      <c r="J29" s="79" t="n">
        <v>46302</v>
      </c>
      <c r="K29" s="79" t="n">
        <v>46305</v>
      </c>
      <c r="L29" s="79" t="n">
        <v>46307</v>
      </c>
      <c r="M29" s="79" t="n">
        <v>46306</v>
      </c>
      <c r="N29" s="79" t="n">
        <v>46344</v>
      </c>
      <c r="O29" s="79" t="n">
        <v>46388</v>
      </c>
      <c r="P29" s="37" t="inlineStr">
        <is>
          <t>crawl_sampling_master.xlsx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00:30</t>
        </is>
      </c>
      <c r="D30" s="76" t="n">
        <v>46310</v>
      </c>
      <c r="E30" s="76" t="n">
        <v>46284</v>
      </c>
      <c r="F30" s="76" t="n">
        <v>46287</v>
      </c>
      <c r="G30" s="76" t="n">
        <v>46291</v>
      </c>
      <c r="H30" s="76" t="n">
        <v>46295</v>
      </c>
      <c r="I30" s="76" t="n">
        <v>46299</v>
      </c>
      <c r="J30" s="76" t="n">
        <v>46302</v>
      </c>
      <c r="K30" s="76" t="n">
        <v>46305</v>
      </c>
      <c r="L30" s="76" t="n">
        <v>46307</v>
      </c>
      <c r="M30" s="76" t="n">
        <v>46306</v>
      </c>
      <c r="N30" s="76" t="n">
        <v>46344</v>
      </c>
      <c r="O30" s="76" t="n">
        <v>46388</v>
      </c>
      <c r="P30" s="36" t="inlineStr">
        <is>
          <t>crawl_sampling_master.xlsx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00:30</t>
        </is>
      </c>
      <c r="D31" s="79" t="n">
        <v>46310</v>
      </c>
      <c r="E31" s="79" t="n">
        <v>46312</v>
      </c>
      <c r="F31" s="79" t="n">
        <v>46287</v>
      </c>
      <c r="G31" s="79" t="n">
        <v>46291</v>
      </c>
      <c r="H31" s="79" t="n">
        <v>46295</v>
      </c>
      <c r="I31" s="79" t="n">
        <v>46299</v>
      </c>
      <c r="J31" s="79" t="n">
        <v>46302</v>
      </c>
      <c r="K31" s="79" t="n">
        <v>46305</v>
      </c>
      <c r="L31" s="79" t="n">
        <v>46307</v>
      </c>
      <c r="M31" s="79" t="n">
        <v>46306</v>
      </c>
      <c r="N31" s="79" t="n">
        <v>46344</v>
      </c>
      <c r="O31" s="79" t="n">
        <v>46388</v>
      </c>
      <c r="P31" s="37" t="inlineStr">
        <is>
          <t>crawl_sampling_master.xlsx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00:30</t>
        </is>
      </c>
      <c r="D32" s="76" t="n">
        <v>46310</v>
      </c>
      <c r="E32" s="76" t="n">
        <v>46312</v>
      </c>
      <c r="F32" s="76" t="n">
        <v>46287</v>
      </c>
      <c r="G32" s="76" t="n">
        <v>46291</v>
      </c>
      <c r="H32" s="76" t="n">
        <v>46295</v>
      </c>
      <c r="I32" s="76" t="n">
        <v>46299</v>
      </c>
      <c r="J32" s="76" t="n">
        <v>46302</v>
      </c>
      <c r="K32" s="76" t="n">
        <v>46305</v>
      </c>
      <c r="L32" s="76" t="n">
        <v>46307</v>
      </c>
      <c r="M32" s="76" t="n">
        <v>46306</v>
      </c>
      <c r="N32" s="76" t="n">
        <v>46344</v>
      </c>
      <c r="O32" s="76" t="n">
        <v>46388</v>
      </c>
      <c r="P32" s="36" t="inlineStr">
        <is>
          <t>crawl_sampling_master.xlsx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00:30</t>
        </is>
      </c>
      <c r="D33" s="79" t="n">
        <v>46310</v>
      </c>
      <c r="E33" s="79" t="n">
        <v>46312</v>
      </c>
      <c r="F33" s="79" t="n">
        <v>46287</v>
      </c>
      <c r="G33" s="79" t="n">
        <v>46291</v>
      </c>
      <c r="H33" s="79" t="n">
        <v>46295</v>
      </c>
      <c r="I33" s="79" t="n">
        <v>46299</v>
      </c>
      <c r="J33" s="79" t="n">
        <v>46302</v>
      </c>
      <c r="K33" s="79" t="n">
        <v>46305</v>
      </c>
      <c r="L33" s="79" t="n">
        <v>46307</v>
      </c>
      <c r="M33" s="79" t="n">
        <v>46306</v>
      </c>
      <c r="N33" s="79" t="n">
        <v>46344</v>
      </c>
      <c r="O33" s="79" t="n">
        <v>46388</v>
      </c>
      <c r="P33" s="37" t="inlineStr">
        <is>
          <t>crawl_sampling_master.xlsx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00:30</t>
        </is>
      </c>
      <c r="D34" s="76" t="n">
        <v>46310</v>
      </c>
      <c r="E34" s="76" t="n">
        <v>46312</v>
      </c>
      <c r="F34" s="76" t="n">
        <v>46315</v>
      </c>
      <c r="G34" s="76" t="n">
        <v>46291</v>
      </c>
      <c r="H34" s="76" t="n">
        <v>46295</v>
      </c>
      <c r="I34" s="76" t="n">
        <v>46299</v>
      </c>
      <c r="J34" s="76" t="n">
        <v>46302</v>
      </c>
      <c r="K34" s="76" t="n">
        <v>46305</v>
      </c>
      <c r="L34" s="76" t="n">
        <v>46307</v>
      </c>
      <c r="M34" s="76" t="n">
        <v>46306</v>
      </c>
      <c r="N34" s="76" t="n">
        <v>46344</v>
      </c>
      <c r="O34" s="76" t="n">
        <v>46388</v>
      </c>
      <c r="P34" s="36" t="inlineStr">
        <is>
          <t>crawl_sampling_master.xlsx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00:30</t>
        </is>
      </c>
      <c r="D35" s="79" t="n">
        <v>46310</v>
      </c>
      <c r="E35" s="79" t="n">
        <v>46312</v>
      </c>
      <c r="F35" s="79" t="n">
        <v>46315</v>
      </c>
      <c r="G35" s="79" t="n">
        <v>46291</v>
      </c>
      <c r="H35" s="79" t="n">
        <v>46295</v>
      </c>
      <c r="I35" s="79" t="n">
        <v>46299</v>
      </c>
      <c r="J35" s="79" t="n">
        <v>46302</v>
      </c>
      <c r="K35" s="79" t="n">
        <v>46305</v>
      </c>
      <c r="L35" s="79" t="n">
        <v>46307</v>
      </c>
      <c r="M35" s="79" t="n">
        <v>46306</v>
      </c>
      <c r="N35" s="79" t="n">
        <v>46344</v>
      </c>
      <c r="O35" s="79" t="n">
        <v>46388</v>
      </c>
      <c r="P35" s="37" t="inlineStr">
        <is>
          <t>crawl_sampling_master.xlsx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00:30</t>
        </is>
      </c>
      <c r="D36" s="76" t="n">
        <v>46310</v>
      </c>
      <c r="E36" s="76" t="n">
        <v>46312</v>
      </c>
      <c r="F36" s="76" t="n">
        <v>46315</v>
      </c>
      <c r="G36" s="76" t="n">
        <v>46291</v>
      </c>
      <c r="H36" s="76" t="n">
        <v>46295</v>
      </c>
      <c r="I36" s="76" t="n">
        <v>46299</v>
      </c>
      <c r="J36" s="76" t="n">
        <v>46302</v>
      </c>
      <c r="K36" s="76" t="n">
        <v>46305</v>
      </c>
      <c r="L36" s="76" t="n">
        <v>46307</v>
      </c>
      <c r="M36" s="76" t="n">
        <v>46306</v>
      </c>
      <c r="N36" s="76" t="n">
        <v>46344</v>
      </c>
      <c r="O36" s="76" t="n">
        <v>46388</v>
      </c>
      <c r="P36" s="36" t="inlineStr">
        <is>
          <t>crawl_sampling_master.xlsx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00:30</t>
        </is>
      </c>
      <c r="D37" s="79" t="n">
        <v>46310</v>
      </c>
      <c r="E37" s="79" t="n">
        <v>46312</v>
      </c>
      <c r="F37" s="79" t="n">
        <v>46315</v>
      </c>
      <c r="G37" s="79" t="n">
        <v>46291</v>
      </c>
      <c r="H37" s="79" t="n">
        <v>46295</v>
      </c>
      <c r="I37" s="79" t="n">
        <v>46299</v>
      </c>
      <c r="J37" s="79" t="n">
        <v>46302</v>
      </c>
      <c r="K37" s="79" t="n">
        <v>46305</v>
      </c>
      <c r="L37" s="79" t="n">
        <v>46307</v>
      </c>
      <c r="M37" s="79" t="n">
        <v>46306</v>
      </c>
      <c r="N37" s="79" t="n">
        <v>46344</v>
      </c>
      <c r="O37" s="79" t="n">
        <v>46388</v>
      </c>
      <c r="P37" s="37" t="inlineStr">
        <is>
          <t>crawl_sampling_master.xlsx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00:30</t>
        </is>
      </c>
      <c r="D38" s="76" t="n">
        <v>46310</v>
      </c>
      <c r="E38" s="76" t="n">
        <v>46312</v>
      </c>
      <c r="F38" s="76" t="n">
        <v>46315</v>
      </c>
      <c r="G38" s="76" t="n">
        <v>46319</v>
      </c>
      <c r="H38" s="76" t="n">
        <v>46295</v>
      </c>
      <c r="I38" s="76" t="n">
        <v>46299</v>
      </c>
      <c r="J38" s="76" t="n">
        <v>46302</v>
      </c>
      <c r="K38" s="76" t="n">
        <v>46305</v>
      </c>
      <c r="L38" s="76" t="n">
        <v>46307</v>
      </c>
      <c r="M38" s="76" t="n">
        <v>46306</v>
      </c>
      <c r="N38" s="76" t="n">
        <v>46344</v>
      </c>
      <c r="O38" s="76" t="n">
        <v>46388</v>
      </c>
      <c r="P38" s="36" t="inlineStr">
        <is>
          <t>crawl_sampling_master.xlsx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00:30</t>
        </is>
      </c>
      <c r="D39" s="79" t="n">
        <v>46310</v>
      </c>
      <c r="E39" s="79" t="n">
        <v>46312</v>
      </c>
      <c r="F39" s="79" t="n">
        <v>46315</v>
      </c>
      <c r="G39" s="79" t="n">
        <v>46319</v>
      </c>
      <c r="H39" s="79" t="n">
        <v>46295</v>
      </c>
      <c r="I39" s="79" t="n">
        <v>46299</v>
      </c>
      <c r="J39" s="79" t="n">
        <v>46302</v>
      </c>
      <c r="K39" s="79" t="n">
        <v>46305</v>
      </c>
      <c r="L39" s="79" t="n">
        <v>46307</v>
      </c>
      <c r="M39" s="79" t="n">
        <v>46306</v>
      </c>
      <c r="N39" s="79" t="n">
        <v>46344</v>
      </c>
      <c r="O39" s="79" t="n">
        <v>46388</v>
      </c>
      <c r="P39" s="37" t="inlineStr">
        <is>
          <t>crawl_sampling_master.xlsx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00:30</t>
        </is>
      </c>
      <c r="D40" s="76" t="n">
        <v>46310</v>
      </c>
      <c r="E40" s="76" t="n">
        <v>46312</v>
      </c>
      <c r="F40" s="76" t="n">
        <v>46315</v>
      </c>
      <c r="G40" s="76" t="n">
        <v>46319</v>
      </c>
      <c r="H40" s="76" t="n">
        <v>46295</v>
      </c>
      <c r="I40" s="76" t="n">
        <v>46299</v>
      </c>
      <c r="J40" s="76" t="n">
        <v>46302</v>
      </c>
      <c r="K40" s="76" t="n">
        <v>46305</v>
      </c>
      <c r="L40" s="76" t="n">
        <v>46307</v>
      </c>
      <c r="M40" s="76" t="n">
        <v>46306</v>
      </c>
      <c r="N40" s="76" t="n">
        <v>46344</v>
      </c>
      <c r="O40" s="76" t="n">
        <v>46388</v>
      </c>
      <c r="P40" s="36" t="inlineStr">
        <is>
          <t>crawl_sampling_master.xlsx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00:30</t>
        </is>
      </c>
      <c r="D41" s="79" t="n">
        <v>46310</v>
      </c>
      <c r="E41" s="79" t="n">
        <v>46312</v>
      </c>
      <c r="F41" s="79" t="n">
        <v>46315</v>
      </c>
      <c r="G41" s="79" t="n">
        <v>46319</v>
      </c>
      <c r="H41" s="79" t="n">
        <v>46295</v>
      </c>
      <c r="I41" s="79" t="n">
        <v>46299</v>
      </c>
      <c r="J41" s="79" t="n">
        <v>46302</v>
      </c>
      <c r="K41" s="79" t="n">
        <v>46305</v>
      </c>
      <c r="L41" s="79" t="n">
        <v>46307</v>
      </c>
      <c r="M41" s="79" t="n">
        <v>46306</v>
      </c>
      <c r="N41" s="79" t="n">
        <v>46344</v>
      </c>
      <c r="O41" s="79" t="n">
        <v>46388</v>
      </c>
      <c r="P41" s="37" t="inlineStr">
        <is>
          <t>crawl_sampling_master.xlsx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00:30</t>
        </is>
      </c>
      <c r="D42" s="76" t="n">
        <v>46310</v>
      </c>
      <c r="E42" s="76" t="n">
        <v>46312</v>
      </c>
      <c r="F42" s="76" t="n">
        <v>46315</v>
      </c>
      <c r="G42" s="76" t="n">
        <v>46319</v>
      </c>
      <c r="H42" s="76" t="n">
        <v>46323</v>
      </c>
      <c r="I42" s="76" t="n">
        <v>46299</v>
      </c>
      <c r="J42" s="76" t="n">
        <v>46302</v>
      </c>
      <c r="K42" s="76" t="n">
        <v>46305</v>
      </c>
      <c r="L42" s="76" t="n">
        <v>46307</v>
      </c>
      <c r="M42" s="76" t="n">
        <v>46306</v>
      </c>
      <c r="N42" s="76" t="n">
        <v>46344</v>
      </c>
      <c r="O42" s="76" t="n">
        <v>46388</v>
      </c>
      <c r="P42" s="36" t="inlineStr">
        <is>
          <t>crawl_sampling_master.xlsx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00:30</t>
        </is>
      </c>
      <c r="D43" s="79" t="n">
        <v>46310</v>
      </c>
      <c r="E43" s="79" t="n">
        <v>46312</v>
      </c>
      <c r="F43" s="79" t="n">
        <v>46315</v>
      </c>
      <c r="G43" s="79" t="n">
        <v>46319</v>
      </c>
      <c r="H43" s="79" t="n">
        <v>46323</v>
      </c>
      <c r="I43" s="79" t="n">
        <v>46299</v>
      </c>
      <c r="J43" s="79" t="n">
        <v>46302</v>
      </c>
      <c r="K43" s="79" t="n">
        <v>46305</v>
      </c>
      <c r="L43" s="79" t="n">
        <v>46307</v>
      </c>
      <c r="M43" s="79" t="n">
        <v>46306</v>
      </c>
      <c r="N43" s="79" t="n">
        <v>46344</v>
      </c>
      <c r="O43" s="79" t="n">
        <v>46388</v>
      </c>
      <c r="P43" s="37" t="inlineStr">
        <is>
          <t>crawl_sampling_master.xlsx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00:30</t>
        </is>
      </c>
      <c r="D44" s="76" t="n">
        <v>46310</v>
      </c>
      <c r="E44" s="76" t="n">
        <v>46312</v>
      </c>
      <c r="F44" s="76" t="n">
        <v>46315</v>
      </c>
      <c r="G44" s="76" t="n">
        <v>46319</v>
      </c>
      <c r="H44" s="76" t="n">
        <v>46323</v>
      </c>
      <c r="I44" s="76" t="n">
        <v>46299</v>
      </c>
      <c r="J44" s="76" t="n">
        <v>46302</v>
      </c>
      <c r="K44" s="76" t="n">
        <v>46305</v>
      </c>
      <c r="L44" s="76" t="n">
        <v>46307</v>
      </c>
      <c r="M44" s="76" t="n">
        <v>46306</v>
      </c>
      <c r="N44" s="76" t="n">
        <v>46344</v>
      </c>
      <c r="O44" s="76" t="n">
        <v>46388</v>
      </c>
      <c r="P44" s="36" t="inlineStr">
        <is>
          <t>crawl_sampling_master.xlsx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00:30</t>
        </is>
      </c>
      <c r="D45" s="79" t="n">
        <v>46310</v>
      </c>
      <c r="E45" s="79" t="n">
        <v>46312</v>
      </c>
      <c r="F45" s="79" t="n">
        <v>46315</v>
      </c>
      <c r="G45" s="79" t="n">
        <v>46319</v>
      </c>
      <c r="H45" s="79" t="n">
        <v>46323</v>
      </c>
      <c r="I45" s="79" t="n">
        <v>46299</v>
      </c>
      <c r="J45" s="79" t="n">
        <v>46302</v>
      </c>
      <c r="K45" s="79" t="n">
        <v>46305</v>
      </c>
      <c r="L45" s="79" t="n">
        <v>46307</v>
      </c>
      <c r="M45" s="79" t="n">
        <v>46306</v>
      </c>
      <c r="N45" s="79" t="n">
        <v>46344</v>
      </c>
      <c r="O45" s="79" t="n">
        <v>46388</v>
      </c>
      <c r="P45" s="37" t="inlineStr">
        <is>
          <t>crawl_sampling_master.xlsx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00:30</t>
        </is>
      </c>
      <c r="D46" s="76" t="n">
        <v>46310</v>
      </c>
      <c r="E46" s="76" t="n">
        <v>46312</v>
      </c>
      <c r="F46" s="76" t="n">
        <v>46315</v>
      </c>
      <c r="G46" s="76" t="n">
        <v>46319</v>
      </c>
      <c r="H46" s="76" t="n">
        <v>46323</v>
      </c>
      <c r="I46" s="76" t="n">
        <v>46327</v>
      </c>
      <c r="J46" s="76" t="n">
        <v>46302</v>
      </c>
      <c r="K46" s="76" t="n">
        <v>46305</v>
      </c>
      <c r="L46" s="76" t="n">
        <v>46307</v>
      </c>
      <c r="M46" s="76" t="n">
        <v>46306</v>
      </c>
      <c r="N46" s="76" t="n">
        <v>46344</v>
      </c>
      <c r="O46" s="76" t="n">
        <v>46388</v>
      </c>
      <c r="P46" s="36" t="inlineStr">
        <is>
          <t>crawl_sampling_master.xlsx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00:30</t>
        </is>
      </c>
      <c r="D47" s="79" t="n">
        <v>46310</v>
      </c>
      <c r="E47" s="79" t="n">
        <v>46312</v>
      </c>
      <c r="F47" s="79" t="n">
        <v>46315</v>
      </c>
      <c r="G47" s="79" t="n">
        <v>46319</v>
      </c>
      <c r="H47" s="79" t="n">
        <v>46323</v>
      </c>
      <c r="I47" s="79" t="n">
        <v>46327</v>
      </c>
      <c r="J47" s="79" t="n">
        <v>46302</v>
      </c>
      <c r="K47" s="79" t="n">
        <v>46305</v>
      </c>
      <c r="L47" s="79" t="n">
        <v>46307</v>
      </c>
      <c r="M47" s="79" t="n">
        <v>46306</v>
      </c>
      <c r="N47" s="79" t="n">
        <v>46344</v>
      </c>
      <c r="O47" s="79" t="n">
        <v>46388</v>
      </c>
      <c r="P47" s="37" t="inlineStr">
        <is>
          <t>crawl_sampling_master.xlsx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00:30</t>
        </is>
      </c>
      <c r="D48" s="76" t="n">
        <v>46310</v>
      </c>
      <c r="E48" s="76" t="n">
        <v>46312</v>
      </c>
      <c r="F48" s="76" t="n">
        <v>46315</v>
      </c>
      <c r="G48" s="76" t="n">
        <v>46319</v>
      </c>
      <c r="H48" s="76" t="n">
        <v>46323</v>
      </c>
      <c r="I48" s="76" t="n">
        <v>46327</v>
      </c>
      <c r="J48" s="76" t="n">
        <v>46302</v>
      </c>
      <c r="K48" s="76" t="n">
        <v>46305</v>
      </c>
      <c r="L48" s="76" t="n">
        <v>46307</v>
      </c>
      <c r="M48" s="76" t="n">
        <v>46306</v>
      </c>
      <c r="N48" s="76" t="n">
        <v>46344</v>
      </c>
      <c r="O48" s="76" t="n">
        <v>46388</v>
      </c>
      <c r="P48" s="36" t="inlineStr">
        <is>
          <t>crawl_sampling_master.xlsx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00:30</t>
        </is>
      </c>
      <c r="D49" s="79" t="n">
        <v>46310</v>
      </c>
      <c r="E49" s="79" t="n">
        <v>46312</v>
      </c>
      <c r="F49" s="79" t="n">
        <v>46315</v>
      </c>
      <c r="G49" s="79" t="n">
        <v>46319</v>
      </c>
      <c r="H49" s="79" t="n">
        <v>46323</v>
      </c>
      <c r="I49" s="79" t="n">
        <v>46327</v>
      </c>
      <c r="J49" s="79" t="n">
        <v>46330</v>
      </c>
      <c r="K49" s="79" t="n">
        <v>46305</v>
      </c>
      <c r="L49" s="79" t="n">
        <v>46307</v>
      </c>
      <c r="M49" s="79" t="n">
        <v>46306</v>
      </c>
      <c r="N49" s="79" t="n">
        <v>46344</v>
      </c>
      <c r="O49" s="79" t="n">
        <v>46388</v>
      </c>
      <c r="P49" s="37" t="inlineStr">
        <is>
          <t>crawl_sampling_master.xlsx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00:30</t>
        </is>
      </c>
      <c r="D50" s="76" t="n">
        <v>46310</v>
      </c>
      <c r="E50" s="76" t="n">
        <v>46312</v>
      </c>
      <c r="F50" s="76" t="n">
        <v>46315</v>
      </c>
      <c r="G50" s="76" t="n">
        <v>46319</v>
      </c>
      <c r="H50" s="76" t="n">
        <v>46323</v>
      </c>
      <c r="I50" s="76" t="n">
        <v>46327</v>
      </c>
      <c r="J50" s="76" t="n">
        <v>46330</v>
      </c>
      <c r="K50" s="76" t="n">
        <v>46305</v>
      </c>
      <c r="L50" s="76" t="n">
        <v>46307</v>
      </c>
      <c r="M50" s="76" t="n">
        <v>46306</v>
      </c>
      <c r="N50" s="76" t="n">
        <v>46344</v>
      </c>
      <c r="O50" s="76" t="n">
        <v>46388</v>
      </c>
      <c r="P50" s="36" t="inlineStr">
        <is>
          <t>crawl_sampling_master.xlsx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00:30</t>
        </is>
      </c>
      <c r="D51" s="79" t="n">
        <v>46310</v>
      </c>
      <c r="E51" s="79" t="n">
        <v>46312</v>
      </c>
      <c r="F51" s="79" t="n">
        <v>46315</v>
      </c>
      <c r="G51" s="79" t="n">
        <v>46319</v>
      </c>
      <c r="H51" s="79" t="n">
        <v>46323</v>
      </c>
      <c r="I51" s="79" t="n">
        <v>46327</v>
      </c>
      <c r="J51" s="79" t="n">
        <v>46330</v>
      </c>
      <c r="K51" s="79" t="n">
        <v>46305</v>
      </c>
      <c r="L51" s="79" t="n">
        <v>46307</v>
      </c>
      <c r="M51" s="79" t="n">
        <v>46306</v>
      </c>
      <c r="N51" s="79" t="n">
        <v>46344</v>
      </c>
      <c r="O51" s="79" t="n">
        <v>46388</v>
      </c>
      <c r="P51" s="37" t="inlineStr">
        <is>
          <t>crawl_sampling_master.xlsx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00:30</t>
        </is>
      </c>
      <c r="D52" s="76" t="n">
        <v>46310</v>
      </c>
      <c r="E52" s="76" t="n">
        <v>46312</v>
      </c>
      <c r="F52" s="76" t="n">
        <v>46315</v>
      </c>
      <c r="G52" s="76" t="n">
        <v>46319</v>
      </c>
      <c r="H52" s="76" t="n">
        <v>46323</v>
      </c>
      <c r="I52" s="76" t="n">
        <v>46327</v>
      </c>
      <c r="J52" s="76" t="n">
        <v>46330</v>
      </c>
      <c r="K52" s="76" t="n">
        <v>46333</v>
      </c>
      <c r="L52" s="76" t="n">
        <v>46307</v>
      </c>
      <c r="M52" s="76" t="n">
        <v>46306</v>
      </c>
      <c r="N52" s="76" t="n">
        <v>46344</v>
      </c>
      <c r="O52" s="76" t="n">
        <v>46388</v>
      </c>
      <c r="P52" s="36" t="inlineStr">
        <is>
          <t>crawl_sampling_master.xlsx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00:30</t>
        </is>
      </c>
      <c r="D53" s="79" t="n">
        <v>46310</v>
      </c>
      <c r="E53" s="79" t="n">
        <v>46312</v>
      </c>
      <c r="F53" s="79" t="n">
        <v>46315</v>
      </c>
      <c r="G53" s="79" t="n">
        <v>46319</v>
      </c>
      <c r="H53" s="79" t="n">
        <v>46323</v>
      </c>
      <c r="I53" s="79" t="n">
        <v>46327</v>
      </c>
      <c r="J53" s="79" t="n">
        <v>46330</v>
      </c>
      <c r="K53" s="79" t="n">
        <v>46333</v>
      </c>
      <c r="L53" s="79" t="n">
        <v>46307</v>
      </c>
      <c r="M53" s="79" t="n">
        <v>46362</v>
      </c>
      <c r="N53" s="79" t="n">
        <v>46344</v>
      </c>
      <c r="O53" s="79" t="n">
        <v>46388</v>
      </c>
      <c r="P53" s="37" t="inlineStr">
        <is>
          <t>crawl_sampling_master.xlsx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00:30</t>
        </is>
      </c>
      <c r="D54" s="76" t="n">
        <v>46310</v>
      </c>
      <c r="E54" s="76" t="n">
        <v>46312</v>
      </c>
      <c r="F54" s="76" t="n">
        <v>46315</v>
      </c>
      <c r="G54" s="76" t="n">
        <v>46319</v>
      </c>
      <c r="H54" s="76" t="n">
        <v>46323</v>
      </c>
      <c r="I54" s="76" t="n">
        <v>46327</v>
      </c>
      <c r="J54" s="76" t="n">
        <v>46330</v>
      </c>
      <c r="K54" s="76" t="n">
        <v>46333</v>
      </c>
      <c r="L54" s="76" t="n">
        <v>46335</v>
      </c>
      <c r="M54" s="76" t="n">
        <v>46362</v>
      </c>
      <c r="N54" s="76" t="n">
        <v>46344</v>
      </c>
      <c r="O54" s="76" t="n">
        <v>46388</v>
      </c>
      <c r="P54" s="36" t="inlineStr">
        <is>
          <t>crawl_sampling_master.xlsx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00:30</t>
        </is>
      </c>
      <c r="D55" s="79" t="n">
        <v>46310</v>
      </c>
      <c r="E55" s="79" t="n">
        <v>46312</v>
      </c>
      <c r="F55" s="79" t="n">
        <v>46315</v>
      </c>
      <c r="G55" s="79" t="n">
        <v>46319</v>
      </c>
      <c r="H55" s="79" t="n">
        <v>46323</v>
      </c>
      <c r="I55" s="79" t="n">
        <v>46327</v>
      </c>
      <c r="J55" s="79" t="n">
        <v>46330</v>
      </c>
      <c r="K55" s="79" t="n">
        <v>46333</v>
      </c>
      <c r="L55" s="79" t="n">
        <v>46335</v>
      </c>
      <c r="M55" s="79" t="n">
        <v>46362</v>
      </c>
      <c r="N55" s="79" t="n">
        <v>46344</v>
      </c>
      <c r="O55" s="79" t="n">
        <v>46388</v>
      </c>
      <c r="P55" s="37" t="inlineStr">
        <is>
          <t>crawl_sampling_master.xlsx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00:30</t>
        </is>
      </c>
      <c r="D56" s="76" t="n">
        <v>46310</v>
      </c>
      <c r="E56" s="76" t="n">
        <v>46312</v>
      </c>
      <c r="F56" s="76" t="n">
        <v>46315</v>
      </c>
      <c r="G56" s="76" t="n">
        <v>46319</v>
      </c>
      <c r="H56" s="76" t="n">
        <v>46323</v>
      </c>
      <c r="I56" s="76" t="n">
        <v>46327</v>
      </c>
      <c r="J56" s="76" t="n">
        <v>46330</v>
      </c>
      <c r="K56" s="76" t="n">
        <v>46333</v>
      </c>
      <c r="L56" s="76" t="n">
        <v>46335</v>
      </c>
      <c r="M56" s="76" t="n">
        <v>46362</v>
      </c>
      <c r="N56" s="76" t="n">
        <v>46344</v>
      </c>
      <c r="O56" s="76" t="n">
        <v>46388</v>
      </c>
      <c r="P56" s="36" t="inlineStr">
        <is>
          <t>crawl_sampling_master.xlsx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00:30</t>
        </is>
      </c>
      <c r="D57" s="79" t="n">
        <v>46338</v>
      </c>
      <c r="E57" s="79" t="n">
        <v>46312</v>
      </c>
      <c r="F57" s="79" t="n">
        <v>46315</v>
      </c>
      <c r="G57" s="79" t="n">
        <v>46319</v>
      </c>
      <c r="H57" s="79" t="n">
        <v>46323</v>
      </c>
      <c r="I57" s="79" t="n">
        <v>46327</v>
      </c>
      <c r="J57" s="79" t="n">
        <v>46330</v>
      </c>
      <c r="K57" s="79" t="n">
        <v>46333</v>
      </c>
      <c r="L57" s="79" t="n">
        <v>46335</v>
      </c>
      <c r="M57" s="79" t="n">
        <v>46362</v>
      </c>
      <c r="N57" s="79" t="n">
        <v>46344</v>
      </c>
      <c r="O57" s="79" t="n">
        <v>46388</v>
      </c>
      <c r="P57" s="37" t="inlineStr">
        <is>
          <t>crawl_sampling_master.xlsx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00:30</t>
        </is>
      </c>
      <c r="D58" s="76" t="n">
        <v>46338</v>
      </c>
      <c r="E58" s="76" t="n">
        <v>46312</v>
      </c>
      <c r="F58" s="76" t="n">
        <v>46315</v>
      </c>
      <c r="G58" s="76" t="n">
        <v>46319</v>
      </c>
      <c r="H58" s="76" t="n">
        <v>46323</v>
      </c>
      <c r="I58" s="76" t="n">
        <v>46327</v>
      </c>
      <c r="J58" s="76" t="n">
        <v>46330</v>
      </c>
      <c r="K58" s="76" t="n">
        <v>46333</v>
      </c>
      <c r="L58" s="76" t="n">
        <v>46335</v>
      </c>
      <c r="M58" s="76" t="n">
        <v>46362</v>
      </c>
      <c r="N58" s="76" t="n">
        <v>46344</v>
      </c>
      <c r="O58" s="76" t="n">
        <v>46388</v>
      </c>
      <c r="P58" s="36" t="inlineStr">
        <is>
          <t>crawl_sampling_master.xlsx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00:30</t>
        </is>
      </c>
      <c r="D59" s="79" t="n">
        <v>46338</v>
      </c>
      <c r="E59" s="79" t="n">
        <v>46340</v>
      </c>
      <c r="F59" s="79" t="n">
        <v>46315</v>
      </c>
      <c r="G59" s="79" t="n">
        <v>46319</v>
      </c>
      <c r="H59" s="79" t="n">
        <v>46323</v>
      </c>
      <c r="I59" s="79" t="n">
        <v>46327</v>
      </c>
      <c r="J59" s="79" t="n">
        <v>46330</v>
      </c>
      <c r="K59" s="79" t="n">
        <v>46333</v>
      </c>
      <c r="L59" s="79" t="n">
        <v>46335</v>
      </c>
      <c r="M59" s="79" t="n">
        <v>46362</v>
      </c>
      <c r="N59" s="79" t="n">
        <v>46344</v>
      </c>
      <c r="O59" s="79" t="n">
        <v>46388</v>
      </c>
      <c r="P59" s="37" t="inlineStr">
        <is>
          <t>crawl_sampling_master.xlsx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00:30</t>
        </is>
      </c>
      <c r="D60" s="76" t="n">
        <v>46338</v>
      </c>
      <c r="E60" s="76" t="n">
        <v>46340</v>
      </c>
      <c r="F60" s="76" t="n">
        <v>46315</v>
      </c>
      <c r="G60" s="76" t="n">
        <v>46319</v>
      </c>
      <c r="H60" s="76" t="n">
        <v>46323</v>
      </c>
      <c r="I60" s="76" t="n">
        <v>46327</v>
      </c>
      <c r="J60" s="76" t="n">
        <v>46330</v>
      </c>
      <c r="K60" s="76" t="n">
        <v>46333</v>
      </c>
      <c r="L60" s="76" t="n">
        <v>46335</v>
      </c>
      <c r="M60" s="76" t="n">
        <v>46362</v>
      </c>
      <c r="N60" s="76" t="n">
        <v>46344</v>
      </c>
      <c r="O60" s="76" t="n">
        <v>46388</v>
      </c>
      <c r="P60" s="36" t="inlineStr">
        <is>
          <t>crawl_sampling_master.xlsx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00:30</t>
        </is>
      </c>
      <c r="D61" s="79" t="n">
        <v>46338</v>
      </c>
      <c r="E61" s="79" t="n">
        <v>46340</v>
      </c>
      <c r="F61" s="79" t="n">
        <v>46315</v>
      </c>
      <c r="G61" s="79" t="n">
        <v>46319</v>
      </c>
      <c r="H61" s="79" t="n">
        <v>46323</v>
      </c>
      <c r="I61" s="79" t="n">
        <v>46327</v>
      </c>
      <c r="J61" s="79" t="n">
        <v>46330</v>
      </c>
      <c r="K61" s="79" t="n">
        <v>46333</v>
      </c>
      <c r="L61" s="79" t="n">
        <v>46335</v>
      </c>
      <c r="M61" s="79" t="n">
        <v>46362</v>
      </c>
      <c r="N61" s="79" t="n">
        <v>46344</v>
      </c>
      <c r="O61" s="79" t="n">
        <v>46388</v>
      </c>
      <c r="P61" s="37" t="inlineStr">
        <is>
          <t>crawl_sampling_master.xlsx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00:30</t>
        </is>
      </c>
      <c r="D62" s="76" t="n">
        <v>46338</v>
      </c>
      <c r="E62" s="76" t="n">
        <v>46340</v>
      </c>
      <c r="F62" s="76" t="n">
        <v>46343</v>
      </c>
      <c r="G62" s="76" t="n">
        <v>46319</v>
      </c>
      <c r="H62" s="76" t="n">
        <v>46323</v>
      </c>
      <c r="I62" s="76" t="n">
        <v>46327</v>
      </c>
      <c r="J62" s="76" t="n">
        <v>46330</v>
      </c>
      <c r="K62" s="76" t="n">
        <v>46333</v>
      </c>
      <c r="L62" s="76" t="n">
        <v>46335</v>
      </c>
      <c r="M62" s="76" t="n">
        <v>46362</v>
      </c>
      <c r="N62" s="76" t="n">
        <v>46344</v>
      </c>
      <c r="O62" s="76" t="n">
        <v>46388</v>
      </c>
      <c r="P62" s="36" t="inlineStr">
        <is>
          <t>crawl_sampling_master.xlsx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00:30</t>
        </is>
      </c>
      <c r="D63" s="79" t="n">
        <v>46338</v>
      </c>
      <c r="E63" s="79" t="n">
        <v>46340</v>
      </c>
      <c r="F63" s="79" t="n">
        <v>46343</v>
      </c>
      <c r="G63" s="79" t="n">
        <v>46319</v>
      </c>
      <c r="H63" s="79" t="n">
        <v>46323</v>
      </c>
      <c r="I63" s="79" t="n">
        <v>46327</v>
      </c>
      <c r="J63" s="79" t="n">
        <v>46330</v>
      </c>
      <c r="K63" s="79" t="n">
        <v>46333</v>
      </c>
      <c r="L63" s="79" t="n">
        <v>46335</v>
      </c>
      <c r="M63" s="79" t="n">
        <v>46362</v>
      </c>
      <c r="N63" s="79" t="n">
        <v>46344</v>
      </c>
      <c r="O63" s="79" t="n">
        <v>46388</v>
      </c>
      <c r="P63" s="37" t="inlineStr">
        <is>
          <t>crawl_sampling_master.xlsx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00:30</t>
        </is>
      </c>
      <c r="D64" s="76" t="n">
        <v>46338</v>
      </c>
      <c r="E64" s="76" t="n">
        <v>46340</v>
      </c>
      <c r="F64" s="76" t="n">
        <v>46343</v>
      </c>
      <c r="G64" s="76" t="n">
        <v>46319</v>
      </c>
      <c r="H64" s="76" t="n">
        <v>46323</v>
      </c>
      <c r="I64" s="76" t="n">
        <v>46327</v>
      </c>
      <c r="J64" s="76" t="n">
        <v>46330</v>
      </c>
      <c r="K64" s="76" t="n">
        <v>46333</v>
      </c>
      <c r="L64" s="76" t="n">
        <v>46335</v>
      </c>
      <c r="M64" s="76" t="n">
        <v>46362</v>
      </c>
      <c r="N64" s="76" t="n">
        <v>46344</v>
      </c>
      <c r="O64" s="76" t="n">
        <v>46388</v>
      </c>
      <c r="P64" s="36" t="inlineStr">
        <is>
          <t>crawl_sampling_master.xlsx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00:30</t>
        </is>
      </c>
      <c r="D65" s="79" t="n">
        <v>46338</v>
      </c>
      <c r="E65" s="79" t="n">
        <v>46340</v>
      </c>
      <c r="F65" s="79" t="n">
        <v>46343</v>
      </c>
      <c r="G65" s="79" t="n">
        <v>46319</v>
      </c>
      <c r="H65" s="79" t="n">
        <v>46323</v>
      </c>
      <c r="I65" s="79" t="n">
        <v>46327</v>
      </c>
      <c r="J65" s="79" t="n">
        <v>46330</v>
      </c>
      <c r="K65" s="79" t="n">
        <v>46333</v>
      </c>
      <c r="L65" s="79" t="n">
        <v>46335</v>
      </c>
      <c r="M65" s="79" t="n">
        <v>46362</v>
      </c>
      <c r="N65" s="79" t="n">
        <v>46344</v>
      </c>
      <c r="O65" s="79" t="n">
        <v>46388</v>
      </c>
      <c r="P65" s="37" t="inlineStr">
        <is>
          <t>crawl_sampling_master.xlsx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00:30</t>
        </is>
      </c>
      <c r="D66" s="76" t="n">
        <v>46338</v>
      </c>
      <c r="E66" s="76" t="n">
        <v>46340</v>
      </c>
      <c r="F66" s="76" t="n">
        <v>46343</v>
      </c>
      <c r="G66" s="76" t="n">
        <v>46347</v>
      </c>
      <c r="H66" s="76" t="n">
        <v>46323</v>
      </c>
      <c r="I66" s="76" t="n">
        <v>46327</v>
      </c>
      <c r="J66" s="76" t="n">
        <v>46330</v>
      </c>
      <c r="K66" s="76" t="n">
        <v>46333</v>
      </c>
      <c r="L66" s="76" t="n">
        <v>46335</v>
      </c>
      <c r="M66" s="76" t="n">
        <v>46362</v>
      </c>
      <c r="N66" s="76" t="n">
        <v>46344</v>
      </c>
      <c r="O66" s="76" t="n">
        <v>46388</v>
      </c>
      <c r="P66" s="36" t="inlineStr">
        <is>
          <t>crawl_sampling_master.xlsx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00:30</t>
        </is>
      </c>
      <c r="D67" s="79" t="n">
        <v>46338</v>
      </c>
      <c r="E67" s="79" t="n">
        <v>46340</v>
      </c>
      <c r="F67" s="79" t="n">
        <v>46343</v>
      </c>
      <c r="G67" s="79" t="n">
        <v>46347</v>
      </c>
      <c r="H67" s="79" t="n">
        <v>46323</v>
      </c>
      <c r="I67" s="79" t="n">
        <v>46327</v>
      </c>
      <c r="J67" s="79" t="n">
        <v>46330</v>
      </c>
      <c r="K67" s="79" t="n">
        <v>46333</v>
      </c>
      <c r="L67" s="79" t="n">
        <v>46335</v>
      </c>
      <c r="M67" s="79" t="n">
        <v>46362</v>
      </c>
      <c r="N67" s="79" t="n">
        <v>46344</v>
      </c>
      <c r="O67" s="79" t="n">
        <v>46388</v>
      </c>
      <c r="P67" s="37" t="inlineStr">
        <is>
          <t>crawl_sampling_master.xlsx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00:30</t>
        </is>
      </c>
      <c r="D68" s="76" t="n">
        <v>46338</v>
      </c>
      <c r="E68" s="76" t="n">
        <v>46340</v>
      </c>
      <c r="F68" s="76" t="n">
        <v>46343</v>
      </c>
      <c r="G68" s="76" t="n">
        <v>46347</v>
      </c>
      <c r="H68" s="76" t="n">
        <v>46323</v>
      </c>
      <c r="I68" s="76" t="n">
        <v>46327</v>
      </c>
      <c r="J68" s="76" t="n">
        <v>46330</v>
      </c>
      <c r="K68" s="76" t="n">
        <v>46333</v>
      </c>
      <c r="L68" s="76" t="n">
        <v>46335</v>
      </c>
      <c r="M68" s="76" t="n">
        <v>46362</v>
      </c>
      <c r="N68" s="76" t="n">
        <v>46344</v>
      </c>
      <c r="O68" s="76" t="n">
        <v>46388</v>
      </c>
      <c r="P68" s="36" t="inlineStr">
        <is>
          <t>crawl_sampling_master.xlsx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00:30</t>
        </is>
      </c>
      <c r="D69" s="79" t="n">
        <v>46338</v>
      </c>
      <c r="E69" s="79" t="n">
        <v>46340</v>
      </c>
      <c r="F69" s="79" t="n">
        <v>46343</v>
      </c>
      <c r="G69" s="79" t="n">
        <v>46347</v>
      </c>
      <c r="H69" s="79" t="n">
        <v>46323</v>
      </c>
      <c r="I69" s="79" t="n">
        <v>46327</v>
      </c>
      <c r="J69" s="79" t="n">
        <v>46330</v>
      </c>
      <c r="K69" s="79" t="n">
        <v>46333</v>
      </c>
      <c r="L69" s="79" t="n">
        <v>46335</v>
      </c>
      <c r="M69" s="79" t="n">
        <v>46362</v>
      </c>
      <c r="N69" s="79" t="n">
        <v>46344</v>
      </c>
      <c r="O69" s="79" t="n">
        <v>46388</v>
      </c>
      <c r="P69" s="37" t="inlineStr">
        <is>
          <t>crawl_sampling_master.xlsx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00:30</t>
        </is>
      </c>
      <c r="D70" s="76" t="n">
        <v>46338</v>
      </c>
      <c r="E70" s="76" t="n">
        <v>46340</v>
      </c>
      <c r="F70" s="76" t="n">
        <v>46343</v>
      </c>
      <c r="G70" s="76" t="n">
        <v>46347</v>
      </c>
      <c r="H70" s="76" t="n">
        <v>46351</v>
      </c>
      <c r="I70" s="76" t="n">
        <v>46327</v>
      </c>
      <c r="J70" s="76" t="n">
        <v>46330</v>
      </c>
      <c r="K70" s="76" t="n">
        <v>46333</v>
      </c>
      <c r="L70" s="76" t="n">
        <v>46335</v>
      </c>
      <c r="M70" s="76" t="n">
        <v>46362</v>
      </c>
      <c r="N70" s="76" t="n">
        <v>46344</v>
      </c>
      <c r="O70" s="76" t="n">
        <v>46388</v>
      </c>
      <c r="P70" s="36" t="inlineStr">
        <is>
          <t>crawl_sampling_master.xlsx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00:30</t>
        </is>
      </c>
      <c r="D71" s="79" t="n">
        <v>46338</v>
      </c>
      <c r="E71" s="79" t="n">
        <v>46340</v>
      </c>
      <c r="F71" s="79" t="n">
        <v>46343</v>
      </c>
      <c r="G71" s="79" t="n">
        <v>46347</v>
      </c>
      <c r="H71" s="79" t="n">
        <v>46351</v>
      </c>
      <c r="I71" s="79" t="n">
        <v>46327</v>
      </c>
      <c r="J71" s="79" t="n">
        <v>46330</v>
      </c>
      <c r="K71" s="79" t="n">
        <v>46333</v>
      </c>
      <c r="L71" s="79" t="n">
        <v>46335</v>
      </c>
      <c r="M71" s="79" t="n">
        <v>46362</v>
      </c>
      <c r="N71" s="79" t="n">
        <v>46344</v>
      </c>
      <c r="O71" s="79" t="n">
        <v>46388</v>
      </c>
      <c r="P71" s="37" t="inlineStr">
        <is>
          <t>crawl_sampling_master.xlsx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00:30</t>
        </is>
      </c>
      <c r="D72" s="76" t="n">
        <v>46338</v>
      </c>
      <c r="E72" s="76" t="n">
        <v>46340</v>
      </c>
      <c r="F72" s="76" t="n">
        <v>46343</v>
      </c>
      <c r="G72" s="76" t="n">
        <v>46347</v>
      </c>
      <c r="H72" s="76" t="n">
        <v>46351</v>
      </c>
      <c r="I72" s="76" t="n">
        <v>46327</v>
      </c>
      <c r="J72" s="76" t="n">
        <v>46330</v>
      </c>
      <c r="K72" s="76" t="n">
        <v>46333</v>
      </c>
      <c r="L72" s="76" t="n">
        <v>46335</v>
      </c>
      <c r="M72" s="76" t="n">
        <v>46362</v>
      </c>
      <c r="N72" s="76" t="n">
        <v>46344</v>
      </c>
      <c r="O72" s="76" t="n">
        <v>46388</v>
      </c>
      <c r="P72" s="36" t="inlineStr">
        <is>
          <t>crawl_sampling_master.xlsx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00:30</t>
        </is>
      </c>
      <c r="D73" s="79" t="n">
        <v>46338</v>
      </c>
      <c r="E73" s="79" t="n">
        <v>46340</v>
      </c>
      <c r="F73" s="79" t="n">
        <v>46343</v>
      </c>
      <c r="G73" s="79" t="n">
        <v>46347</v>
      </c>
      <c r="H73" s="79" t="n">
        <v>46351</v>
      </c>
      <c r="I73" s="79" t="n">
        <v>46327</v>
      </c>
      <c r="J73" s="79" t="n">
        <v>46330</v>
      </c>
      <c r="K73" s="79" t="n">
        <v>46333</v>
      </c>
      <c r="L73" s="79" t="n">
        <v>46335</v>
      </c>
      <c r="M73" s="79" t="n">
        <v>46362</v>
      </c>
      <c r="N73" s="79" t="n">
        <v>46344</v>
      </c>
      <c r="O73" s="79" t="n">
        <v>46388</v>
      </c>
      <c r="P73" s="37" t="inlineStr">
        <is>
          <t>crawl_sampling_master.xlsx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00:30</t>
        </is>
      </c>
      <c r="D74" s="76" t="n">
        <v>46338</v>
      </c>
      <c r="E74" s="76" t="n">
        <v>46340</v>
      </c>
      <c r="F74" s="76" t="n">
        <v>46343</v>
      </c>
      <c r="G74" s="76" t="n">
        <v>46347</v>
      </c>
      <c r="H74" s="76" t="n">
        <v>46351</v>
      </c>
      <c r="I74" s="76" t="n">
        <v>46355</v>
      </c>
      <c r="J74" s="76" t="n">
        <v>46330</v>
      </c>
      <c r="K74" s="76" t="n">
        <v>46333</v>
      </c>
      <c r="L74" s="76" t="n">
        <v>46335</v>
      </c>
      <c r="M74" s="76" t="n">
        <v>46362</v>
      </c>
      <c r="N74" s="76" t="n">
        <v>46344</v>
      </c>
      <c r="O74" s="76" t="n">
        <v>46388</v>
      </c>
      <c r="P74" s="36" t="inlineStr">
        <is>
          <t>crawl_sampling_master.xlsx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00:30</t>
        </is>
      </c>
      <c r="D75" s="79" t="n">
        <v>46338</v>
      </c>
      <c r="E75" s="79" t="n">
        <v>46340</v>
      </c>
      <c r="F75" s="79" t="n">
        <v>46343</v>
      </c>
      <c r="G75" s="79" t="n">
        <v>46347</v>
      </c>
      <c r="H75" s="79" t="n">
        <v>46351</v>
      </c>
      <c r="I75" s="79" t="n">
        <v>46355</v>
      </c>
      <c r="J75" s="79" t="n">
        <v>46330</v>
      </c>
      <c r="K75" s="79" t="n">
        <v>46333</v>
      </c>
      <c r="L75" s="79" t="n">
        <v>46335</v>
      </c>
      <c r="M75" s="79" t="n">
        <v>46362</v>
      </c>
      <c r="N75" s="79" t="n">
        <v>46344</v>
      </c>
      <c r="O75" s="79" t="n">
        <v>46388</v>
      </c>
      <c r="P75" s="37" t="inlineStr">
        <is>
          <t>crawl_sampling_master.xlsx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00:30</t>
        </is>
      </c>
      <c r="D76" s="76" t="n">
        <v>46338</v>
      </c>
      <c r="E76" s="76" t="n">
        <v>46340</v>
      </c>
      <c r="F76" s="76" t="n">
        <v>46343</v>
      </c>
      <c r="G76" s="76" t="n">
        <v>46347</v>
      </c>
      <c r="H76" s="76" t="n">
        <v>46351</v>
      </c>
      <c r="I76" s="76" t="n">
        <v>46355</v>
      </c>
      <c r="J76" s="76" t="n">
        <v>46330</v>
      </c>
      <c r="K76" s="76" t="n">
        <v>46333</v>
      </c>
      <c r="L76" s="76" t="n">
        <v>46335</v>
      </c>
      <c r="M76" s="76" t="n">
        <v>46362</v>
      </c>
      <c r="N76" s="76" t="n">
        <v>46344</v>
      </c>
      <c r="O76" s="76" t="n">
        <v>46388</v>
      </c>
      <c r="P76" s="36" t="inlineStr">
        <is>
          <t>crawl_sampling_master.xlsx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00:30</t>
        </is>
      </c>
      <c r="D77" s="79" t="n">
        <v>46338</v>
      </c>
      <c r="E77" s="79" t="n">
        <v>46340</v>
      </c>
      <c r="F77" s="79" t="n">
        <v>46343</v>
      </c>
      <c r="G77" s="79" t="n">
        <v>46347</v>
      </c>
      <c r="H77" s="79" t="n">
        <v>46351</v>
      </c>
      <c r="I77" s="79" t="n">
        <v>46355</v>
      </c>
      <c r="J77" s="79" t="n">
        <v>46358</v>
      </c>
      <c r="K77" s="79" t="n">
        <v>46333</v>
      </c>
      <c r="L77" s="79" t="n">
        <v>46335</v>
      </c>
      <c r="M77" s="79" t="n">
        <v>46362</v>
      </c>
      <c r="N77" s="79" t="n">
        <v>46344</v>
      </c>
      <c r="O77" s="79" t="n">
        <v>46388</v>
      </c>
      <c r="P77" s="37" t="inlineStr">
        <is>
          <t>crawl_sampling_master.xlsx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00:30</t>
        </is>
      </c>
      <c r="D78" s="76" t="n">
        <v>46338</v>
      </c>
      <c r="E78" s="76" t="n">
        <v>46340</v>
      </c>
      <c r="F78" s="76" t="n">
        <v>46343</v>
      </c>
      <c r="G78" s="76" t="n">
        <v>46347</v>
      </c>
      <c r="H78" s="76" t="n">
        <v>46351</v>
      </c>
      <c r="I78" s="76" t="n">
        <v>46355</v>
      </c>
      <c r="J78" s="76" t="n">
        <v>46358</v>
      </c>
      <c r="K78" s="76" t="n">
        <v>46333</v>
      </c>
      <c r="L78" s="76" t="n">
        <v>46335</v>
      </c>
      <c r="M78" s="76" t="n">
        <v>46362</v>
      </c>
      <c r="N78" s="76" t="n">
        <v>46344</v>
      </c>
      <c r="O78" s="76" t="n">
        <v>46388</v>
      </c>
      <c r="P78" s="36" t="inlineStr">
        <is>
          <t>crawl_sampling_master.xlsx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00:30</t>
        </is>
      </c>
      <c r="D79" s="79" t="n">
        <v>46338</v>
      </c>
      <c r="E79" s="79" t="n">
        <v>46340</v>
      </c>
      <c r="F79" s="79" t="n">
        <v>46343</v>
      </c>
      <c r="G79" s="79" t="n">
        <v>46347</v>
      </c>
      <c r="H79" s="79" t="n">
        <v>46351</v>
      </c>
      <c r="I79" s="79" t="n">
        <v>46355</v>
      </c>
      <c r="J79" s="79" t="n">
        <v>46358</v>
      </c>
      <c r="K79" s="79" t="n">
        <v>46333</v>
      </c>
      <c r="L79" s="79" t="n">
        <v>46335</v>
      </c>
      <c r="M79" s="79" t="n">
        <v>46362</v>
      </c>
      <c r="N79" s="79" t="n">
        <v>46344</v>
      </c>
      <c r="O79" s="79" t="n">
        <v>46388</v>
      </c>
      <c r="P79" s="37" t="inlineStr">
        <is>
          <t>crawl_sampling_master.xlsx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00:30</t>
        </is>
      </c>
      <c r="D80" s="76" t="n">
        <v>46338</v>
      </c>
      <c r="E80" s="76" t="n">
        <v>46340</v>
      </c>
      <c r="F80" s="76" t="n">
        <v>46343</v>
      </c>
      <c r="G80" s="76" t="n">
        <v>46347</v>
      </c>
      <c r="H80" s="76" t="n">
        <v>46351</v>
      </c>
      <c r="I80" s="76" t="n">
        <v>46355</v>
      </c>
      <c r="J80" s="76" t="n">
        <v>46358</v>
      </c>
      <c r="K80" s="76" t="n">
        <v>46361</v>
      </c>
      <c r="L80" s="76" t="n">
        <v>46335</v>
      </c>
      <c r="M80" s="76" t="n">
        <v>46362</v>
      </c>
      <c r="N80" s="76" t="n">
        <v>46344</v>
      </c>
      <c r="O80" s="76" t="n">
        <v>46388</v>
      </c>
      <c r="P80" s="36" t="inlineStr">
        <is>
          <t>crawl_sampling_master.xlsx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00:30</t>
        </is>
      </c>
      <c r="D81" s="79" t="n">
        <v>46338</v>
      </c>
      <c r="E81" s="79" t="n">
        <v>46340</v>
      </c>
      <c r="F81" s="79" t="n">
        <v>46343</v>
      </c>
      <c r="G81" s="79" t="n">
        <v>46347</v>
      </c>
      <c r="H81" s="79" t="n">
        <v>46351</v>
      </c>
      <c r="I81" s="79" t="n">
        <v>46355</v>
      </c>
      <c r="J81" s="79" t="n">
        <v>46358</v>
      </c>
      <c r="K81" s="79" t="n">
        <v>46361</v>
      </c>
      <c r="L81" s="79" t="n">
        <v>46335</v>
      </c>
      <c r="M81" s="79" t="n">
        <v>46362</v>
      </c>
      <c r="N81" s="79" t="n">
        <v>46344</v>
      </c>
      <c r="O81" s="79" t="n">
        <v>46388</v>
      </c>
      <c r="P81" s="37" t="inlineStr">
        <is>
          <t>crawl_sampling_master.xlsx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00:30</t>
        </is>
      </c>
      <c r="D82" s="76" t="n">
        <v>46338</v>
      </c>
      <c r="E82" s="76" t="n">
        <v>46340</v>
      </c>
      <c r="F82" s="76" t="n">
        <v>46343</v>
      </c>
      <c r="G82" s="76" t="n">
        <v>46347</v>
      </c>
      <c r="H82" s="76" t="n">
        <v>46351</v>
      </c>
      <c r="I82" s="76" t="n">
        <v>46355</v>
      </c>
      <c r="J82" s="76" t="n">
        <v>46358</v>
      </c>
      <c r="K82" s="76" t="n">
        <v>46361</v>
      </c>
      <c r="L82" s="76" t="n">
        <v>46363</v>
      </c>
      <c r="M82" s="76" t="n">
        <v>46362</v>
      </c>
      <c r="N82" s="76" t="n">
        <v>46344</v>
      </c>
      <c r="O82" s="76" t="n">
        <v>46388</v>
      </c>
      <c r="P82" s="36" t="inlineStr">
        <is>
          <t>crawl_sampling_master.xlsx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00:30</t>
        </is>
      </c>
      <c r="D83" s="79" t="n">
        <v>46338</v>
      </c>
      <c r="E83" s="79" t="n">
        <v>46340</v>
      </c>
      <c r="F83" s="79" t="n">
        <v>46343</v>
      </c>
      <c r="G83" s="79" t="n">
        <v>46347</v>
      </c>
      <c r="H83" s="79" t="n">
        <v>46351</v>
      </c>
      <c r="I83" s="79" t="n">
        <v>46355</v>
      </c>
      <c r="J83" s="79" t="n">
        <v>46358</v>
      </c>
      <c r="K83" s="79" t="n">
        <v>46361</v>
      </c>
      <c r="L83" s="79" t="n">
        <v>46363</v>
      </c>
      <c r="M83" s="79" t="n">
        <v>46362</v>
      </c>
      <c r="N83" s="79" t="n">
        <v>46344</v>
      </c>
      <c r="O83" s="79" t="n">
        <v>46388</v>
      </c>
      <c r="P83" s="37" t="inlineStr">
        <is>
          <t>crawl_sampling_master.xlsx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00:30</t>
        </is>
      </c>
      <c r="D84" s="76" t="n">
        <v>46338</v>
      </c>
      <c r="E84" s="76" t="n">
        <v>46340</v>
      </c>
      <c r="F84" s="76" t="n">
        <v>46343</v>
      </c>
      <c r="G84" s="76" t="n">
        <v>46347</v>
      </c>
      <c r="H84" s="76" t="n">
        <v>46351</v>
      </c>
      <c r="I84" s="76" t="n">
        <v>46355</v>
      </c>
      <c r="J84" s="76" t="n">
        <v>46358</v>
      </c>
      <c r="K84" s="76" t="n">
        <v>46361</v>
      </c>
      <c r="L84" s="76" t="n">
        <v>46363</v>
      </c>
      <c r="M84" s="76" t="n">
        <v>46362</v>
      </c>
      <c r="N84" s="76" t="n">
        <v>46344</v>
      </c>
      <c r="O84" s="76" t="n">
        <v>46388</v>
      </c>
      <c r="P84" s="36" t="inlineStr">
        <is>
          <t>crawl_sampling_master.xlsx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00:30</t>
        </is>
      </c>
      <c r="D85" s="79" t="n">
        <v>46366</v>
      </c>
      <c r="E85" s="79" t="n">
        <v>46340</v>
      </c>
      <c r="F85" s="79" t="n">
        <v>46343</v>
      </c>
      <c r="G85" s="79" t="n">
        <v>46347</v>
      </c>
      <c r="H85" s="79" t="n">
        <v>46351</v>
      </c>
      <c r="I85" s="79" t="n">
        <v>46355</v>
      </c>
      <c r="J85" s="79" t="n">
        <v>46358</v>
      </c>
      <c r="K85" s="79" t="n">
        <v>46361</v>
      </c>
      <c r="L85" s="79" t="n">
        <v>46363</v>
      </c>
      <c r="M85" s="79" t="n">
        <v>46362</v>
      </c>
      <c r="N85" s="79" t="n">
        <v>46344</v>
      </c>
      <c r="O85" s="79" t="n">
        <v>46388</v>
      </c>
      <c r="P85" s="37" t="inlineStr">
        <is>
          <t>crawl_sampling_master.xlsx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00:30</t>
        </is>
      </c>
      <c r="D86" s="76" t="n">
        <v>46366</v>
      </c>
      <c r="E86" s="76" t="n">
        <v>46340</v>
      </c>
      <c r="F86" s="76" t="n">
        <v>46343</v>
      </c>
      <c r="G86" s="76" t="n">
        <v>46347</v>
      </c>
      <c r="H86" s="76" t="n">
        <v>46351</v>
      </c>
      <c r="I86" s="76" t="n">
        <v>46355</v>
      </c>
      <c r="J86" s="76" t="n">
        <v>46358</v>
      </c>
      <c r="K86" s="76" t="n">
        <v>46361</v>
      </c>
      <c r="L86" s="76" t="n">
        <v>46363</v>
      </c>
      <c r="M86" s="76" t="n">
        <v>46362</v>
      </c>
      <c r="N86" s="76" t="n">
        <v>46344</v>
      </c>
      <c r="O86" s="76" t="n">
        <v>46388</v>
      </c>
      <c r="P86" s="36" t="inlineStr">
        <is>
          <t>crawl_sampling_master.xlsx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00:30</t>
        </is>
      </c>
      <c r="D87" s="79" t="n">
        <v>46366</v>
      </c>
      <c r="E87" s="79" t="n">
        <v>46368</v>
      </c>
      <c r="F87" s="79" t="n">
        <v>46343</v>
      </c>
      <c r="G87" s="79" t="n">
        <v>46347</v>
      </c>
      <c r="H87" s="79" t="n">
        <v>46351</v>
      </c>
      <c r="I87" s="79" t="n">
        <v>46355</v>
      </c>
      <c r="J87" s="79" t="n">
        <v>46358</v>
      </c>
      <c r="K87" s="79" t="n">
        <v>46361</v>
      </c>
      <c r="L87" s="79" t="n">
        <v>46363</v>
      </c>
      <c r="M87" s="79" t="n">
        <v>46362</v>
      </c>
      <c r="N87" s="79" t="n">
        <v>46344</v>
      </c>
      <c r="O87" s="79" t="n">
        <v>46388</v>
      </c>
      <c r="P87" s="37" t="inlineStr">
        <is>
          <t>crawl_sampling_master.xlsx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00:30</t>
        </is>
      </c>
      <c r="D88" s="76" t="n">
        <v>46366</v>
      </c>
      <c r="E88" s="76" t="n">
        <v>46368</v>
      </c>
      <c r="F88" s="76" t="n">
        <v>46343</v>
      </c>
      <c r="G88" s="76" t="n">
        <v>46347</v>
      </c>
      <c r="H88" s="76" t="n">
        <v>46351</v>
      </c>
      <c r="I88" s="76" t="n">
        <v>46355</v>
      </c>
      <c r="J88" s="76" t="n">
        <v>46358</v>
      </c>
      <c r="K88" s="76" t="n">
        <v>46361</v>
      </c>
      <c r="L88" s="76" t="n">
        <v>46363</v>
      </c>
      <c r="M88" s="76" t="n">
        <v>46362</v>
      </c>
      <c r="N88" s="76" t="n">
        <v>46344</v>
      </c>
      <c r="O88" s="76" t="n">
        <v>46388</v>
      </c>
      <c r="P88" s="36" t="inlineStr">
        <is>
          <t>crawl_sampling_master.xlsx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00:30</t>
        </is>
      </c>
      <c r="D89" s="79" t="n">
        <v>46366</v>
      </c>
      <c r="E89" s="79" t="n">
        <v>46368</v>
      </c>
      <c r="F89" s="79" t="n">
        <v>46343</v>
      </c>
      <c r="G89" s="79" t="n">
        <v>46347</v>
      </c>
      <c r="H89" s="79" t="n">
        <v>46351</v>
      </c>
      <c r="I89" s="79" t="n">
        <v>46355</v>
      </c>
      <c r="J89" s="79" t="n">
        <v>46358</v>
      </c>
      <c r="K89" s="79" t="n">
        <v>46361</v>
      </c>
      <c r="L89" s="79" t="n">
        <v>46363</v>
      </c>
      <c r="M89" s="79" t="n">
        <v>46362</v>
      </c>
      <c r="N89" s="79" t="n">
        <v>46344</v>
      </c>
      <c r="O89" s="79" t="n">
        <v>46388</v>
      </c>
      <c r="P89" s="37" t="inlineStr">
        <is>
          <t>crawl_sampling_master.xlsx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00:30</t>
        </is>
      </c>
      <c r="D90" s="76" t="n">
        <v>46366</v>
      </c>
      <c r="E90" s="76" t="n">
        <v>46368</v>
      </c>
      <c r="F90" s="76" t="n">
        <v>46371</v>
      </c>
      <c r="G90" s="76" t="n">
        <v>46347</v>
      </c>
      <c r="H90" s="76" t="n">
        <v>46351</v>
      </c>
      <c r="I90" s="76" t="n">
        <v>46355</v>
      </c>
      <c r="J90" s="76" t="n">
        <v>46358</v>
      </c>
      <c r="K90" s="76" t="n">
        <v>46361</v>
      </c>
      <c r="L90" s="76" t="n">
        <v>46363</v>
      </c>
      <c r="M90" s="76" t="n">
        <v>46362</v>
      </c>
      <c r="N90" s="76" t="n">
        <v>46344</v>
      </c>
      <c r="O90" s="76" t="n">
        <v>46388</v>
      </c>
      <c r="P90" s="36" t="inlineStr">
        <is>
          <t>crawl_sampling_master.xlsx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00:30</t>
        </is>
      </c>
      <c r="D91" s="79" t="n">
        <v>46366</v>
      </c>
      <c r="E91" s="79" t="n">
        <v>46368</v>
      </c>
      <c r="F91" s="79" t="n">
        <v>46371</v>
      </c>
      <c r="G91" s="79" t="n">
        <v>46347</v>
      </c>
      <c r="H91" s="79" t="n">
        <v>46351</v>
      </c>
      <c r="I91" s="79" t="n">
        <v>46355</v>
      </c>
      <c r="J91" s="79" t="n">
        <v>46358</v>
      </c>
      <c r="K91" s="79" t="n">
        <v>46361</v>
      </c>
      <c r="L91" s="79" t="n">
        <v>46363</v>
      </c>
      <c r="M91" s="79" t="n">
        <v>46362</v>
      </c>
      <c r="N91" s="79" t="n">
        <v>46428</v>
      </c>
      <c r="O91" s="79" t="n">
        <v>46388</v>
      </c>
      <c r="P91" s="37" t="inlineStr">
        <is>
          <t>crawl_sampling_master.xlsx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00:30</t>
        </is>
      </c>
      <c r="D92" s="76" t="n">
        <v>46366</v>
      </c>
      <c r="E92" s="76" t="n">
        <v>46368</v>
      </c>
      <c r="F92" s="76" t="n">
        <v>46371</v>
      </c>
      <c r="G92" s="76" t="n">
        <v>46347</v>
      </c>
      <c r="H92" s="76" t="n">
        <v>46351</v>
      </c>
      <c r="I92" s="76" t="n">
        <v>46355</v>
      </c>
      <c r="J92" s="76" t="n">
        <v>46358</v>
      </c>
      <c r="K92" s="76" t="n">
        <v>46361</v>
      </c>
      <c r="L92" s="76" t="n">
        <v>46363</v>
      </c>
      <c r="M92" s="76" t="n">
        <v>46362</v>
      </c>
      <c r="N92" s="76" t="n">
        <v>46428</v>
      </c>
      <c r="O92" s="76" t="n">
        <v>46388</v>
      </c>
      <c r="P92" s="36" t="inlineStr">
        <is>
          <t>crawl_sampling_master.xlsx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00:30</t>
        </is>
      </c>
      <c r="D93" s="79" t="n">
        <v>46366</v>
      </c>
      <c r="E93" s="79" t="n">
        <v>46368</v>
      </c>
      <c r="F93" s="79" t="n">
        <v>46371</v>
      </c>
      <c r="G93" s="79" t="n">
        <v>46347</v>
      </c>
      <c r="H93" s="79" t="n">
        <v>46351</v>
      </c>
      <c r="I93" s="79" t="n">
        <v>46355</v>
      </c>
      <c r="J93" s="79" t="n">
        <v>46358</v>
      </c>
      <c r="K93" s="79" t="n">
        <v>46361</v>
      </c>
      <c r="L93" s="79" t="n">
        <v>46363</v>
      </c>
      <c r="M93" s="79" t="n">
        <v>46362</v>
      </c>
      <c r="N93" s="79" t="n">
        <v>46428</v>
      </c>
      <c r="O93" s="79" t="n">
        <v>46388</v>
      </c>
      <c r="P93" s="37" t="inlineStr">
        <is>
          <t>crawl_sampling_master.xlsx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00:30</t>
        </is>
      </c>
      <c r="D94" s="76" t="n">
        <v>46366</v>
      </c>
      <c r="E94" s="76" t="n">
        <v>46368</v>
      </c>
      <c r="F94" s="76" t="n">
        <v>46371</v>
      </c>
      <c r="G94" s="76" t="n">
        <v>46375</v>
      </c>
      <c r="H94" s="76" t="n">
        <v>46351</v>
      </c>
      <c r="I94" s="76" t="n">
        <v>46355</v>
      </c>
      <c r="J94" s="76" t="n">
        <v>46358</v>
      </c>
      <c r="K94" s="76" t="n">
        <v>46361</v>
      </c>
      <c r="L94" s="76" t="n">
        <v>46363</v>
      </c>
      <c r="M94" s="76" t="n">
        <v>46362</v>
      </c>
      <c r="N94" s="76" t="n">
        <v>46428</v>
      </c>
      <c r="O94" s="76" t="n">
        <v>46388</v>
      </c>
      <c r="P94" s="36" t="inlineStr">
        <is>
          <t>crawl_sampling_master.xlsx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00:30</t>
        </is>
      </c>
      <c r="D95" s="79" t="n">
        <v>46366</v>
      </c>
      <c r="E95" s="79" t="n">
        <v>46368</v>
      </c>
      <c r="F95" s="79" t="n">
        <v>46371</v>
      </c>
      <c r="G95" s="79" t="n">
        <v>46375</v>
      </c>
      <c r="H95" s="79" t="n">
        <v>46351</v>
      </c>
      <c r="I95" s="79" t="n">
        <v>46355</v>
      </c>
      <c r="J95" s="79" t="n">
        <v>46358</v>
      </c>
      <c r="K95" s="79" t="n">
        <v>46361</v>
      </c>
      <c r="L95" s="79" t="n">
        <v>46363</v>
      </c>
      <c r="M95" s="79" t="n">
        <v>46362</v>
      </c>
      <c r="N95" s="79" t="n">
        <v>46428</v>
      </c>
      <c r="O95" s="79" t="n">
        <v>46388</v>
      </c>
      <c r="P95" s="37" t="inlineStr">
        <is>
          <t>crawl_sampling_master.xlsx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00:30</t>
        </is>
      </c>
      <c r="D96" s="76" t="n">
        <v>46366</v>
      </c>
      <c r="E96" s="76" t="n">
        <v>46368</v>
      </c>
      <c r="F96" s="76" t="n">
        <v>46371</v>
      </c>
      <c r="G96" s="76" t="n">
        <v>46375</v>
      </c>
      <c r="H96" s="76" t="n">
        <v>46351</v>
      </c>
      <c r="I96" s="76" t="n">
        <v>46355</v>
      </c>
      <c r="J96" s="76" t="n">
        <v>46358</v>
      </c>
      <c r="K96" s="76" t="n">
        <v>46361</v>
      </c>
      <c r="L96" s="76" t="n">
        <v>46363</v>
      </c>
      <c r="M96" s="76" t="n">
        <v>46362</v>
      </c>
      <c r="N96" s="76" t="n">
        <v>46428</v>
      </c>
      <c r="O96" s="76" t="n">
        <v>46388</v>
      </c>
      <c r="P96" s="36" t="inlineStr">
        <is>
          <t>crawl_sampling_master.xlsx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00:30</t>
        </is>
      </c>
      <c r="D97" s="79" t="n">
        <v>46366</v>
      </c>
      <c r="E97" s="79" t="n">
        <v>46368</v>
      </c>
      <c r="F97" s="79" t="n">
        <v>46371</v>
      </c>
      <c r="G97" s="79" t="n">
        <v>46375</v>
      </c>
      <c r="H97" s="79" t="n">
        <v>46351</v>
      </c>
      <c r="I97" s="79" t="n">
        <v>46355</v>
      </c>
      <c r="J97" s="79" t="n">
        <v>46358</v>
      </c>
      <c r="K97" s="79" t="n">
        <v>46361</v>
      </c>
      <c r="L97" s="79" t="n">
        <v>46363</v>
      </c>
      <c r="M97" s="79" t="n">
        <v>46362</v>
      </c>
      <c r="N97" s="79" t="n">
        <v>46428</v>
      </c>
      <c r="O97" s="79" t="n">
        <v>46388</v>
      </c>
      <c r="P97" s="37" t="inlineStr">
        <is>
          <t>crawl_sampling_master.xlsx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00:30</t>
        </is>
      </c>
      <c r="D98" s="76" t="n">
        <v>46366</v>
      </c>
      <c r="E98" s="76" t="n">
        <v>46368</v>
      </c>
      <c r="F98" s="76" t="n">
        <v>46371</v>
      </c>
      <c r="G98" s="76" t="n">
        <v>46375</v>
      </c>
      <c r="H98" s="76" t="n">
        <v>46379</v>
      </c>
      <c r="I98" s="76" t="n">
        <v>46355</v>
      </c>
      <c r="J98" s="76" t="n">
        <v>46358</v>
      </c>
      <c r="K98" s="76" t="n">
        <v>46361</v>
      </c>
      <c r="L98" s="76" t="n">
        <v>46363</v>
      </c>
      <c r="M98" s="76" t="n">
        <v>46362</v>
      </c>
      <c r="N98" s="76" t="n">
        <v>46428</v>
      </c>
      <c r="O98" s="76" t="n">
        <v>46388</v>
      </c>
      <c r="P98" s="36" t="inlineStr">
        <is>
          <t>crawl_sampling_master.xlsx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00:30</t>
        </is>
      </c>
      <c r="D99" s="79" t="n">
        <v>46366</v>
      </c>
      <c r="E99" s="79" t="n">
        <v>46368</v>
      </c>
      <c r="F99" s="79" t="n">
        <v>46371</v>
      </c>
      <c r="G99" s="79" t="n">
        <v>46375</v>
      </c>
      <c r="H99" s="79" t="n">
        <v>46379</v>
      </c>
      <c r="I99" s="79" t="n">
        <v>46355</v>
      </c>
      <c r="J99" s="79" t="n">
        <v>46358</v>
      </c>
      <c r="K99" s="79" t="n">
        <v>46361</v>
      </c>
      <c r="L99" s="79" t="n">
        <v>46363</v>
      </c>
      <c r="M99" s="79" t="n">
        <v>46362</v>
      </c>
      <c r="N99" s="79" t="n">
        <v>46428</v>
      </c>
      <c r="O99" s="79" t="n">
        <v>46388</v>
      </c>
      <c r="P99" s="37" t="inlineStr">
        <is>
          <t>crawl_sampling_master.xlsx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00:30</t>
        </is>
      </c>
      <c r="D100" s="76" t="n">
        <v>46366</v>
      </c>
      <c r="E100" s="76" t="n">
        <v>46368</v>
      </c>
      <c r="F100" s="76" t="n">
        <v>46371</v>
      </c>
      <c r="G100" s="76" t="n">
        <v>46375</v>
      </c>
      <c r="H100" s="76" t="n">
        <v>46379</v>
      </c>
      <c r="I100" s="76" t="n">
        <v>46355</v>
      </c>
      <c r="J100" s="76" t="n">
        <v>46358</v>
      </c>
      <c r="K100" s="76" t="n">
        <v>46361</v>
      </c>
      <c r="L100" s="76" t="n">
        <v>46363</v>
      </c>
      <c r="M100" s="76" t="n">
        <v>46362</v>
      </c>
      <c r="N100" s="76" t="n">
        <v>46428</v>
      </c>
      <c r="O100" s="76" t="n">
        <v>46388</v>
      </c>
      <c r="P100" s="36" t="inlineStr">
        <is>
          <t>crawl_sampling_master.xlsx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00:30</t>
        </is>
      </c>
      <c r="D101" s="79" t="n">
        <v>46366</v>
      </c>
      <c r="E101" s="79" t="n">
        <v>46368</v>
      </c>
      <c r="F101" s="79" t="n">
        <v>46371</v>
      </c>
      <c r="G101" s="79" t="n">
        <v>46375</v>
      </c>
      <c r="H101" s="79" t="n">
        <v>46379</v>
      </c>
      <c r="I101" s="79" t="n">
        <v>46355</v>
      </c>
      <c r="J101" s="79" t="n">
        <v>46358</v>
      </c>
      <c r="K101" s="79" t="n">
        <v>46361</v>
      </c>
      <c r="L101" s="79" t="n">
        <v>46363</v>
      </c>
      <c r="M101" s="79" t="n">
        <v>46362</v>
      </c>
      <c r="N101" s="79" t="n">
        <v>46428</v>
      </c>
      <c r="O101" s="79" t="n">
        <v>46388</v>
      </c>
      <c r="P101" s="37" t="inlineStr">
        <is>
          <t>crawl_sampling_master.xlsx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00:30</t>
        </is>
      </c>
      <c r="D102" s="76" t="n">
        <v>46366</v>
      </c>
      <c r="E102" s="76" t="n">
        <v>46368</v>
      </c>
      <c r="F102" s="76" t="n">
        <v>46371</v>
      </c>
      <c r="G102" s="76" t="n">
        <v>46375</v>
      </c>
      <c r="H102" s="76" t="n">
        <v>46379</v>
      </c>
      <c r="I102" s="76" t="n">
        <v>46383</v>
      </c>
      <c r="J102" s="76" t="n">
        <v>46358</v>
      </c>
      <c r="K102" s="76" t="n">
        <v>46361</v>
      </c>
      <c r="L102" s="76" t="n">
        <v>46363</v>
      </c>
      <c r="M102" s="76" t="n">
        <v>46362</v>
      </c>
      <c r="N102" s="76" t="n">
        <v>46428</v>
      </c>
      <c r="O102" s="76" t="n">
        <v>46388</v>
      </c>
      <c r="P102" s="36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44" customWidth="1" min="3" max="3"/>
    <col width="66" customWidth="1" min="4" max="4"/>
    <col width="38" customWidth="1" min="5" max="5"/>
    <col width="38" customWidth="1" min="6" max="6"/>
  </cols>
  <sheetData>
    <row r="1" ht="28" customHeight="1">
      <c r="A1" s="4" t="inlineStr">
        <is>
          <t>QUY TẮC 5 SLOT VPS BỔ SUNG</t>
        </is>
      </c>
    </row>
    <row r="3" ht="28" customHeight="1">
      <c r="A3" s="10" t="inlineStr">
        <is>
          <t>Slot</t>
        </is>
      </c>
      <c r="B3" s="10" t="inlineStr">
        <is>
          <t>Vai trò</t>
        </is>
      </c>
      <c r="C3" s="10" t="inlineStr">
        <is>
          <t>Mục đích</t>
        </is>
      </c>
      <c r="D3" s="10" t="inlineStr">
        <is>
          <t>Chuỗi anchor</t>
        </is>
      </c>
      <c r="E3" s="10" t="inlineStr">
        <is>
          <t>Điều kiện roll</t>
        </is>
      </c>
      <c r="F3" s="10" t="inlineStr">
        <is>
          <t>Kiểm tra bắt buộc</t>
        </is>
      </c>
    </row>
    <row r="4" ht="38" customHeight="1">
      <c r="A4" s="68" t="inlineStr">
        <is>
          <t>V1 weekday</t>
        </is>
      </c>
      <c r="B4" s="68" t="inlineStr">
        <is>
          <t>Ngày thường bổ sung</t>
        </is>
      </c>
      <c r="C4" s="68" t="inlineStr">
        <is>
          <t>Bổ sung observation ngày thường nằm giữa các anchor local</t>
        </is>
      </c>
      <c r="D4" s="68" t="inlineStr">
        <is>
          <t>27/08/2026 → 24/09/2026 → 22/10/2026 → 19/11/2026 → 17/12/2026</t>
        </is>
      </c>
      <c r="E4" s="68" t="inlineStr">
        <is>
          <t>Giữ nguyên đến hết ngày check-in; roll từ ngày hôm sau hoặc khi trùng local</t>
        </is>
      </c>
      <c r="F4" s="68" t="inlineStr">
        <is>
          <t>Ngày &gt;= crawl date; khác 4 slot VPS; không thuộc 12 slot local</t>
        </is>
      </c>
    </row>
    <row r="5" ht="38" customHeight="1">
      <c r="A5" s="69" t="inlineStr">
        <is>
          <t>V2 weekend</t>
        </is>
      </c>
      <c r="B5" s="69" t="inlineStr">
        <is>
          <t>Cuối tuần bổ sung</t>
        </is>
      </c>
      <c r="C5" s="69" t="inlineStr">
        <is>
          <t>Bổ sung observation cuối tuần không trùng chuỗi near của local</t>
        </is>
      </c>
      <c r="D5" s="69" t="inlineStr">
        <is>
          <t>30/08/2026 → 27/09/2026 → 25/10/2026 → 22/11/2026 → 20/12/2026</t>
        </is>
      </c>
      <c r="E5" s="69" t="inlineStr">
        <is>
          <t>Giữ nguyên đến hết ngày check-in; roll từ ngày hôm sau hoặc khi trùng local</t>
        </is>
      </c>
      <c r="F5" s="69" t="inlineStr">
        <is>
          <t>Ngày &gt;= crawl date; khác 4 slot VPS; không thuộc 12 slot local</t>
        </is>
      </c>
    </row>
    <row r="6" ht="38" customHeight="1">
      <c r="A6" s="68" t="inlineStr">
        <is>
          <t>V3 seasonal</t>
        </is>
      </c>
      <c r="B6" s="68" t="inlineStr">
        <is>
          <t>Ngày mùa vụ/đối chứng</t>
        </is>
      </c>
      <c r="C6" s="68" t="inlineStr">
        <is>
          <t>Theo dõi ngày liền kề mùa vụ hoặc sự kiện để so với ngày lõi</t>
        </is>
      </c>
      <c r="D6" s="68" t="inlineStr">
        <is>
          <t>03/09/2026 → 01/10/2026 → 29/10/2026 → 26/11/2026 → 24/12/2026</t>
        </is>
      </c>
      <c r="E6" s="68" t="inlineStr">
        <is>
          <t>Giữ nguyên đến hết ngày check-in; roll từ ngày hôm sau hoặc khi trùng local</t>
        </is>
      </c>
      <c r="F6" s="68" t="inlineStr">
        <is>
          <t>Ngày &gt;= crawl date; khác 4 slot VPS; không thuộc 12 slot local</t>
        </is>
      </c>
    </row>
    <row r="7" ht="38" customHeight="1">
      <c r="A7" s="69" t="inlineStr">
        <is>
          <t>V4 medium</t>
        </is>
      </c>
      <c r="B7" s="69" t="inlineStr">
        <is>
          <t>Khoảng trung hạn</t>
        </is>
      </c>
      <c r="C7" s="69" t="inlineStr">
        <is>
          <t>Lấp khoảng lead time trung hạn còn thưa trong lịch local</t>
        </is>
      </c>
      <c r="D7" s="69" t="inlineStr">
        <is>
          <t>16/09/2026 → 14/10/2026 → 11/11/2026 → 09/12/2026 → 06/01/2027</t>
        </is>
      </c>
      <c r="E7" s="69" t="inlineStr">
        <is>
          <t>Giữ nguyên đến hết ngày check-in; roll từ ngày hôm sau hoặc khi trùng local</t>
        </is>
      </c>
      <c r="F7" s="69" t="inlineStr">
        <is>
          <t>Ngày &gt;= crawl date; khác 4 slot VPS; không thuộc 12 slot local</t>
        </is>
      </c>
    </row>
    <row r="8" ht="38" customHeight="1">
      <c r="A8" s="68" t="inlineStr">
        <is>
          <t>V5 long</t>
        </is>
      </c>
      <c r="B8" s="68" t="inlineStr">
        <is>
          <t>Anchor dài hạn</t>
        </is>
      </c>
      <c r="C8" s="68" t="inlineStr">
        <is>
          <t>Theo dõi một ngày xa cố định để tạo chuỗi giảm lead time dài</t>
        </is>
      </c>
      <c r="D8" s="68" t="inlineStr">
        <is>
          <t>24/01/2027 → 24/04/2027</t>
        </is>
      </c>
      <c r="E8" s="68" t="inlineStr">
        <is>
          <t>Giữ nguyên đến hết ngày check-in; roll từ ngày hôm sau hoặc khi trùng local</t>
        </is>
      </c>
      <c r="F8" s="68" t="inlineStr">
        <is>
          <t>Ngày &gt;= crawl date; khác 4 slot VPS; không thuộc 12 slot local</t>
        </is>
      </c>
    </row>
    <row r="9" ht="38" customHeight="1">
      <c r="A9" s="70" t="n"/>
      <c r="B9" s="70" t="n"/>
      <c r="C9" s="70" t="n"/>
      <c r="D9" s="70" t="n"/>
      <c r="E9" s="70" t="n"/>
      <c r="F9" s="70" t="n"/>
    </row>
    <row r="10" ht="38" customHeight="1">
      <c r="A10" s="59" t="inlineStr">
        <is>
          <t>Quy tắc chung</t>
        </is>
      </c>
      <c r="B10" s="60" t="inlineStr">
        <is>
          <t>Không random hằng ngày</t>
        </is>
      </c>
      <c r="C10" s="60" t="inlineStr">
        <is>
          <t>Năm ngày phải tạo chuỗi observation lặp lại theo thời gian</t>
        </is>
      </c>
      <c r="D10" s="60" t="n"/>
      <c r="E10" s="60" t="n"/>
      <c r="F10" s="61" t="n"/>
    </row>
    <row r="11" ht="38" customHeight="1">
      <c r="A11" s="62" t="inlineStr">
        <is>
          <t>Lead time 0</t>
        </is>
      </c>
      <c r="B11" s="63" t="inlineStr">
        <is>
          <t>Hợp lệ</t>
        </is>
      </c>
      <c r="C11" s="63" t="inlineStr">
        <is>
          <t>Slot chỉ roll khi check-in &lt; crawl date</t>
        </is>
      </c>
      <c r="D11" s="63" t="n"/>
      <c r="E11" s="63" t="n"/>
      <c r="F11" s="64" t="n"/>
    </row>
    <row r="12" ht="38" customHeight="1">
      <c r="A12" s="65" t="inlineStr">
        <is>
          <t>Thay đổi local</t>
        </is>
      </c>
      <c r="B12" s="66" t="inlineStr">
        <is>
          <t>Tạo lại lịch VPS</t>
        </is>
      </c>
      <c r="C12" s="66" t="inlineStr">
        <is>
          <t>LOCAL_REFERENCE là snapshot; nếu lịch local đổi thì phải tái sinh workbook VPS</t>
        </is>
      </c>
      <c r="D12" s="66" t="n"/>
      <c r="E12" s="66" t="n"/>
      <c r="F12" s="67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44" customWidth="1" min="4" max="4"/>
  </cols>
  <sheetData>
    <row r="1" ht="28" customHeight="1">
      <c r="A1" s="4" t="inlineStr">
        <is>
          <t>HƯỚNG DẪN SỬ DỤNG LỊCH CRAWL VPS</t>
        </is>
      </c>
    </row>
    <row r="3" ht="28" customHeight="1">
      <c r="A3" s="10" t="inlineStr">
        <is>
          <t>Bước</t>
        </is>
      </c>
      <c r="B3" s="10" t="inlineStr">
        <is>
          <t>Thao tác</t>
        </is>
      </c>
      <c r="C3" s="10" t="inlineStr">
        <is>
          <t>Kết quả mong đợi</t>
        </is>
      </c>
      <c r="D3" s="10" t="inlineStr">
        <is>
          <t>Lưu ý</t>
        </is>
      </c>
    </row>
    <row r="4" ht="34" customHeight="1">
      <c r="A4" s="68" t="n">
        <v>1</v>
      </c>
      <c r="B4" s="68" t="inlineStr">
        <is>
          <t>Mở sheet VPS_CRAWL_PLAN và tìm Crawl date hôm nay</t>
        </is>
      </c>
      <c r="C4" s="68" t="inlineStr">
        <is>
          <t>Có đúng 5 ngày check-in</t>
        </is>
      </c>
      <c r="D4" s="68" t="inlineStr">
        <is>
          <t>Hai cột kiểm tra phải đều PASS</t>
        </is>
      </c>
    </row>
    <row r="5" ht="34" customHeight="1">
      <c r="A5" s="69" t="n">
        <v>2</v>
      </c>
      <c r="B5" s="69" t="inlineStr">
        <is>
          <t>Mở web scraper đã deploy trên VPS</t>
        </is>
      </c>
      <c r="C5" s="69" t="inlineStr">
        <is>
          <t>Trang nhập file và ngày check-in sẵn sàng</t>
        </is>
      </c>
      <c r="D5" s="69" t="inlineStr">
        <is>
          <t>Đây là thao tác thủ công qua web</t>
        </is>
      </c>
    </row>
    <row r="6" ht="34" customHeight="1">
      <c r="A6" s="68" t="n">
        <v>3</v>
      </c>
      <c r="B6" s="68" t="inlineStr">
        <is>
          <t>Upload link_hotel_data_expanded.xlsx</t>
        </is>
      </c>
      <c r="C6" s="68" t="inlineStr">
        <is>
          <t>354 khách sạn hợp lệ</t>
        </is>
      </c>
      <c r="D6" s="68" t="inlineStr">
        <is>
          <t>Dùng cùng file nguồn với local</t>
        </is>
      </c>
    </row>
    <row r="7" ht="34" customHeight="1">
      <c r="A7" s="69" t="n">
        <v>4</v>
      </c>
      <c r="B7" s="69" t="inlineStr">
        <is>
          <t>Chọn đúng V1–V5 của ngày crawl</t>
        </is>
      </c>
      <c r="C7" s="69" t="inlineStr">
        <is>
          <t>Không trùng 12 ngày local</t>
        </is>
      </c>
      <c r="D7" s="69" t="inlineStr">
        <is>
          <t>Không tự thay ngày nếu chưa cập nhật workbook</t>
        </is>
      </c>
    </row>
    <row r="8" ht="34" customHeight="1">
      <c r="A8" s="68" t="n">
        <v>5</v>
      </c>
      <c r="B8" s="68" t="inlineStr">
        <is>
          <t>Bắt đầu cào và theo dõi run</t>
        </is>
      </c>
      <c r="C8" s="68" t="inlineStr">
        <is>
          <t>Khoảng 1.770 item được tạo</t>
        </is>
      </c>
      <c r="D8" s="68" t="inlineStr">
        <is>
          <t>Không cần lưu HTML nếu chỉ thu thập dataset</t>
        </is>
      </c>
    </row>
    <row r="9" ht="34" customHeight="1">
      <c r="A9" s="69" t="n">
        <v>6</v>
      </c>
      <c r="B9" s="69" t="inlineStr">
        <is>
          <t>Khi kết thúc, cập nhật CRAWL_LOG</t>
        </is>
      </c>
      <c r="C9" s="69" t="inlineStr">
        <is>
          <t>Có thời gian, số run và aggregate</t>
        </is>
      </c>
      <c r="D9" s="69" t="inlineStr">
        <is>
          <t>Hoàn thành có lỗi vẫn phải ghi số liệu</t>
        </is>
      </c>
    </row>
    <row r="10" ht="34" customHeight="1">
      <c r="A10" s="68" t="n">
        <v>7</v>
      </c>
      <c r="B10" s="68" t="inlineStr">
        <is>
          <t>Nếu lịch local thay đổi</t>
        </is>
      </c>
      <c r="C10" s="68" t="inlineStr">
        <is>
          <t>Tạo lại workbook VPS từ local mới</t>
        </is>
      </c>
      <c r="D10" s="68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2026-09-13T17:12:12Z</dcterms:modified>
</cp:coreProperties>
</file>