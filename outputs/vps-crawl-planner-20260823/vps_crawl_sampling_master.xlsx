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MSE\CAPSTONE\outputs\vps-crawl-planner-20260823\"/>
    </mc:Choice>
  </mc:AlternateContent>
  <xr:revisionPtr revIDLastSave="0" documentId="13_ncr:1_{E3637353-17D7-44D3-ADFB-10C29947DD6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1" r:id="rId1"/>
    <sheet name="VPS_CRAWL_PLAN" sheetId="2" r:id="rId2"/>
    <sheet name="CRAWL_LOG" sheetId="3" r:id="rId3"/>
    <sheet name="LOCAL_REFERENCE" sheetId="4" r:id="rId4"/>
    <sheet name="SLOT_RULES" sheetId="5" r:id="rId5"/>
    <sheet name="README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2" i="3" l="1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5" i="3"/>
  <c r="C5" i="3"/>
  <c r="F4" i="3"/>
  <c r="N102" i="2"/>
  <c r="M102" i="2"/>
  <c r="L102" i="2"/>
  <c r="K102" i="2"/>
  <c r="J102" i="2"/>
  <c r="N101" i="2"/>
  <c r="M101" i="2"/>
  <c r="L101" i="2"/>
  <c r="K101" i="2"/>
  <c r="J101" i="2"/>
  <c r="N100" i="2"/>
  <c r="M100" i="2"/>
  <c r="L100" i="2"/>
  <c r="K100" i="2"/>
  <c r="J100" i="2"/>
  <c r="N99" i="2"/>
  <c r="M99" i="2"/>
  <c r="L99" i="2"/>
  <c r="K99" i="2"/>
  <c r="J99" i="2"/>
  <c r="N98" i="2"/>
  <c r="M98" i="2"/>
  <c r="L98" i="2"/>
  <c r="K98" i="2"/>
  <c r="J98" i="2"/>
  <c r="N97" i="2"/>
  <c r="M97" i="2"/>
  <c r="L97" i="2"/>
  <c r="K97" i="2"/>
  <c r="J97" i="2"/>
  <c r="N96" i="2"/>
  <c r="M96" i="2"/>
  <c r="L96" i="2"/>
  <c r="K96" i="2"/>
  <c r="J96" i="2"/>
  <c r="N95" i="2"/>
  <c r="M95" i="2"/>
  <c r="L95" i="2"/>
  <c r="K95" i="2"/>
  <c r="J95" i="2"/>
  <c r="N94" i="2"/>
  <c r="M94" i="2"/>
  <c r="L94" i="2"/>
  <c r="K94" i="2"/>
  <c r="J94" i="2"/>
  <c r="N93" i="2"/>
  <c r="M93" i="2"/>
  <c r="L93" i="2"/>
  <c r="K93" i="2"/>
  <c r="J93" i="2"/>
  <c r="N92" i="2"/>
  <c r="M92" i="2"/>
  <c r="L92" i="2"/>
  <c r="K92" i="2"/>
  <c r="J92" i="2"/>
  <c r="N91" i="2"/>
  <c r="M91" i="2"/>
  <c r="L91" i="2"/>
  <c r="K91" i="2"/>
  <c r="J91" i="2"/>
  <c r="N90" i="2"/>
  <c r="M90" i="2"/>
  <c r="L90" i="2"/>
  <c r="K90" i="2"/>
  <c r="J90" i="2"/>
  <c r="N89" i="2"/>
  <c r="M89" i="2"/>
  <c r="L89" i="2"/>
  <c r="K89" i="2"/>
  <c r="J89" i="2"/>
  <c r="N88" i="2"/>
  <c r="M88" i="2"/>
  <c r="L88" i="2"/>
  <c r="K88" i="2"/>
  <c r="J88" i="2"/>
  <c r="N87" i="2"/>
  <c r="M87" i="2"/>
  <c r="L87" i="2"/>
  <c r="K87" i="2"/>
  <c r="J87" i="2"/>
  <c r="N86" i="2"/>
  <c r="M86" i="2"/>
  <c r="L86" i="2"/>
  <c r="K86" i="2"/>
  <c r="J86" i="2"/>
  <c r="N85" i="2"/>
  <c r="M85" i="2"/>
  <c r="L85" i="2"/>
  <c r="K85" i="2"/>
  <c r="J85" i="2"/>
  <c r="N84" i="2"/>
  <c r="M84" i="2"/>
  <c r="L84" i="2"/>
  <c r="K84" i="2"/>
  <c r="J84" i="2"/>
  <c r="N83" i="2"/>
  <c r="M83" i="2"/>
  <c r="L83" i="2"/>
  <c r="K83" i="2"/>
  <c r="J83" i="2"/>
  <c r="N82" i="2"/>
  <c r="M82" i="2"/>
  <c r="L82" i="2"/>
  <c r="K82" i="2"/>
  <c r="J82" i="2"/>
  <c r="N81" i="2"/>
  <c r="M81" i="2"/>
  <c r="L81" i="2"/>
  <c r="K81" i="2"/>
  <c r="J81" i="2"/>
  <c r="N80" i="2"/>
  <c r="M80" i="2"/>
  <c r="L80" i="2"/>
  <c r="K80" i="2"/>
  <c r="J80" i="2"/>
  <c r="N79" i="2"/>
  <c r="M79" i="2"/>
  <c r="L79" i="2"/>
  <c r="K79" i="2"/>
  <c r="J79" i="2"/>
  <c r="N78" i="2"/>
  <c r="M78" i="2"/>
  <c r="L78" i="2"/>
  <c r="K78" i="2"/>
  <c r="J78" i="2"/>
  <c r="N77" i="2"/>
  <c r="M77" i="2"/>
  <c r="L77" i="2"/>
  <c r="K77" i="2"/>
  <c r="J77" i="2"/>
  <c r="N76" i="2"/>
  <c r="M76" i="2"/>
  <c r="L76" i="2"/>
  <c r="K76" i="2"/>
  <c r="J76" i="2"/>
  <c r="N75" i="2"/>
  <c r="M75" i="2"/>
  <c r="L75" i="2"/>
  <c r="K75" i="2"/>
  <c r="J75" i="2"/>
  <c r="N74" i="2"/>
  <c r="M74" i="2"/>
  <c r="L74" i="2"/>
  <c r="K74" i="2"/>
  <c r="J74" i="2"/>
  <c r="N73" i="2"/>
  <c r="M73" i="2"/>
  <c r="L73" i="2"/>
  <c r="K73" i="2"/>
  <c r="J73" i="2"/>
  <c r="N72" i="2"/>
  <c r="M72" i="2"/>
  <c r="L72" i="2"/>
  <c r="K72" i="2"/>
  <c r="J72" i="2"/>
  <c r="N71" i="2"/>
  <c r="M71" i="2"/>
  <c r="L71" i="2"/>
  <c r="K71" i="2"/>
  <c r="J71" i="2"/>
  <c r="N70" i="2"/>
  <c r="M70" i="2"/>
  <c r="L70" i="2"/>
  <c r="K70" i="2"/>
  <c r="J70" i="2"/>
  <c r="N69" i="2"/>
  <c r="M69" i="2"/>
  <c r="L69" i="2"/>
  <c r="K69" i="2"/>
  <c r="J69" i="2"/>
  <c r="N68" i="2"/>
  <c r="M68" i="2"/>
  <c r="L68" i="2"/>
  <c r="K68" i="2"/>
  <c r="J68" i="2"/>
  <c r="N67" i="2"/>
  <c r="M67" i="2"/>
  <c r="L67" i="2"/>
  <c r="K67" i="2"/>
  <c r="J67" i="2"/>
  <c r="N66" i="2"/>
  <c r="M66" i="2"/>
  <c r="L66" i="2"/>
  <c r="K66" i="2"/>
  <c r="J66" i="2"/>
  <c r="N65" i="2"/>
  <c r="M65" i="2"/>
  <c r="L65" i="2"/>
  <c r="K65" i="2"/>
  <c r="J65" i="2"/>
  <c r="N64" i="2"/>
  <c r="M64" i="2"/>
  <c r="L64" i="2"/>
  <c r="K64" i="2"/>
  <c r="J64" i="2"/>
  <c r="N63" i="2"/>
  <c r="M63" i="2"/>
  <c r="L63" i="2"/>
  <c r="K63" i="2"/>
  <c r="J63" i="2"/>
  <c r="N62" i="2"/>
  <c r="M62" i="2"/>
  <c r="L62" i="2"/>
  <c r="K62" i="2"/>
  <c r="J62" i="2"/>
  <c r="N61" i="2"/>
  <c r="M61" i="2"/>
  <c r="L61" i="2"/>
  <c r="K61" i="2"/>
  <c r="J61" i="2"/>
  <c r="N60" i="2"/>
  <c r="M60" i="2"/>
  <c r="L60" i="2"/>
  <c r="K60" i="2"/>
  <c r="J60" i="2"/>
  <c r="N59" i="2"/>
  <c r="M59" i="2"/>
  <c r="L59" i="2"/>
  <c r="K59" i="2"/>
  <c r="J59" i="2"/>
  <c r="N58" i="2"/>
  <c r="M58" i="2"/>
  <c r="L58" i="2"/>
  <c r="K58" i="2"/>
  <c r="J58" i="2"/>
  <c r="N57" i="2"/>
  <c r="M57" i="2"/>
  <c r="L57" i="2"/>
  <c r="K57" i="2"/>
  <c r="J57" i="2"/>
  <c r="N56" i="2"/>
  <c r="M56" i="2"/>
  <c r="L56" i="2"/>
  <c r="K56" i="2"/>
  <c r="J56" i="2"/>
  <c r="N55" i="2"/>
  <c r="M55" i="2"/>
  <c r="L55" i="2"/>
  <c r="K55" i="2"/>
  <c r="J55" i="2"/>
  <c r="N54" i="2"/>
  <c r="M54" i="2"/>
  <c r="L54" i="2"/>
  <c r="K54" i="2"/>
  <c r="J54" i="2"/>
  <c r="N53" i="2"/>
  <c r="M53" i="2"/>
  <c r="L53" i="2"/>
  <c r="K53" i="2"/>
  <c r="J53" i="2"/>
  <c r="N52" i="2"/>
  <c r="M52" i="2"/>
  <c r="L52" i="2"/>
  <c r="K52" i="2"/>
  <c r="J52" i="2"/>
  <c r="N51" i="2"/>
  <c r="M51" i="2"/>
  <c r="L51" i="2"/>
  <c r="K51" i="2"/>
  <c r="J51" i="2"/>
  <c r="N50" i="2"/>
  <c r="M50" i="2"/>
  <c r="L50" i="2"/>
  <c r="K50" i="2"/>
  <c r="J50" i="2"/>
  <c r="N49" i="2"/>
  <c r="M49" i="2"/>
  <c r="L49" i="2"/>
  <c r="K49" i="2"/>
  <c r="J49" i="2"/>
  <c r="N48" i="2"/>
  <c r="M48" i="2"/>
  <c r="L48" i="2"/>
  <c r="K48" i="2"/>
  <c r="J48" i="2"/>
  <c r="N47" i="2"/>
  <c r="M47" i="2"/>
  <c r="L47" i="2"/>
  <c r="K47" i="2"/>
  <c r="J47" i="2"/>
  <c r="N46" i="2"/>
  <c r="M46" i="2"/>
  <c r="L46" i="2"/>
  <c r="K46" i="2"/>
  <c r="J46" i="2"/>
  <c r="N45" i="2"/>
  <c r="M45" i="2"/>
  <c r="L45" i="2"/>
  <c r="K45" i="2"/>
  <c r="J45" i="2"/>
  <c r="N44" i="2"/>
  <c r="M44" i="2"/>
  <c r="L44" i="2"/>
  <c r="K44" i="2"/>
  <c r="J44" i="2"/>
  <c r="N43" i="2"/>
  <c r="M43" i="2"/>
  <c r="L43" i="2"/>
  <c r="K43" i="2"/>
  <c r="J43" i="2"/>
  <c r="N42" i="2"/>
  <c r="M42" i="2"/>
  <c r="L42" i="2"/>
  <c r="K42" i="2"/>
  <c r="J42" i="2"/>
  <c r="N41" i="2"/>
  <c r="M41" i="2"/>
  <c r="L41" i="2"/>
  <c r="K41" i="2"/>
  <c r="J41" i="2"/>
  <c r="N40" i="2"/>
  <c r="M40" i="2"/>
  <c r="L40" i="2"/>
  <c r="K40" i="2"/>
  <c r="J40" i="2"/>
  <c r="N39" i="2"/>
  <c r="M39" i="2"/>
  <c r="L39" i="2"/>
  <c r="K39" i="2"/>
  <c r="J39" i="2"/>
  <c r="N38" i="2"/>
  <c r="M38" i="2"/>
  <c r="L38" i="2"/>
  <c r="K38" i="2"/>
  <c r="J38" i="2"/>
  <c r="N37" i="2"/>
  <c r="M37" i="2"/>
  <c r="L37" i="2"/>
  <c r="K37" i="2"/>
  <c r="J37" i="2"/>
  <c r="N36" i="2"/>
  <c r="M36" i="2"/>
  <c r="L36" i="2"/>
  <c r="K36" i="2"/>
  <c r="J36" i="2"/>
  <c r="N35" i="2"/>
  <c r="M35" i="2"/>
  <c r="L35" i="2"/>
  <c r="K35" i="2"/>
  <c r="J35" i="2"/>
  <c r="N34" i="2"/>
  <c r="M34" i="2"/>
  <c r="L34" i="2"/>
  <c r="K34" i="2"/>
  <c r="J34" i="2"/>
  <c r="N33" i="2"/>
  <c r="M33" i="2"/>
  <c r="L33" i="2"/>
  <c r="K33" i="2"/>
  <c r="J33" i="2"/>
  <c r="N32" i="2"/>
  <c r="M32" i="2"/>
  <c r="L32" i="2"/>
  <c r="K32" i="2"/>
  <c r="J32" i="2"/>
  <c r="N31" i="2"/>
  <c r="M31" i="2"/>
  <c r="L31" i="2"/>
  <c r="K31" i="2"/>
  <c r="J31" i="2"/>
  <c r="N30" i="2"/>
  <c r="M30" i="2"/>
  <c r="L30" i="2"/>
  <c r="K30" i="2"/>
  <c r="J30" i="2"/>
  <c r="N29" i="2"/>
  <c r="M29" i="2"/>
  <c r="L29" i="2"/>
  <c r="K29" i="2"/>
  <c r="J29" i="2"/>
  <c r="N28" i="2"/>
  <c r="M28" i="2"/>
  <c r="L28" i="2"/>
  <c r="K28" i="2"/>
  <c r="J28" i="2"/>
  <c r="N27" i="2"/>
  <c r="M27" i="2"/>
  <c r="L27" i="2"/>
  <c r="K27" i="2"/>
  <c r="J27" i="2"/>
  <c r="N26" i="2"/>
  <c r="M26" i="2"/>
  <c r="L26" i="2"/>
  <c r="K26" i="2"/>
  <c r="J26" i="2"/>
  <c r="N25" i="2"/>
  <c r="M25" i="2"/>
  <c r="L25" i="2"/>
  <c r="K25" i="2"/>
  <c r="J25" i="2"/>
  <c r="N24" i="2"/>
  <c r="M24" i="2"/>
  <c r="L24" i="2"/>
  <c r="K24" i="2"/>
  <c r="J24" i="2"/>
  <c r="N23" i="2"/>
  <c r="M23" i="2"/>
  <c r="L23" i="2"/>
  <c r="K23" i="2"/>
  <c r="J23" i="2"/>
  <c r="N22" i="2"/>
  <c r="M22" i="2"/>
  <c r="L22" i="2"/>
  <c r="K22" i="2"/>
  <c r="J22" i="2"/>
  <c r="N21" i="2"/>
  <c r="M21" i="2"/>
  <c r="L21" i="2"/>
  <c r="K21" i="2"/>
  <c r="J21" i="2"/>
  <c r="N20" i="2"/>
  <c r="M20" i="2"/>
  <c r="L20" i="2"/>
  <c r="K20" i="2"/>
  <c r="J20" i="2"/>
  <c r="N19" i="2"/>
  <c r="M19" i="2"/>
  <c r="L19" i="2"/>
  <c r="K19" i="2"/>
  <c r="J19" i="2"/>
  <c r="N18" i="2"/>
  <c r="M18" i="2"/>
  <c r="L18" i="2"/>
  <c r="K18" i="2"/>
  <c r="J18" i="2"/>
  <c r="N17" i="2"/>
  <c r="M17" i="2"/>
  <c r="L17" i="2"/>
  <c r="K17" i="2"/>
  <c r="J17" i="2"/>
  <c r="N16" i="2"/>
  <c r="M16" i="2"/>
  <c r="L16" i="2"/>
  <c r="K16" i="2"/>
  <c r="J16" i="2"/>
  <c r="N15" i="2"/>
  <c r="M15" i="2"/>
  <c r="L15" i="2"/>
  <c r="K15" i="2"/>
  <c r="J15" i="2"/>
  <c r="N14" i="2"/>
  <c r="M14" i="2"/>
  <c r="L14" i="2"/>
  <c r="K14" i="2"/>
  <c r="J14" i="2"/>
  <c r="N13" i="2"/>
  <c r="M13" i="2"/>
  <c r="L13" i="2"/>
  <c r="K13" i="2"/>
  <c r="J13" i="2"/>
  <c r="N12" i="2"/>
  <c r="M12" i="2"/>
  <c r="L12" i="2"/>
  <c r="K12" i="2"/>
  <c r="J12" i="2"/>
  <c r="N11" i="2"/>
  <c r="M11" i="2"/>
  <c r="L11" i="2"/>
  <c r="K11" i="2"/>
  <c r="J11" i="2"/>
  <c r="N10" i="2"/>
  <c r="M10" i="2"/>
  <c r="L10" i="2"/>
  <c r="K10" i="2"/>
  <c r="J10" i="2"/>
  <c r="N9" i="2"/>
  <c r="M9" i="2"/>
  <c r="L9" i="2"/>
  <c r="K9" i="2"/>
  <c r="J9" i="2"/>
  <c r="N8" i="2"/>
  <c r="M8" i="2"/>
  <c r="L8" i="2"/>
  <c r="K8" i="2"/>
  <c r="J8" i="2"/>
  <c r="N7" i="2"/>
  <c r="M7" i="2"/>
  <c r="L7" i="2"/>
  <c r="K7" i="2"/>
  <c r="J7" i="2"/>
  <c r="N6" i="2"/>
  <c r="M6" i="2"/>
  <c r="L6" i="2"/>
  <c r="K6" i="2"/>
  <c r="J6" i="2"/>
  <c r="N5" i="2"/>
  <c r="M5" i="2"/>
  <c r="L5" i="2"/>
  <c r="K5" i="2"/>
  <c r="J5" i="2"/>
  <c r="N4" i="2"/>
  <c r="M4" i="2"/>
  <c r="L4" i="2"/>
  <c r="K4" i="2"/>
  <c r="J4" i="2"/>
  <c r="B13" i="1"/>
  <c r="B12" i="1"/>
  <c r="B8" i="1"/>
  <c r="E5" i="1" s="1"/>
  <c r="E7" i="1" l="1"/>
  <c r="E6" i="1"/>
  <c r="E8" i="1" s="1"/>
</calcChain>
</file>

<file path=xl/sharedStrings.xml><?xml version="1.0" encoding="utf-8"?>
<sst xmlns="http://schemas.openxmlformats.org/spreadsheetml/2006/main" count="1075" uniqueCount="179">
  <si>
    <t>LỊCH CRAWL VPS BỔ SUNG — 24/08/2026 ĐẾN 30/11/2026</t>
  </si>
  <si>
    <t>Thông số</t>
  </si>
  <si>
    <t>Giá trị</t>
  </si>
  <si>
    <t>Kiểm tra</t>
  </si>
  <si>
    <t>Kết quả</t>
  </si>
  <si>
    <t>Ngày bắt đầu</t>
  </si>
  <si>
    <t>Số ngày mong đợi</t>
  </si>
  <si>
    <t>Ngày kết thúc</t>
  </si>
  <si>
    <t>Số dòng lịch thực tế</t>
  </si>
  <si>
    <t>Giờ bắt đầu mỗi ngày</t>
  </si>
  <si>
    <t>00:30</t>
  </si>
  <si>
    <t>Mỗi ngày đủ 5 check-in</t>
  </si>
  <si>
    <t>Múi giờ</t>
  </si>
  <si>
    <t>Asia/Ho_Chi_Minh</t>
  </si>
  <si>
    <t>Không trùng 12 ngày local</t>
  </si>
  <si>
    <t>Tổng số ngày theo lịch</t>
  </si>
  <si>
    <t>Trạng thái workbook</t>
  </si>
  <si>
    <t>Số khách sạn</t>
  </si>
  <si>
    <t>Check-in mỗi ngày</t>
  </si>
  <si>
    <t>Item dự kiến mỗi ngày</t>
  </si>
  <si>
    <t>Đã hoàn thành</t>
  </si>
  <si>
    <t>Chưa chạy</t>
  </si>
  <si>
    <t>VPS theo dõi 5 anchor bổ sung có chủ đích. Mỗi ngày được đối chiếu trực tiếp với 12 ngày local; không chọn ngẫu nhiên lại và không dùng slot trùng local.</t>
  </si>
  <si>
    <t>VPS CRAWL PLAN — 99 NGÀY, 5 CHECK-IN BỔ SUNG MỖI NGÀY</t>
  </si>
  <si>
    <t>V1–V5 là anchor bổ sung. Tất cả check-in phải &gt;= crawl date, khác nhau và không xuất hiện trong 12 slot local của cùng ngày crawl.</t>
  </si>
  <si>
    <t>Crawl date</t>
  </si>
  <si>
    <t>Thứ</t>
  </si>
  <si>
    <t>Phase</t>
  </si>
  <si>
    <t>Start time (ICT)</t>
  </si>
  <si>
    <t>V1 weekday</t>
  </si>
  <si>
    <t>V2 weekend</t>
  </si>
  <si>
    <t>V3 seasonal</t>
  </si>
  <si>
    <t>V4 medium</t>
  </si>
  <si>
    <t>V5 long</t>
  </si>
  <si>
    <t>Min lead</t>
  </si>
  <si>
    <t>Max lead</t>
  </si>
  <si>
    <t>5 ngày hợp lệ</t>
  </si>
  <si>
    <t>Không trùng local</t>
  </si>
  <si>
    <t>Crawl status</t>
  </si>
  <si>
    <t>Sampling note</t>
  </si>
  <si>
    <t>Thứ Hai</t>
  </si>
  <si>
    <t>Warm-up</t>
  </si>
  <si>
    <t>Supplementary panel</t>
  </si>
  <si>
    <t>Thứ Ba</t>
  </si>
  <si>
    <t>Thứ Tư</t>
  </si>
  <si>
    <t>Thứ Năm</t>
  </si>
  <si>
    <t>Thứ Sáu</t>
  </si>
  <si>
    <t>Thứ Bảy</t>
  </si>
  <si>
    <t>Chủ Nhật</t>
  </si>
  <si>
    <t>Official</t>
  </si>
  <si>
    <t>VPS CRAWL LOG — MỖI NGÀY MỘT DÒNG</t>
  </si>
  <si>
    <t>Ghi một dòng cho mỗi crawl date. Từ 03/09/2026, VPS dùng 354 khách sạn × 5 check-in = 1.770 item dự kiến; các run cũ giữ số item thực tế; không lưu HTML nếu không cần kiểm tra.</t>
  </si>
  <si>
    <t>Status</t>
  </si>
  <si>
    <t>Run IDs</t>
  </si>
  <si>
    <t>Started at</t>
  </si>
  <si>
    <t>Finished at</t>
  </si>
  <si>
    <t>Duration (hours)</t>
  </si>
  <si>
    <t>Total items</t>
  </si>
  <si>
    <t>Processed</t>
  </si>
  <si>
    <t>Success</t>
  </si>
  <si>
    <t>Partial</t>
  </si>
  <si>
    <t>Sold out</t>
  </si>
  <si>
    <t>Not bookable</t>
  </si>
  <si>
    <t>Error</t>
  </si>
  <si>
    <t>Valid records</t>
  </si>
  <si>
    <t>Check-in count</t>
  </si>
  <si>
    <t>Environment</t>
  </si>
  <si>
    <t>Notes</t>
  </si>
  <si>
    <t>Hoàn thành</t>
  </si>
  <si>
    <t>vps</t>
  </si>
  <si>
    <t>Hoàn thành có lỗi</t>
  </si>
  <si>
    <t>Lấy đúng 1 ngày 03/09 còn lại sai</t>
  </si>
  <si>
    <t>Lấy đúng 2 ngày 24/09, 24/01 còn lại sai</t>
  </si>
  <si>
    <t>Lấy đúng 3 ngày 24/09, 27/09, 24/01 còn lại sai</t>
  </si>
  <si>
    <t>Lấy đúng 4 ngày 24/09, 27/09, 01/10, 24/01</t>
  </si>
  <si>
    <t>Lấy đúng 2 ngày 27/09, 01/10</t>
  </si>
  <si>
    <t>Run ID 27; deploy: manual; artifact không lưu; scraper_version=2.3.0</t>
  </si>
  <si>
    <t>2026-09-18 00:31:00</t>
  </si>
  <si>
    <t>2026-09-18 21:20:32</t>
  </si>
  <si>
    <t>Run ID 28; deploy: manual; artifact không lưu; scraper_version=2.3.0</t>
  </si>
  <si>
    <t>2026-09-19 00:30:55</t>
  </si>
  <si>
    <t>2026-09-20 20:23:53</t>
  </si>
  <si>
    <t>thực tế là do bị lỗi proxy nên kéo dài tới tận hôm sau để chạy lại</t>
  </si>
  <si>
    <t>Thất bại</t>
  </si>
  <si>
    <t>Run ID 31; deploy VPS; artifact không lưu; scraper_version 2.3.0</t>
  </si>
  <si>
    <t>Run ID 32; deploy VPS; artifact không lưu; scraper_version 2.3.0</t>
  </si>
  <si>
    <t>Run ID 33; deploy VPS; artifact không lưu; scraper_version 2.3.0</t>
  </si>
  <si>
    <t>Run ID 34; deploy VPS; artifact không lưu; scraper_version 2.3.0</t>
  </si>
  <si>
    <t>Run ID 35; deploy VPS; artifact không lưu; scraper_version 2.3.0</t>
  </si>
  <si>
    <t>Run ID 36; deploy VPS; artifact không lưu; scraper_version 2.3.0</t>
  </si>
  <si>
    <t>2026-09-27 00:33:05</t>
  </si>
  <si>
    <t>2026-09-27 16:20:08</t>
  </si>
  <si>
    <t>Run ID 37; deploy VPS; artifact không lưu; scraper_version 2.3.0</t>
  </si>
  <si>
    <t>Run ID 38, deploy VPS, artifact không lưu, scraper_version 2.3.0</t>
  </si>
  <si>
    <t>Run ID 39, deploy VPS, artifact không lưu, scraper_version 2.3.0</t>
  </si>
  <si>
    <t>Run ID 40, deploy VPS, artifact không lưu, scraper_version 2.3.0</t>
  </si>
  <si>
    <t>Run ID 41, deploy VPS, artifact không lưu, scraper_version 2.3.0</t>
  </si>
  <si>
    <t>Run ID 42, deploy VPS, artifact không lưu, scraper_version 2.3.0</t>
  </si>
  <si>
    <t>Run ID 43; deploy VPS; artifact không lưu; scraper_version 2.3.0</t>
  </si>
  <si>
    <t>Run ID 44, deploy VPS, artifact không lưu, scraper_version 2.3.0</t>
  </si>
  <si>
    <t>Run ID 45, deploy VPS, artifact không lưu, scraper_version 2.3.0</t>
  </si>
  <si>
    <t>Run ID 46, deploy VPS, artifact không lưu, scraper_version 2.3.0</t>
  </si>
  <si>
    <t>Run ID 47, deploy VPS, artifact không lưu, scraper_version 2.3.0</t>
  </si>
  <si>
    <t>Run ID 48; deploy VPS; artifact không lưu; scraper_version 2.3.0</t>
  </si>
  <si>
    <t>LOCAL REFERENCE — 12 CHECK-IN DÙNG ĐỂ LOẠI TRÙNG</t>
  </si>
  <si>
    <t>Nguồn: D:/MSE/CAPSTONE/outputs/crawl-data-planner-20260816/crawl_sampling_master.xlsx. Đây là snapshot lịch local tại thời điểm tạo workbook VPS; cập nhật lại file VPS nếu lịch local thay đổi.</t>
  </si>
  <si>
    <t>Start time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</si>
  <si>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</si>
  <si>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</si>
  <si>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</si>
  <si>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</si>
  <si>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</si>
  <si>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</si>
  <si>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</si>
  <si>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</si>
  <si>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</si>
  <si>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F1</t>
  </si>
  <si>
    <t>F2</t>
  </si>
  <si>
    <t>F3</t>
  </si>
  <si>
    <t>Source file</t>
  </si>
  <si>
    <t>crawl_sampling_master.xlsx</t>
  </si>
  <si>
    <t>QUY TẮC 5 SLOT VPS BỔ SUNG</t>
  </si>
  <si>
    <t>Slot</t>
  </si>
  <si>
    <t>Vai trò</t>
  </si>
  <si>
    <t>Mục đích</t>
  </si>
  <si>
    <t>Chuỗi anchor</t>
  </si>
  <si>
    <t>Điều kiện roll</t>
  </si>
  <si>
    <t>Kiểm tra bắt buộc</t>
  </si>
  <si>
    <t>Ngày thường bổ sung</t>
  </si>
  <si>
    <t>Bổ sung observation ngày thường nằm giữa các anchor local</t>
  </si>
  <si>
    <t>27/08/2026 → 24/09/2026 → 22/10/2026 → 19/11/2026 → 17/12/2026</t>
  </si>
  <si>
    <t>Giữ nguyên đến hết ngày check-in; roll từ ngày hôm sau hoặc khi trùng local</t>
  </si>
  <si>
    <t>Ngày &gt;= crawl date; khác 4 slot VPS; không thuộc 12 slot local</t>
  </si>
  <si>
    <t>Cuối tuần bổ sung</t>
  </si>
  <si>
    <t>Bổ sung observation cuối tuần không trùng chuỗi near của local</t>
  </si>
  <si>
    <t>30/08/2026 → 27/09/2026 → 25/10/2026 → 22/11/2026 → 20/12/2026</t>
  </si>
  <si>
    <t>Ngày mùa vụ/đối chứng</t>
  </si>
  <si>
    <t>Theo dõi ngày liền kề mùa vụ hoặc sự kiện để so với ngày lõi</t>
  </si>
  <si>
    <t>03/09/2026 → 01/10/2026 → 29/10/2026 → 26/11/2026 → 24/12/2026</t>
  </si>
  <si>
    <t>Khoảng trung hạn</t>
  </si>
  <si>
    <t>Lấp khoảng lead time trung hạn còn thưa trong lịch local</t>
  </si>
  <si>
    <t>16/09/2026 → 14/10/2026 → 11/11/2026 → 09/12/2026 → 06/01/2027</t>
  </si>
  <si>
    <t>Anchor dài hạn</t>
  </si>
  <si>
    <t>Theo dõi một ngày xa cố định để tạo chuỗi giảm lead time dài</t>
  </si>
  <si>
    <t>24/01/2027 → 24/04/2027</t>
  </si>
  <si>
    <t>Quy tắc chung</t>
  </si>
  <si>
    <t>Không random hằng ngày</t>
  </si>
  <si>
    <t>Năm ngày phải tạo chuỗi observation lặp lại theo thời gian</t>
  </si>
  <si>
    <t>Lead time 0</t>
  </si>
  <si>
    <t>Hợp lệ</t>
  </si>
  <si>
    <t>Slot chỉ roll khi check-in &lt; crawl date</t>
  </si>
  <si>
    <t>Thay đổi local</t>
  </si>
  <si>
    <t>Tạo lại lịch VPS</t>
  </si>
  <si>
    <t>LOCAL_REFERENCE là snapshot; nếu lịch local đổi thì phải tái sinh workbook VPS</t>
  </si>
  <si>
    <t>HƯỚNG DẪN SỬ DỤNG LỊCH CRAWL VPS</t>
  </si>
  <si>
    <t>Bước</t>
  </si>
  <si>
    <t>Thao tác</t>
  </si>
  <si>
    <t>Kết quả mong đợi</t>
  </si>
  <si>
    <t>Lưu ý</t>
  </si>
  <si>
    <t>Mở sheet VPS_CRAWL_PLAN và tìm Crawl date hôm nay</t>
  </si>
  <si>
    <t>Có đúng 5 ngày check-in</t>
  </si>
  <si>
    <t>Hai cột kiểm tra phải đều PASS</t>
  </si>
  <si>
    <t>Mở web scraper đã deploy trên VPS</t>
  </si>
  <si>
    <t>Trang nhập file và ngày check-in sẵn sàng</t>
  </si>
  <si>
    <t>Đây là thao tác thủ công qua web</t>
  </si>
  <si>
    <t>Upload link_hotel_data_expanded.xlsx</t>
  </si>
  <si>
    <t>354 khách sạn hợp lệ</t>
  </si>
  <si>
    <t>Dùng cùng file nguồn với local</t>
  </si>
  <si>
    <t>Chọn đúng V1–V5 của ngày crawl</t>
  </si>
  <si>
    <t>Không tự thay ngày nếu chưa cập nhật workbook</t>
  </si>
  <si>
    <t>Bắt đầu cào và theo dõi run</t>
  </si>
  <si>
    <t>Khoảng 1.770 item được tạo</t>
  </si>
  <si>
    <t>Không cần lưu HTML nếu chỉ thu thập dataset</t>
  </si>
  <si>
    <t>Khi kết thúc, cập nhật CRAWL_LOG</t>
  </si>
  <si>
    <t>Có thời gian, số run và aggregate</t>
  </si>
  <si>
    <t>Hoàn thành có lỗi vẫn phải ghi số liệu</t>
  </si>
  <si>
    <t>Nếu lịch local thay đổi</t>
  </si>
  <si>
    <t>Tạo lại workbook VPS từ local mới</t>
  </si>
  <si>
    <t>Không sửa LOCAL_REFERENCE bằng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</si>
</sst>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"/>
    <numFmt numFmtId="166" formatCode="dd/mm/yyyy\ hh:mm:ss"/>
  </numFmts>
  <fonts count="6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20313F"/>
      <name val="Carlito"/>
    </font>
    <font>
      <sz val="11"/>
      <color rgb="FF20313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238B87"/>
      </patternFill>
    </fill>
    <fill>
      <patternFill patternType="solid">
        <fgColor rgb="FFE8EDF1"/>
      </patternFill>
    </fill>
    <fill>
      <patternFill patternType="solid">
        <fgColor rgb="FFD8F0EF"/>
      </patternFill>
    </fill>
    <fill>
      <patternFill patternType="solid">
        <fgColor rgb="FFBFE7F5"/>
      </patternFill>
    </fill>
    <fill>
      <patternFill patternType="solid">
        <fgColor rgb="FFEAF7FC"/>
      </patternFill>
    </fill>
    <fill>
      <patternFill patternType="solid">
        <fgColor rgb="FFFFF4D6"/>
      </patternFill>
    </fill>
  </fills>
  <borders count="12">
    <border>
      <left/>
      <right/>
      <top/>
      <bottom/>
      <diagonal/>
    </border>
    <border>
      <left style="thin">
        <color rgb="FFAFC6D2"/>
      </left>
      <right style="thin">
        <color rgb="FFAFC6D2"/>
      </right>
      <top style="thin">
        <color rgb="FFAFC6D2"/>
      </top>
      <bottom style="thin">
        <color rgb="FFAFC6D2"/>
      </bottom>
      <diagonal/>
    </border>
    <border>
      <left style="thin">
        <color rgb="FFAFC6D2"/>
      </left>
      <right/>
      <top style="thin">
        <color rgb="FFAFC6D2"/>
      </top>
      <bottom/>
      <diagonal/>
    </border>
    <border>
      <left/>
      <right style="thin">
        <color rgb="FFAFC6D2"/>
      </right>
      <top style="thin">
        <color rgb="FFAFC6D2"/>
      </top>
      <bottom/>
      <diagonal/>
    </border>
    <border>
      <left style="thin">
        <color rgb="FFAFC6D2"/>
      </left>
      <right/>
      <top/>
      <bottom/>
      <diagonal/>
    </border>
    <border>
      <left/>
      <right style="thin">
        <color rgb="FFAFC6D2"/>
      </right>
      <top/>
      <bottom/>
      <diagonal/>
    </border>
    <border>
      <left style="thin">
        <color rgb="FFAFC6D2"/>
      </left>
      <right/>
      <top/>
      <bottom style="thin">
        <color rgb="FFAFC6D2"/>
      </bottom>
      <diagonal/>
    </border>
    <border>
      <left/>
      <right style="thin">
        <color rgb="FFAFC6D2"/>
      </right>
      <top/>
      <bottom style="thin">
        <color rgb="FFAFC6D2"/>
      </bottom>
      <diagonal/>
    </border>
    <border>
      <left style="thin">
        <color rgb="FFAFC6D2"/>
      </left>
      <right style="thin">
        <color rgb="FFAFC6D2"/>
      </right>
      <top/>
      <bottom style="thin">
        <color rgb="FFAFC6D2"/>
      </bottom>
      <diagonal/>
    </border>
    <border>
      <left/>
      <right style="thin">
        <color rgb="FFAFC6D2"/>
      </right>
      <top style="thin">
        <color rgb="FFAFC6D2"/>
      </top>
      <bottom style="thin">
        <color rgb="FFAFC6D2"/>
      </bottom>
      <diagonal/>
    </border>
    <border>
      <left style="thin">
        <color rgb="FFAFC6D2"/>
      </left>
      <right/>
      <top style="thin">
        <color rgb="FFAFC6D2"/>
      </top>
      <bottom style="thin">
        <color rgb="FFAFC6D2"/>
      </bottom>
      <diagonal/>
    </border>
    <border>
      <left style="thin">
        <color rgb="FFAFC6D2"/>
      </left>
      <right style="thin">
        <color rgb="FFAFC6D2"/>
      </right>
      <top style="thin">
        <color rgb="FFAFC6D2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3" fillId="4" borderId="2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164" fontId="0" fillId="0" borderId="3" xfId="0" applyNumberFormat="1" applyBorder="1"/>
    <xf numFmtId="164" fontId="0" fillId="0" borderId="5" xfId="0" applyNumberFormat="1" applyBorder="1"/>
    <xf numFmtId="3" fontId="0" fillId="0" borderId="5" xfId="0" applyNumberFormat="1" applyBorder="1"/>
    <xf numFmtId="3" fontId="0" fillId="0" borderId="7" xfId="0" applyNumberFormat="1" applyBorder="1"/>
    <xf numFmtId="0" fontId="0" fillId="6" borderId="0" xfId="0" applyFill="1"/>
    <xf numFmtId="0" fontId="0" fillId="7" borderId="0" xfId="0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" fontId="0" fillId="6" borderId="0" xfId="0" applyNumberFormat="1" applyFill="1"/>
    <xf numFmtId="1" fontId="0" fillId="7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3" fontId="0" fillId="6" borderId="0" xfId="0" applyNumberFormat="1" applyFill="1"/>
    <xf numFmtId="3" fontId="0" fillId="7" borderId="0" xfId="0" applyNumberFormat="1" applyFill="1"/>
    <xf numFmtId="0" fontId="0" fillId="5" borderId="7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  <xf numFmtId="165" fontId="0" fillId="6" borderId="0" xfId="0" applyNumberFormat="1" applyFill="1" applyAlignment="1">
      <alignment horizontal="right"/>
    </xf>
    <xf numFmtId="165" fontId="0" fillId="7" borderId="0" xfId="0" applyNumberFormat="1" applyFill="1" applyAlignment="1">
      <alignment horizontal="right"/>
    </xf>
    <xf numFmtId="166" fontId="0" fillId="6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vertical="center" wrapText="1"/>
    </xf>
    <xf numFmtId="0" fontId="5" fillId="5" borderId="0" xfId="0" applyFont="1" applyFill="1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11">
    <dxf>
      <alignment horizontal="right"/>
    </dxf>
    <dxf>
      <alignment horizontal="right"/>
    </dxf>
    <dxf>
      <font>
        <b/>
        <color rgb="FF7A4F00"/>
      </font>
      <fill>
        <patternFill>
          <bgColor rgb="FFFFF0C2"/>
        </patternFill>
      </fill>
    </dxf>
    <dxf>
      <font>
        <b/>
        <color rgb="FF8B1A1A"/>
      </font>
      <fill>
        <patternFill>
          <bgColor rgb="FFFADBD8"/>
        </patternFill>
      </fill>
    </dxf>
    <dxf>
      <font>
        <b/>
        <color rgb="FF1B5E20"/>
      </font>
      <fill>
        <patternFill>
          <bgColor rgb="FFDDF3E4"/>
        </patternFill>
      </fill>
    </dxf>
    <dxf>
      <font>
        <b/>
        <color rgb="FF8B1A1A"/>
      </font>
      <fill>
        <patternFill>
          <bgColor rgb="FFFADBD8"/>
        </patternFill>
      </fill>
    </dxf>
    <dxf>
      <font>
        <b/>
        <color rgb="FF7A4F00"/>
      </font>
      <fill>
        <patternFill>
          <bgColor rgb="FFFFF0C2"/>
        </patternFill>
      </fill>
    </dxf>
    <dxf>
      <font>
        <b/>
        <color rgb="FF1B5E20"/>
      </font>
      <fill>
        <patternFill>
          <bgColor rgb="FFDDF3E4"/>
        </patternFill>
      </fill>
    </dxf>
    <dxf>
      <font>
        <b/>
        <color rgb="FF8B1A1A"/>
      </font>
      <fill>
        <patternFill>
          <bgColor rgb="FFFADBD8"/>
        </patternFill>
      </fill>
    </dxf>
    <dxf>
      <font>
        <b/>
        <color rgb="FF7A4F00"/>
      </font>
      <fill>
        <patternFill>
          <bgColor rgb="FFFFF0C2"/>
        </patternFill>
      </fill>
    </dxf>
    <dxf>
      <font>
        <b/>
        <color rgb="FF1B5E20"/>
      </font>
      <fill>
        <patternFill>
          <bgColor rgb="FFDDF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psDailyPlanTable" displayName="VpsDailyPlanTable" ref="A3:O102" totalsRowShown="0">
  <tableColumns count="15">
    <tableColumn id="1" xr3:uid="{00000000-0010-0000-0000-000001000000}" name="Crawl date"/>
    <tableColumn id="2" xr3:uid="{00000000-0010-0000-0000-000002000000}" name="Thứ"/>
    <tableColumn id="3" xr3:uid="{00000000-0010-0000-0000-000003000000}" name="Phase"/>
    <tableColumn id="4" xr3:uid="{00000000-0010-0000-0000-000004000000}" name="Start time (ICT)"/>
    <tableColumn id="5" xr3:uid="{00000000-0010-0000-0000-000005000000}" name="V1 weekday"/>
    <tableColumn id="6" xr3:uid="{00000000-0010-0000-0000-000006000000}" name="V2 weekend"/>
    <tableColumn id="7" xr3:uid="{00000000-0010-0000-0000-000007000000}" name="V3 seasonal"/>
    <tableColumn id="8" xr3:uid="{00000000-0010-0000-0000-000008000000}" name="V4 medium"/>
    <tableColumn id="9" xr3:uid="{00000000-0010-0000-0000-000009000000}" name="V5 long"/>
    <tableColumn id="10" xr3:uid="{00000000-0010-0000-0000-00000A000000}" name="Min lead"/>
    <tableColumn id="11" xr3:uid="{00000000-0010-0000-0000-00000B000000}" name="Max lead"/>
    <tableColumn id="12" xr3:uid="{00000000-0010-0000-0000-00000C000000}" name="5 ngày hợp lệ"/>
    <tableColumn id="13" xr3:uid="{00000000-0010-0000-0000-00000D000000}" name="Không trùng local"/>
    <tableColumn id="14" xr3:uid="{00000000-0010-0000-0000-00000E000000}" name="Crawl status"/>
    <tableColumn id="15" xr3:uid="{00000000-0010-0000-0000-00000F000000}" name="Sampling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psCrawlLogTable" displayName="VpsCrawlLogTable" ref="A3:Q102" totalsRowShown="0">
  <tableColumns count="17">
    <tableColumn id="1" xr3:uid="{00000000-0010-0000-0100-000001000000}" name="Crawl date"/>
    <tableColumn id="2" xr3:uid="{00000000-0010-0000-0100-000002000000}" name="Status"/>
    <tableColumn id="3" xr3:uid="{00000000-0010-0000-0100-000003000000}" name="Run IDs"/>
    <tableColumn id="4" xr3:uid="{00000000-0010-0000-0100-000004000000}" name="Started at" dataDxfId="1"/>
    <tableColumn id="5" xr3:uid="{00000000-0010-0000-0100-000005000000}" name="Finished at" dataDxfId="0"/>
    <tableColumn id="6" xr3:uid="{00000000-0010-0000-0100-000006000000}" name="Duration (hours)"/>
    <tableColumn id="7" xr3:uid="{00000000-0010-0000-0100-000007000000}" name="Total items"/>
    <tableColumn id="8" xr3:uid="{00000000-0010-0000-0100-000008000000}" name="Processed"/>
    <tableColumn id="9" xr3:uid="{00000000-0010-0000-0100-000009000000}" name="Success"/>
    <tableColumn id="10" xr3:uid="{00000000-0010-0000-0100-00000A000000}" name="Partial"/>
    <tableColumn id="11" xr3:uid="{00000000-0010-0000-0100-00000B000000}" name="Sold out"/>
    <tableColumn id="12" xr3:uid="{00000000-0010-0000-0100-00000C000000}" name="Not bookable"/>
    <tableColumn id="13" xr3:uid="{00000000-0010-0000-0100-00000D000000}" name="Error"/>
    <tableColumn id="14" xr3:uid="{00000000-0010-0000-0100-00000E000000}" name="Valid records"/>
    <tableColumn id="15" xr3:uid="{00000000-0010-0000-0100-00000F000000}" name="Check-in count"/>
    <tableColumn id="16" xr3:uid="{00000000-0010-0000-0100-000010000000}" name="Environment"/>
    <tableColumn id="17" xr3:uid="{00000000-0010-0000-0100-000011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calReferenceTable" displayName="LocalReferenceTable" ref="A3:P102" totalsRowShown="0">
  <tableColumns count="16">
    <tableColumn id="1" xr3:uid="{00000000-0010-0000-0200-000001000000}" name="Crawl date"/>
    <tableColumn id="2" xr3:uid="{00000000-0010-0000-0200-000002000000}" name="Thứ"/>
    <tableColumn id="3" xr3:uid="{00000000-0010-0000-0200-000003000000}" name="Start time"/>
    <tableColumn id="4" xr3:uid="{00000000-0010-0000-0200-000004000000}" name="N1"/>
    <tableColumn id="5" xr3:uid="{00000000-0010-0000-0200-000005000000}" name="N2"/>
    <tableColumn id="6" xr3:uid="{00000000-0010-0000-0200-000006000000}" name="N3"/>
    <tableColumn id="7" xr3:uid="{00000000-0010-0000-0200-000007000000}" name="N4"/>
    <tableColumn id="8" xr3:uid="{00000000-0010-0000-0200-000008000000}" name="N5"/>
    <tableColumn id="9" xr3:uid="{00000000-0010-0000-0200-000009000000}" name="N6"/>
    <tableColumn id="10" xr3:uid="{00000000-0010-0000-0200-00000A000000}" name="N7"/>
    <tableColumn id="11" xr3:uid="{00000000-0010-0000-0200-00000B000000}" name="N8"/>
    <tableColumn id="12" xr3:uid="{00000000-0010-0000-0200-00000C000000}" name="N9"/>
    <tableColumn id="13" xr3:uid="{00000000-0010-0000-0200-00000D000000}" name="F1"/>
    <tableColumn id="14" xr3:uid="{00000000-0010-0000-0200-00000E000000}" name="F2"/>
    <tableColumn id="15" xr3:uid="{00000000-0010-0000-0200-00000F000000}" name="F3"/>
    <tableColumn id="16" xr3:uid="{00000000-0010-0000-0200-000010000000}" name="Source f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psSlotRulesTable" displayName="VpsSlotRulesTable" ref="A3:F8" totalsRowShown="0">
  <tableColumns count="6">
    <tableColumn id="1" xr3:uid="{00000000-0010-0000-0300-000001000000}" name="Slot"/>
    <tableColumn id="2" xr3:uid="{00000000-0010-0000-0300-000002000000}" name="Vai trò"/>
    <tableColumn id="3" xr3:uid="{00000000-0010-0000-0300-000003000000}" name="Mục đích"/>
    <tableColumn id="4" xr3:uid="{00000000-0010-0000-0300-000004000000}" name="Chuỗi anchor"/>
    <tableColumn id="5" xr3:uid="{00000000-0010-0000-0300-000005000000}" name="Điều kiện roll"/>
    <tableColumn id="6" xr3:uid="{00000000-0010-0000-0300-000006000000}" name="Kiểm tra bắt buộ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psReadmeTable" displayName="VpsReadmeTable" ref="A3:D10" totalsRowShown="0">
  <tableColumns count="4">
    <tableColumn id="1" xr3:uid="{00000000-0010-0000-0400-000001000000}" name="Bước"/>
    <tableColumn id="2" xr3:uid="{00000000-0010-0000-0400-000002000000}" name="Thao tác"/>
    <tableColumn id="3" xr3:uid="{00000000-0010-0000-0400-000003000000}" name="Kết quả mong đợi"/>
    <tableColumn id="4" xr3:uid="{00000000-0010-0000-0400-000004000000}" name="Lưu 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workbookViewId="0">
      <selection sqref="A1:E1"/>
    </sheetView>
  </sheetViews>
  <sheetFormatPr defaultRowHeight="14"/>
  <cols>
    <col min="1" max="1" width="26" customWidth="1"/>
    <col min="2" max="2" width="22" customWidth="1"/>
    <col min="3" max="3" width="4" customWidth="1"/>
    <col min="4" max="4" width="28" customWidth="1"/>
    <col min="5" max="5" width="18" customWidth="1"/>
  </cols>
  <sheetData>
    <row r="1" spans="1:5" ht="28" customHeight="1">
      <c r="A1" s="39" t="s">
        <v>0</v>
      </c>
      <c r="B1" s="40"/>
      <c r="C1" s="40"/>
      <c r="D1" s="40"/>
      <c r="E1" s="40"/>
    </row>
    <row r="3" spans="1:5" ht="28" customHeight="1">
      <c r="A3" s="1" t="s">
        <v>1</v>
      </c>
      <c r="B3" s="1" t="s">
        <v>2</v>
      </c>
      <c r="D3" s="1" t="s">
        <v>3</v>
      </c>
      <c r="E3" s="1" t="s">
        <v>4</v>
      </c>
    </row>
    <row r="4" spans="1:5">
      <c r="A4" s="5" t="s">
        <v>5</v>
      </c>
      <c r="B4" s="8">
        <v>46258</v>
      </c>
      <c r="D4" s="5" t="s">
        <v>6</v>
      </c>
      <c r="E4" s="2">
        <v>99</v>
      </c>
    </row>
    <row r="5" spans="1:5">
      <c r="A5" s="6" t="s">
        <v>7</v>
      </c>
      <c r="B5" s="9">
        <v>46356</v>
      </c>
      <c r="D5" s="6" t="s">
        <v>8</v>
      </c>
      <c r="E5" s="3">
        <f>B8</f>
        <v>99</v>
      </c>
    </row>
    <row r="6" spans="1:5">
      <c r="A6" s="6" t="s">
        <v>9</v>
      </c>
      <c r="B6" s="3" t="s">
        <v>10</v>
      </c>
      <c r="D6" s="6" t="s">
        <v>11</v>
      </c>
      <c r="E6" s="3" t="str">
        <f>IF(COUNTIF(VPS_CRAWL_PLAN!$L$4:$L$102,"PASS")=$E$4,"PASS","CHECK")</f>
        <v>PASS</v>
      </c>
    </row>
    <row r="7" spans="1:5">
      <c r="A7" s="6" t="s">
        <v>12</v>
      </c>
      <c r="B7" s="3" t="s">
        <v>13</v>
      </c>
      <c r="D7" s="6" t="s">
        <v>14</v>
      </c>
      <c r="E7" s="3" t="str">
        <f>IF(COUNTIF(VPS_CRAWL_PLAN!$M$4:$M$102,"PASS")=$E$4,"PASS","CHECK")</f>
        <v>PASS</v>
      </c>
    </row>
    <row r="8" spans="1:5">
      <c r="A8" s="6" t="s">
        <v>15</v>
      </c>
      <c r="B8" s="10">
        <f>ROWS(VPS_CRAWL_PLAN!$A$4:$A$102)</f>
        <v>99</v>
      </c>
      <c r="D8" s="7" t="s">
        <v>16</v>
      </c>
      <c r="E8" s="4" t="str">
        <f>IF(AND(E4=E5,E6="PASS",E7="PASS"),"PASS","CHECK")</f>
        <v>PASS</v>
      </c>
    </row>
    <row r="9" spans="1:5">
      <c r="A9" s="6" t="s">
        <v>17</v>
      </c>
      <c r="B9" s="10">
        <v>354</v>
      </c>
    </row>
    <row r="10" spans="1:5">
      <c r="A10" s="6" t="s">
        <v>18</v>
      </c>
      <c r="B10" s="10">
        <v>5</v>
      </c>
    </row>
    <row r="11" spans="1:5">
      <c r="A11" s="6" t="s">
        <v>19</v>
      </c>
      <c r="B11" s="10">
        <v>1770</v>
      </c>
    </row>
    <row r="12" spans="1:5">
      <c r="A12" s="6" t="s">
        <v>20</v>
      </c>
      <c r="B12" s="10">
        <f>COUNTIF(CRAWL_LOG!$B$4:$B$102,"Hoàn thành")+COUNTIF(CRAWL_LOG!$B$4:$B$102,"Hoàn thành có lỗi")</f>
        <v>45</v>
      </c>
    </row>
    <row r="13" spans="1:5">
      <c r="A13" s="7" t="s">
        <v>21</v>
      </c>
      <c r="B13" s="11">
        <f>COUNTIF(CRAWL_LOG!$B$4:$B$102,"Chưa chạy")</f>
        <v>53</v>
      </c>
    </row>
    <row r="15" spans="1:5">
      <c r="A15" s="41" t="s">
        <v>22</v>
      </c>
      <c r="B15" s="40"/>
      <c r="C15" s="40"/>
      <c r="D15" s="40"/>
      <c r="E15" s="40"/>
    </row>
    <row r="16" spans="1:5">
      <c r="A16" s="40"/>
      <c r="B16" s="40"/>
      <c r="C16" s="40"/>
      <c r="D16" s="40"/>
      <c r="E16" s="40"/>
    </row>
  </sheetData>
  <mergeCells count="2">
    <mergeCell ref="A1:E1"/>
    <mergeCell ref="A15:E16"/>
  </mergeCells>
  <conditionalFormatting sqref="E4:E8">
    <cfRule type="containsText" dxfId="10" priority="1" operator="containsText" text="PASS"/>
    <cfRule type="containsText" dxfId="9" priority="2" operator="containsText" text="CHECK"/>
    <cfRule type="containsText" dxfId="8" priority="3" operator="containsText" text="DUPLICATE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2"/>
  <sheetViews>
    <sheetView showGridLines="0" tabSelected="1" topLeftCell="A16" workbookViewId="0">
      <selection activeCell="A53" sqref="A53:XFD53"/>
    </sheetView>
  </sheetViews>
  <sheetFormatPr defaultRowHeight="14"/>
  <cols>
    <col min="1" max="1" width="14" customWidth="1"/>
    <col min="2" max="2" width="13" customWidth="1"/>
    <col min="3" max="3" width="12" customWidth="1"/>
    <col min="4" max="9" width="15" customWidth="1"/>
    <col min="10" max="11" width="10" customWidth="1"/>
    <col min="12" max="14" width="18" customWidth="1"/>
    <col min="15" max="15" width="22" customWidth="1"/>
  </cols>
  <sheetData>
    <row r="1" spans="1:15" ht="28" customHeight="1">
      <c r="A1" s="39" t="s">
        <v>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>
      <c r="A2" s="42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28" customHeight="1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</row>
    <row r="4" spans="1:15">
      <c r="A4" s="14">
        <v>46258</v>
      </c>
      <c r="B4" s="12" t="s">
        <v>40</v>
      </c>
      <c r="C4" s="12" t="s">
        <v>41</v>
      </c>
      <c r="D4" s="12" t="s">
        <v>10</v>
      </c>
      <c r="E4" s="16">
        <v>46261</v>
      </c>
      <c r="F4" s="16">
        <v>46264</v>
      </c>
      <c r="G4" s="16">
        <v>46268</v>
      </c>
      <c r="H4" s="16">
        <v>46281</v>
      </c>
      <c r="I4" s="16">
        <v>46411</v>
      </c>
      <c r="J4" s="17">
        <f t="shared" ref="J4:J35" si="0">MIN(E4:I4)-A4</f>
        <v>3</v>
      </c>
      <c r="K4" s="17">
        <f t="shared" ref="K4:K35" si="1">MAX(E4:I4)-A4</f>
        <v>153</v>
      </c>
      <c r="L4" s="12" t="str">
        <f t="shared" ref="L4:L35" si="2">IF(AND(COUNT(E4:I4)=5,MIN(E4:I4)&gt;=A4,E4&lt;&gt;F4,E4&lt;&gt;G4,E4&lt;&gt;H4,E4&lt;&gt;I4,F4&lt;&gt;G4,F4&lt;&gt;H4,F4&lt;&gt;I4,G4&lt;&gt;H4,G4&lt;&gt;I4,H4&lt;&gt;I4),"PASS","CHECK")</f>
        <v>PASS</v>
      </c>
      <c r="M4" s="12" t="str">
        <f>IF(COUNTIF(LOCAL_REFERENCE!$D4:$O4,E4)+COUNTIF(LOCAL_REFERENCE!$D4:$O4,F4)+COUNTIF(LOCAL_REFERENCE!$D4:$O4,G4)+COUNTIF(LOCAL_REFERENCE!$D4:$O4,H4)+COUNTIF(LOCAL_REFERENCE!$D4:$O4,I4)=0,"PASS","DUPLICATE")</f>
        <v>PASS</v>
      </c>
      <c r="N4" s="12" t="str">
        <f>CRAWL_LOG!B4</f>
        <v>Hoàn thành</v>
      </c>
      <c r="O4" s="12" t="s">
        <v>42</v>
      </c>
    </row>
    <row r="5" spans="1:15">
      <c r="A5" s="15">
        <v>46259</v>
      </c>
      <c r="B5" s="13" t="s">
        <v>43</v>
      </c>
      <c r="C5" s="13" t="s">
        <v>41</v>
      </c>
      <c r="D5" s="13" t="s">
        <v>10</v>
      </c>
      <c r="E5" s="16">
        <v>46261</v>
      </c>
      <c r="F5" s="16">
        <v>46264</v>
      </c>
      <c r="G5" s="16">
        <v>46268</v>
      </c>
      <c r="H5" s="16">
        <v>46281</v>
      </c>
      <c r="I5" s="16">
        <v>46411</v>
      </c>
      <c r="J5" s="18">
        <f t="shared" si="0"/>
        <v>2</v>
      </c>
      <c r="K5" s="18">
        <f t="shared" si="1"/>
        <v>152</v>
      </c>
      <c r="L5" s="13" t="str">
        <f t="shared" si="2"/>
        <v>PASS</v>
      </c>
      <c r="M5" s="13" t="str">
        <f>IF(COUNTIF(LOCAL_REFERENCE!$D5:$O5,E5)+COUNTIF(LOCAL_REFERENCE!$D5:$O5,F5)+COUNTIF(LOCAL_REFERENCE!$D5:$O5,G5)+COUNTIF(LOCAL_REFERENCE!$D5:$O5,H5)+COUNTIF(LOCAL_REFERENCE!$D5:$O5,I5)=0,"PASS","DUPLICATE")</f>
        <v>PASS</v>
      </c>
      <c r="N5" s="13" t="str">
        <f>CRAWL_LOG!B5</f>
        <v>Hoàn thành</v>
      </c>
      <c r="O5" s="13" t="s">
        <v>42</v>
      </c>
    </row>
    <row r="6" spans="1:15">
      <c r="A6" s="14">
        <v>46260</v>
      </c>
      <c r="B6" s="12" t="s">
        <v>44</v>
      </c>
      <c r="C6" s="12" t="s">
        <v>41</v>
      </c>
      <c r="D6" s="12" t="s">
        <v>10</v>
      </c>
      <c r="E6" s="16">
        <v>46261</v>
      </c>
      <c r="F6" s="16">
        <v>46264</v>
      </c>
      <c r="G6" s="16">
        <v>46268</v>
      </c>
      <c r="H6" s="16">
        <v>46281</v>
      </c>
      <c r="I6" s="16">
        <v>46411</v>
      </c>
      <c r="J6" s="17">
        <f t="shared" si="0"/>
        <v>1</v>
      </c>
      <c r="K6" s="17">
        <f t="shared" si="1"/>
        <v>151</v>
      </c>
      <c r="L6" s="12" t="str">
        <f t="shared" si="2"/>
        <v>PASS</v>
      </c>
      <c r="M6" s="12" t="str">
        <f>IF(COUNTIF(LOCAL_REFERENCE!$D6:$O6,E6)+COUNTIF(LOCAL_REFERENCE!$D6:$O6,F6)+COUNTIF(LOCAL_REFERENCE!$D6:$O6,G6)+COUNTIF(LOCAL_REFERENCE!$D6:$O6,H6)+COUNTIF(LOCAL_REFERENCE!$D6:$O6,I6)=0,"PASS","DUPLICATE")</f>
        <v>PASS</v>
      </c>
      <c r="N6" s="12" t="str">
        <f>CRAWL_LOG!B6</f>
        <v>Hoàn thành</v>
      </c>
      <c r="O6" s="12" t="s">
        <v>42</v>
      </c>
    </row>
    <row r="7" spans="1:15">
      <c r="A7" s="15">
        <v>46261</v>
      </c>
      <c r="B7" s="13" t="s">
        <v>45</v>
      </c>
      <c r="C7" s="13" t="s">
        <v>41</v>
      </c>
      <c r="D7" s="13" t="s">
        <v>10</v>
      </c>
      <c r="E7" s="16">
        <v>46261</v>
      </c>
      <c r="F7" s="16">
        <v>46264</v>
      </c>
      <c r="G7" s="16">
        <v>46268</v>
      </c>
      <c r="H7" s="16">
        <v>46281</v>
      </c>
      <c r="I7" s="16">
        <v>46411</v>
      </c>
      <c r="J7" s="18">
        <f t="shared" si="0"/>
        <v>0</v>
      </c>
      <c r="K7" s="18">
        <f t="shared" si="1"/>
        <v>150</v>
      </c>
      <c r="L7" s="13" t="str">
        <f t="shared" si="2"/>
        <v>PASS</v>
      </c>
      <c r="M7" s="13" t="str">
        <f>IF(COUNTIF(LOCAL_REFERENCE!$D7:$O7,E7)+COUNTIF(LOCAL_REFERENCE!$D7:$O7,F7)+COUNTIF(LOCAL_REFERENCE!$D7:$O7,G7)+COUNTIF(LOCAL_REFERENCE!$D7:$O7,H7)+COUNTIF(LOCAL_REFERENCE!$D7:$O7,I7)=0,"PASS","DUPLICATE")</f>
        <v>PASS</v>
      </c>
      <c r="N7" s="13" t="str">
        <f>CRAWL_LOG!B7</f>
        <v>Hoàn thành có lỗi</v>
      </c>
      <c r="O7" s="13" t="s">
        <v>42</v>
      </c>
    </row>
    <row r="8" spans="1:15">
      <c r="A8" s="14">
        <v>46262</v>
      </c>
      <c r="B8" s="12" t="s">
        <v>46</v>
      </c>
      <c r="C8" s="12" t="s">
        <v>41</v>
      </c>
      <c r="D8" s="12" t="s">
        <v>10</v>
      </c>
      <c r="E8" s="16">
        <v>46289</v>
      </c>
      <c r="F8" s="16">
        <v>46264</v>
      </c>
      <c r="G8" s="16">
        <v>46268</v>
      </c>
      <c r="H8" s="16">
        <v>46281</v>
      </c>
      <c r="I8" s="16">
        <v>46411</v>
      </c>
      <c r="J8" s="17">
        <f t="shared" si="0"/>
        <v>2</v>
      </c>
      <c r="K8" s="17">
        <f t="shared" si="1"/>
        <v>149</v>
      </c>
      <c r="L8" s="12" t="str">
        <f t="shared" si="2"/>
        <v>PASS</v>
      </c>
      <c r="M8" s="12" t="str">
        <f>IF(COUNTIF(LOCAL_REFERENCE!$D8:$O8,E8)+COUNTIF(LOCAL_REFERENCE!$D8:$O8,F8)+COUNTIF(LOCAL_REFERENCE!$D8:$O8,G8)+COUNTIF(LOCAL_REFERENCE!$D8:$O8,H8)+COUNTIF(LOCAL_REFERENCE!$D8:$O8,I8)=0,"PASS","DUPLICATE")</f>
        <v>PASS</v>
      </c>
      <c r="N8" s="12" t="str">
        <f>CRAWL_LOG!B8</f>
        <v>Hoàn thành có lỗi</v>
      </c>
      <c r="O8" s="12" t="s">
        <v>42</v>
      </c>
    </row>
    <row r="9" spans="1:15">
      <c r="A9" s="15">
        <v>46263</v>
      </c>
      <c r="B9" s="13" t="s">
        <v>47</v>
      </c>
      <c r="C9" s="13" t="s">
        <v>41</v>
      </c>
      <c r="D9" s="13" t="s">
        <v>10</v>
      </c>
      <c r="E9" s="16">
        <v>46289</v>
      </c>
      <c r="F9" s="16">
        <v>46264</v>
      </c>
      <c r="G9" s="16">
        <v>46268</v>
      </c>
      <c r="H9" s="16">
        <v>46281</v>
      </c>
      <c r="I9" s="16">
        <v>46411</v>
      </c>
      <c r="J9" s="18">
        <f t="shared" si="0"/>
        <v>1</v>
      </c>
      <c r="K9" s="18">
        <f t="shared" si="1"/>
        <v>148</v>
      </c>
      <c r="L9" s="13" t="str">
        <f t="shared" si="2"/>
        <v>PASS</v>
      </c>
      <c r="M9" s="13" t="str">
        <f>IF(COUNTIF(LOCAL_REFERENCE!$D9:$O9,E9)+COUNTIF(LOCAL_REFERENCE!$D9:$O9,F9)+COUNTIF(LOCAL_REFERENCE!$D9:$O9,G9)+COUNTIF(LOCAL_REFERENCE!$D9:$O9,H9)+COUNTIF(LOCAL_REFERENCE!$D9:$O9,I9)=0,"PASS","DUPLICATE")</f>
        <v>PASS</v>
      </c>
      <c r="N9" s="13" t="str">
        <f>CRAWL_LOG!B9</f>
        <v>Hoàn thành có lỗi</v>
      </c>
      <c r="O9" s="13" t="s">
        <v>42</v>
      </c>
    </row>
    <row r="10" spans="1:15">
      <c r="A10" s="14">
        <v>46264</v>
      </c>
      <c r="B10" s="12" t="s">
        <v>48</v>
      </c>
      <c r="C10" s="12" t="s">
        <v>41</v>
      </c>
      <c r="D10" s="12" t="s">
        <v>10</v>
      </c>
      <c r="E10" s="16">
        <v>46289</v>
      </c>
      <c r="F10" s="16">
        <v>46264</v>
      </c>
      <c r="G10" s="16">
        <v>46268</v>
      </c>
      <c r="H10" s="16">
        <v>46281</v>
      </c>
      <c r="I10" s="16">
        <v>46411</v>
      </c>
      <c r="J10" s="17">
        <f t="shared" si="0"/>
        <v>0</v>
      </c>
      <c r="K10" s="17">
        <f t="shared" si="1"/>
        <v>147</v>
      </c>
      <c r="L10" s="12" t="str">
        <f t="shared" si="2"/>
        <v>PASS</v>
      </c>
      <c r="M10" s="12" t="str">
        <f>IF(COUNTIF(LOCAL_REFERENCE!$D10:$O10,E10)+COUNTIF(LOCAL_REFERENCE!$D10:$O10,F10)+COUNTIF(LOCAL_REFERENCE!$D10:$O10,G10)+COUNTIF(LOCAL_REFERENCE!$D10:$O10,H10)+COUNTIF(LOCAL_REFERENCE!$D10:$O10,I10)=0,"PASS","DUPLICATE")</f>
        <v>PASS</v>
      </c>
      <c r="N10" s="12" t="str">
        <f>CRAWL_LOG!B10</f>
        <v>Hoàn thành có lỗi</v>
      </c>
      <c r="O10" s="12" t="s">
        <v>42</v>
      </c>
    </row>
    <row r="11" spans="1:15">
      <c r="A11" s="15">
        <v>46265</v>
      </c>
      <c r="B11" s="13" t="s">
        <v>40</v>
      </c>
      <c r="C11" s="13" t="s">
        <v>41</v>
      </c>
      <c r="D11" s="13" t="s">
        <v>10</v>
      </c>
      <c r="E11" s="16">
        <v>46289</v>
      </c>
      <c r="F11" s="16">
        <v>46292</v>
      </c>
      <c r="G11" s="16">
        <v>46268</v>
      </c>
      <c r="H11" s="16">
        <v>46281</v>
      </c>
      <c r="I11" s="16">
        <v>46411</v>
      </c>
      <c r="J11" s="18">
        <f t="shared" si="0"/>
        <v>3</v>
      </c>
      <c r="K11" s="18">
        <f t="shared" si="1"/>
        <v>146</v>
      </c>
      <c r="L11" s="13" t="str">
        <f t="shared" si="2"/>
        <v>PASS</v>
      </c>
      <c r="M11" s="13" t="str">
        <f>IF(COUNTIF(LOCAL_REFERENCE!$D11:$O11,E11)+COUNTIF(LOCAL_REFERENCE!$D11:$O11,F11)+COUNTIF(LOCAL_REFERENCE!$D11:$O11,G11)+COUNTIF(LOCAL_REFERENCE!$D11:$O11,H11)+COUNTIF(LOCAL_REFERENCE!$D11:$O11,I11)=0,"PASS","DUPLICATE")</f>
        <v>PASS</v>
      </c>
      <c r="N11" s="13" t="str">
        <f>CRAWL_LOG!B11</f>
        <v>Hoàn thành có lỗi</v>
      </c>
      <c r="O11" s="13" t="s">
        <v>42</v>
      </c>
    </row>
    <row r="12" spans="1:15">
      <c r="A12" s="14">
        <v>46266</v>
      </c>
      <c r="B12" s="12" t="s">
        <v>43</v>
      </c>
      <c r="C12" s="12" t="s">
        <v>49</v>
      </c>
      <c r="D12" s="12" t="s">
        <v>10</v>
      </c>
      <c r="E12" s="16">
        <v>46289</v>
      </c>
      <c r="F12" s="16">
        <v>46292</v>
      </c>
      <c r="G12" s="16">
        <v>46268</v>
      </c>
      <c r="H12" s="16">
        <v>46281</v>
      </c>
      <c r="I12" s="16">
        <v>46411</v>
      </c>
      <c r="J12" s="17">
        <f t="shared" si="0"/>
        <v>2</v>
      </c>
      <c r="K12" s="17">
        <f t="shared" si="1"/>
        <v>145</v>
      </c>
      <c r="L12" s="12" t="str">
        <f t="shared" si="2"/>
        <v>PASS</v>
      </c>
      <c r="M12" s="12" t="str">
        <f>IF(COUNTIF(LOCAL_REFERENCE!$D12:$O12,E12)+COUNTIF(LOCAL_REFERENCE!$D12:$O12,F12)+COUNTIF(LOCAL_REFERENCE!$D12:$O12,G12)+COUNTIF(LOCAL_REFERENCE!$D12:$O12,H12)+COUNTIF(LOCAL_REFERENCE!$D12:$O12,I12)=0,"PASS","DUPLICATE")</f>
        <v>PASS</v>
      </c>
      <c r="N12" s="12" t="str">
        <f>CRAWL_LOG!B12</f>
        <v>Hoàn thành có lỗi</v>
      </c>
      <c r="O12" s="12" t="s">
        <v>42</v>
      </c>
    </row>
    <row r="13" spans="1:15">
      <c r="A13" s="15">
        <v>46267</v>
      </c>
      <c r="B13" s="13" t="s">
        <v>44</v>
      </c>
      <c r="C13" s="13" t="s">
        <v>49</v>
      </c>
      <c r="D13" s="13" t="s">
        <v>10</v>
      </c>
      <c r="E13" s="16">
        <v>46289</v>
      </c>
      <c r="F13" s="16">
        <v>46292</v>
      </c>
      <c r="G13" s="16">
        <v>46268</v>
      </c>
      <c r="H13" s="16">
        <v>46281</v>
      </c>
      <c r="I13" s="16">
        <v>46411</v>
      </c>
      <c r="J13" s="18">
        <f t="shared" si="0"/>
        <v>1</v>
      </c>
      <c r="K13" s="18">
        <f t="shared" si="1"/>
        <v>144</v>
      </c>
      <c r="L13" s="13" t="str">
        <f t="shared" si="2"/>
        <v>PASS</v>
      </c>
      <c r="M13" s="13" t="str">
        <f>IF(COUNTIF(LOCAL_REFERENCE!$D13:$O13,E13)+COUNTIF(LOCAL_REFERENCE!$D13:$O13,F13)+COUNTIF(LOCAL_REFERENCE!$D13:$O13,G13)+COUNTIF(LOCAL_REFERENCE!$D13:$O13,H13)+COUNTIF(LOCAL_REFERENCE!$D13:$O13,I13)=0,"PASS","DUPLICATE")</f>
        <v>PASS</v>
      </c>
      <c r="N13" s="13" t="str">
        <f>CRAWL_LOG!B13</f>
        <v>Hoàn thành có lỗi</v>
      </c>
      <c r="O13" s="13" t="s">
        <v>42</v>
      </c>
    </row>
    <row r="14" spans="1:15">
      <c r="A14" s="14">
        <v>46268</v>
      </c>
      <c r="B14" s="12" t="s">
        <v>45</v>
      </c>
      <c r="C14" s="12" t="s">
        <v>49</v>
      </c>
      <c r="D14" s="12" t="s">
        <v>10</v>
      </c>
      <c r="E14" s="16">
        <v>46289</v>
      </c>
      <c r="F14" s="16">
        <v>46292</v>
      </c>
      <c r="G14" s="16">
        <v>46268</v>
      </c>
      <c r="H14" s="16">
        <v>46281</v>
      </c>
      <c r="I14" s="16">
        <v>46411</v>
      </c>
      <c r="J14" s="17">
        <f t="shared" si="0"/>
        <v>0</v>
      </c>
      <c r="K14" s="17">
        <f t="shared" si="1"/>
        <v>143</v>
      </c>
      <c r="L14" s="12" t="str">
        <f t="shared" si="2"/>
        <v>PASS</v>
      </c>
      <c r="M14" s="12" t="str">
        <f>IF(COUNTIF(LOCAL_REFERENCE!$D14:$O14,E14)+COUNTIF(LOCAL_REFERENCE!$D14:$O14,F14)+COUNTIF(LOCAL_REFERENCE!$D14:$O14,G14)+COUNTIF(LOCAL_REFERENCE!$D14:$O14,H14)+COUNTIF(LOCAL_REFERENCE!$D14:$O14,I14)=0,"PASS","DUPLICATE")</f>
        <v>PASS</v>
      </c>
      <c r="N14" s="12" t="str">
        <f>CRAWL_LOG!B14</f>
        <v>Hoàn thành có lỗi</v>
      </c>
      <c r="O14" s="12" t="s">
        <v>42</v>
      </c>
    </row>
    <row r="15" spans="1:15">
      <c r="A15" s="15">
        <v>46269</v>
      </c>
      <c r="B15" s="13" t="s">
        <v>46</v>
      </c>
      <c r="C15" s="13" t="s">
        <v>49</v>
      </c>
      <c r="D15" s="13" t="s">
        <v>10</v>
      </c>
      <c r="E15" s="16">
        <v>46289</v>
      </c>
      <c r="F15" s="16">
        <v>46292</v>
      </c>
      <c r="G15" s="16">
        <v>46296</v>
      </c>
      <c r="H15" s="16">
        <v>46281</v>
      </c>
      <c r="I15" s="16">
        <v>46411</v>
      </c>
      <c r="J15" s="18">
        <f t="shared" si="0"/>
        <v>12</v>
      </c>
      <c r="K15" s="18">
        <f t="shared" si="1"/>
        <v>142</v>
      </c>
      <c r="L15" s="13" t="str">
        <f t="shared" si="2"/>
        <v>PASS</v>
      </c>
      <c r="M15" s="13" t="str">
        <f>IF(COUNTIF(LOCAL_REFERENCE!$D15:$O15,E15)+COUNTIF(LOCAL_REFERENCE!$D15:$O15,F15)+COUNTIF(LOCAL_REFERENCE!$D15:$O15,G15)+COUNTIF(LOCAL_REFERENCE!$D15:$O15,H15)+COUNTIF(LOCAL_REFERENCE!$D15:$O15,I15)=0,"PASS","DUPLICATE")</f>
        <v>PASS</v>
      </c>
      <c r="N15" s="13" t="str">
        <f>CRAWL_LOG!B15</f>
        <v>Hoàn thành có lỗi</v>
      </c>
      <c r="O15" s="13" t="s">
        <v>42</v>
      </c>
    </row>
    <row r="16" spans="1:15">
      <c r="A16" s="14">
        <v>46270</v>
      </c>
      <c r="B16" s="12" t="s">
        <v>47</v>
      </c>
      <c r="C16" s="12" t="s">
        <v>49</v>
      </c>
      <c r="D16" s="12" t="s">
        <v>10</v>
      </c>
      <c r="E16" s="16">
        <v>46289</v>
      </c>
      <c r="F16" s="16">
        <v>46292</v>
      </c>
      <c r="G16" s="16">
        <v>46296</v>
      </c>
      <c r="H16" s="16">
        <v>46281</v>
      </c>
      <c r="I16" s="16">
        <v>46411</v>
      </c>
      <c r="J16" s="17">
        <f t="shared" si="0"/>
        <v>11</v>
      </c>
      <c r="K16" s="17">
        <f t="shared" si="1"/>
        <v>141</v>
      </c>
      <c r="L16" s="12" t="str">
        <f t="shared" si="2"/>
        <v>PASS</v>
      </c>
      <c r="M16" s="12" t="str">
        <f>IF(COUNTIF(LOCAL_REFERENCE!$D16:$O16,E16)+COUNTIF(LOCAL_REFERENCE!$D16:$O16,F16)+COUNTIF(LOCAL_REFERENCE!$D16:$O16,G16)+COUNTIF(LOCAL_REFERENCE!$D16:$O16,H16)+COUNTIF(LOCAL_REFERENCE!$D16:$O16,I16)=0,"PASS","DUPLICATE")</f>
        <v>PASS</v>
      </c>
      <c r="N16" s="12" t="str">
        <f>CRAWL_LOG!B16</f>
        <v>Hoàn thành có lỗi</v>
      </c>
      <c r="O16" s="12" t="s">
        <v>42</v>
      </c>
    </row>
    <row r="17" spans="1:15">
      <c r="A17" s="15">
        <v>46271</v>
      </c>
      <c r="B17" s="13" t="s">
        <v>48</v>
      </c>
      <c r="C17" s="13" t="s">
        <v>49</v>
      </c>
      <c r="D17" s="13" t="s">
        <v>10</v>
      </c>
      <c r="E17" s="16">
        <v>46289</v>
      </c>
      <c r="F17" s="16">
        <v>46292</v>
      </c>
      <c r="G17" s="16">
        <v>46296</v>
      </c>
      <c r="H17" s="16">
        <v>46281</v>
      </c>
      <c r="I17" s="16">
        <v>46411</v>
      </c>
      <c r="J17" s="18">
        <f t="shared" si="0"/>
        <v>10</v>
      </c>
      <c r="K17" s="18">
        <f t="shared" si="1"/>
        <v>140</v>
      </c>
      <c r="L17" s="13" t="str">
        <f t="shared" si="2"/>
        <v>PASS</v>
      </c>
      <c r="M17" s="13" t="str">
        <f>IF(COUNTIF(LOCAL_REFERENCE!$D17:$O17,E17)+COUNTIF(LOCAL_REFERENCE!$D17:$O17,F17)+COUNTIF(LOCAL_REFERENCE!$D17:$O17,G17)+COUNTIF(LOCAL_REFERENCE!$D17:$O17,H17)+COUNTIF(LOCAL_REFERENCE!$D17:$O17,I17)=0,"PASS","DUPLICATE")</f>
        <v>PASS</v>
      </c>
      <c r="N17" s="13" t="str">
        <f>CRAWL_LOG!B17</f>
        <v>Hoàn thành có lỗi</v>
      </c>
      <c r="O17" s="13" t="s">
        <v>42</v>
      </c>
    </row>
    <row r="18" spans="1:15">
      <c r="A18" s="14">
        <v>46272</v>
      </c>
      <c r="B18" s="12" t="s">
        <v>40</v>
      </c>
      <c r="C18" s="12" t="s">
        <v>49</v>
      </c>
      <c r="D18" s="12" t="s">
        <v>10</v>
      </c>
      <c r="E18" s="16">
        <v>46289</v>
      </c>
      <c r="F18" s="16">
        <v>46292</v>
      </c>
      <c r="G18" s="16">
        <v>46296</v>
      </c>
      <c r="H18" s="16">
        <v>46281</v>
      </c>
      <c r="I18" s="16">
        <v>46411</v>
      </c>
      <c r="J18" s="17">
        <f t="shared" si="0"/>
        <v>9</v>
      </c>
      <c r="K18" s="17">
        <f t="shared" si="1"/>
        <v>139</v>
      </c>
      <c r="L18" s="12" t="str">
        <f t="shared" si="2"/>
        <v>PASS</v>
      </c>
      <c r="M18" s="12" t="str">
        <f>IF(COUNTIF(LOCAL_REFERENCE!$D18:$O18,E18)+COUNTIF(LOCAL_REFERENCE!$D18:$O18,F18)+COUNTIF(LOCAL_REFERENCE!$D18:$O18,G18)+COUNTIF(LOCAL_REFERENCE!$D18:$O18,H18)+COUNTIF(LOCAL_REFERENCE!$D18:$O18,I18)=0,"PASS","DUPLICATE")</f>
        <v>PASS</v>
      </c>
      <c r="N18" s="12" t="str">
        <f>CRAWL_LOG!B18</f>
        <v>Hoàn thành có lỗi</v>
      </c>
      <c r="O18" s="12" t="s">
        <v>42</v>
      </c>
    </row>
    <row r="19" spans="1:15">
      <c r="A19" s="15">
        <v>46273</v>
      </c>
      <c r="B19" s="13" t="s">
        <v>43</v>
      </c>
      <c r="C19" s="13" t="s">
        <v>49</v>
      </c>
      <c r="D19" s="13" t="s">
        <v>10</v>
      </c>
      <c r="E19" s="16">
        <v>46289</v>
      </c>
      <c r="F19" s="16">
        <v>46292</v>
      </c>
      <c r="G19" s="16">
        <v>46296</v>
      </c>
      <c r="H19" s="16">
        <v>46281</v>
      </c>
      <c r="I19" s="16">
        <v>46411</v>
      </c>
      <c r="J19" s="18">
        <f t="shared" si="0"/>
        <v>8</v>
      </c>
      <c r="K19" s="18">
        <f t="shared" si="1"/>
        <v>138</v>
      </c>
      <c r="L19" s="13" t="str">
        <f t="shared" si="2"/>
        <v>PASS</v>
      </c>
      <c r="M19" s="13" t="str">
        <f>IF(COUNTIF(LOCAL_REFERENCE!$D19:$O19,E19)+COUNTIF(LOCAL_REFERENCE!$D19:$O19,F19)+COUNTIF(LOCAL_REFERENCE!$D19:$O19,G19)+COUNTIF(LOCAL_REFERENCE!$D19:$O19,H19)+COUNTIF(LOCAL_REFERENCE!$D19:$O19,I19)=0,"PASS","DUPLICATE")</f>
        <v>PASS</v>
      </c>
      <c r="N19" s="13" t="str">
        <f>CRAWL_LOG!B19</f>
        <v>Hoàn thành có lỗi</v>
      </c>
      <c r="O19" s="13" t="s">
        <v>42</v>
      </c>
    </row>
    <row r="20" spans="1:15">
      <c r="A20" s="14">
        <v>46274</v>
      </c>
      <c r="B20" s="12" t="s">
        <v>44</v>
      </c>
      <c r="C20" s="12" t="s">
        <v>49</v>
      </c>
      <c r="D20" s="12" t="s">
        <v>10</v>
      </c>
      <c r="E20" s="16">
        <v>46289</v>
      </c>
      <c r="F20" s="16">
        <v>46292</v>
      </c>
      <c r="G20" s="16">
        <v>46296</v>
      </c>
      <c r="H20" s="16">
        <v>46281</v>
      </c>
      <c r="I20" s="16">
        <v>46411</v>
      </c>
      <c r="J20" s="17">
        <f t="shared" si="0"/>
        <v>7</v>
      </c>
      <c r="K20" s="17">
        <f t="shared" si="1"/>
        <v>137</v>
      </c>
      <c r="L20" s="12" t="str">
        <f t="shared" si="2"/>
        <v>PASS</v>
      </c>
      <c r="M20" s="12" t="str">
        <f>IF(COUNTIF(LOCAL_REFERENCE!$D20:$O20,E20)+COUNTIF(LOCAL_REFERENCE!$D20:$O20,F20)+COUNTIF(LOCAL_REFERENCE!$D20:$O20,G20)+COUNTIF(LOCAL_REFERENCE!$D20:$O20,H20)+COUNTIF(LOCAL_REFERENCE!$D20:$O20,I20)=0,"PASS","DUPLICATE")</f>
        <v>PASS</v>
      </c>
      <c r="N20" s="12" t="str">
        <f>CRAWL_LOG!B20</f>
        <v>Hoàn thành có lỗi</v>
      </c>
      <c r="O20" s="12" t="s">
        <v>42</v>
      </c>
    </row>
    <row r="21" spans="1:15">
      <c r="A21" s="15">
        <v>46275</v>
      </c>
      <c r="B21" s="13" t="s">
        <v>45</v>
      </c>
      <c r="C21" s="13" t="s">
        <v>49</v>
      </c>
      <c r="D21" s="13" t="s">
        <v>10</v>
      </c>
      <c r="E21" s="16">
        <v>46289</v>
      </c>
      <c r="F21" s="16">
        <v>46292</v>
      </c>
      <c r="G21" s="16">
        <v>46296</v>
      </c>
      <c r="H21" s="16">
        <v>46281</v>
      </c>
      <c r="I21" s="16">
        <v>46411</v>
      </c>
      <c r="J21" s="18">
        <f t="shared" si="0"/>
        <v>6</v>
      </c>
      <c r="K21" s="18">
        <f t="shared" si="1"/>
        <v>136</v>
      </c>
      <c r="L21" s="13" t="str">
        <f t="shared" si="2"/>
        <v>PASS</v>
      </c>
      <c r="M21" s="13" t="str">
        <f>IF(COUNTIF(LOCAL_REFERENCE!$D21:$O21,E21)+COUNTIF(LOCAL_REFERENCE!$D21:$O21,F21)+COUNTIF(LOCAL_REFERENCE!$D21:$O21,G21)+COUNTIF(LOCAL_REFERENCE!$D21:$O21,H21)+COUNTIF(LOCAL_REFERENCE!$D21:$O21,I21)=0,"PASS","DUPLICATE")</f>
        <v>PASS</v>
      </c>
      <c r="N21" s="13" t="str">
        <f>CRAWL_LOG!B21</f>
        <v>Hoàn thành có lỗi</v>
      </c>
      <c r="O21" s="13" t="s">
        <v>42</v>
      </c>
    </row>
    <row r="22" spans="1:15">
      <c r="A22" s="14">
        <v>46276</v>
      </c>
      <c r="B22" s="12" t="s">
        <v>46</v>
      </c>
      <c r="C22" s="12" t="s">
        <v>49</v>
      </c>
      <c r="D22" s="12" t="s">
        <v>10</v>
      </c>
      <c r="E22" s="16">
        <v>46289</v>
      </c>
      <c r="F22" s="16">
        <v>46292</v>
      </c>
      <c r="G22" s="16">
        <v>46296</v>
      </c>
      <c r="H22" s="16">
        <v>46281</v>
      </c>
      <c r="I22" s="16">
        <v>46411</v>
      </c>
      <c r="J22" s="17">
        <f t="shared" si="0"/>
        <v>5</v>
      </c>
      <c r="K22" s="17">
        <f t="shared" si="1"/>
        <v>135</v>
      </c>
      <c r="L22" s="12" t="str">
        <f t="shared" si="2"/>
        <v>PASS</v>
      </c>
      <c r="M22" s="12" t="str">
        <f>IF(COUNTIF(LOCAL_REFERENCE!$D22:$O22,E22)+COUNTIF(LOCAL_REFERENCE!$D22:$O22,F22)+COUNTIF(LOCAL_REFERENCE!$D22:$O22,G22)+COUNTIF(LOCAL_REFERENCE!$D22:$O22,H22)+COUNTIF(LOCAL_REFERENCE!$D22:$O22,I22)=0,"PASS","DUPLICATE")</f>
        <v>PASS</v>
      </c>
      <c r="N22" s="12" t="str">
        <f>CRAWL_LOG!B22</f>
        <v>Hoàn thành có lỗi</v>
      </c>
      <c r="O22" s="12" t="s">
        <v>42</v>
      </c>
    </row>
    <row r="23" spans="1:15">
      <c r="A23" s="15">
        <v>46277</v>
      </c>
      <c r="B23" s="13" t="s">
        <v>47</v>
      </c>
      <c r="C23" s="13" t="s">
        <v>49</v>
      </c>
      <c r="D23" s="13" t="s">
        <v>10</v>
      </c>
      <c r="E23" s="16">
        <v>46289</v>
      </c>
      <c r="F23" s="16">
        <v>46292</v>
      </c>
      <c r="G23" s="16">
        <v>46296</v>
      </c>
      <c r="H23" s="16">
        <v>46281</v>
      </c>
      <c r="I23" s="16">
        <v>46411</v>
      </c>
      <c r="J23" s="18">
        <f t="shared" si="0"/>
        <v>4</v>
      </c>
      <c r="K23" s="18">
        <f t="shared" si="1"/>
        <v>134</v>
      </c>
      <c r="L23" s="13" t="str">
        <f t="shared" si="2"/>
        <v>PASS</v>
      </c>
      <c r="M23" s="13" t="str">
        <f>IF(COUNTIF(LOCAL_REFERENCE!$D23:$O23,E23)+COUNTIF(LOCAL_REFERENCE!$D23:$O23,F23)+COUNTIF(LOCAL_REFERENCE!$D23:$O23,G23)+COUNTIF(LOCAL_REFERENCE!$D23:$O23,H23)+COUNTIF(LOCAL_REFERENCE!$D23:$O23,I23)=0,"PASS","DUPLICATE")</f>
        <v>PASS</v>
      </c>
      <c r="N23" s="13" t="str">
        <f>CRAWL_LOG!B23</f>
        <v>Hoàn thành có lỗi</v>
      </c>
      <c r="O23" s="13" t="s">
        <v>42</v>
      </c>
    </row>
    <row r="24" spans="1:15">
      <c r="A24" s="14">
        <v>46278</v>
      </c>
      <c r="B24" s="12" t="s">
        <v>48</v>
      </c>
      <c r="C24" s="12" t="s">
        <v>49</v>
      </c>
      <c r="D24" s="12" t="s">
        <v>10</v>
      </c>
      <c r="E24" s="16">
        <v>46289</v>
      </c>
      <c r="F24" s="16">
        <v>46292</v>
      </c>
      <c r="G24" s="16">
        <v>46296</v>
      </c>
      <c r="H24" s="16">
        <v>46281</v>
      </c>
      <c r="I24" s="16">
        <v>46411</v>
      </c>
      <c r="J24" s="17">
        <f t="shared" si="0"/>
        <v>3</v>
      </c>
      <c r="K24" s="17">
        <f t="shared" si="1"/>
        <v>133</v>
      </c>
      <c r="L24" s="12" t="str">
        <f t="shared" si="2"/>
        <v>PASS</v>
      </c>
      <c r="M24" s="12" t="str">
        <f>IF(COUNTIF(LOCAL_REFERENCE!$D24:$O24,E24)+COUNTIF(LOCAL_REFERENCE!$D24:$O24,F24)+COUNTIF(LOCAL_REFERENCE!$D24:$O24,G24)+COUNTIF(LOCAL_REFERENCE!$D24:$O24,H24)+COUNTIF(LOCAL_REFERENCE!$D24:$O24,I24)=0,"PASS","DUPLICATE")</f>
        <v>PASS</v>
      </c>
      <c r="N24" s="12" t="str">
        <f>CRAWL_LOG!B24</f>
        <v>Hoàn thành có lỗi</v>
      </c>
      <c r="O24" s="12" t="s">
        <v>42</v>
      </c>
    </row>
    <row r="25" spans="1:15">
      <c r="A25" s="15">
        <v>46279</v>
      </c>
      <c r="B25" s="13" t="s">
        <v>40</v>
      </c>
      <c r="C25" s="13" t="s">
        <v>49</v>
      </c>
      <c r="D25" s="13" t="s">
        <v>10</v>
      </c>
      <c r="E25" s="16">
        <v>46289</v>
      </c>
      <c r="F25" s="16">
        <v>46292</v>
      </c>
      <c r="G25" s="16">
        <v>46296</v>
      </c>
      <c r="H25" s="16">
        <v>46281</v>
      </c>
      <c r="I25" s="16">
        <v>46411</v>
      </c>
      <c r="J25" s="18">
        <f t="shared" si="0"/>
        <v>2</v>
      </c>
      <c r="K25" s="18">
        <f t="shared" si="1"/>
        <v>132</v>
      </c>
      <c r="L25" s="13" t="str">
        <f t="shared" si="2"/>
        <v>PASS</v>
      </c>
      <c r="M25" s="13" t="str">
        <f>IF(COUNTIF(LOCAL_REFERENCE!$D25:$O25,E25)+COUNTIF(LOCAL_REFERENCE!$D25:$O25,F25)+COUNTIF(LOCAL_REFERENCE!$D25:$O25,G25)+COUNTIF(LOCAL_REFERENCE!$D25:$O25,H25)+COUNTIF(LOCAL_REFERENCE!$D25:$O25,I25)=0,"PASS","DUPLICATE")</f>
        <v>PASS</v>
      </c>
      <c r="N25" s="13" t="str">
        <f>CRAWL_LOG!B25</f>
        <v>Hoàn thành có lỗi</v>
      </c>
      <c r="O25" s="13" t="s">
        <v>42</v>
      </c>
    </row>
    <row r="26" spans="1:15">
      <c r="A26" s="14">
        <v>46280</v>
      </c>
      <c r="B26" s="12" t="s">
        <v>43</v>
      </c>
      <c r="C26" s="12" t="s">
        <v>49</v>
      </c>
      <c r="D26" s="12" t="s">
        <v>10</v>
      </c>
      <c r="E26" s="16">
        <v>46289</v>
      </c>
      <c r="F26" s="16">
        <v>46292</v>
      </c>
      <c r="G26" s="16">
        <v>46296</v>
      </c>
      <c r="H26" s="16">
        <v>46281</v>
      </c>
      <c r="I26" s="16">
        <v>46411</v>
      </c>
      <c r="J26" s="17">
        <f t="shared" si="0"/>
        <v>1</v>
      </c>
      <c r="K26" s="17">
        <f t="shared" si="1"/>
        <v>131</v>
      </c>
      <c r="L26" s="12" t="str">
        <f t="shared" si="2"/>
        <v>PASS</v>
      </c>
      <c r="M26" s="12" t="str">
        <f>IF(COUNTIF(LOCAL_REFERENCE!$D26:$O26,E26)+COUNTIF(LOCAL_REFERENCE!$D26:$O26,F26)+COUNTIF(LOCAL_REFERENCE!$D26:$O26,G26)+COUNTIF(LOCAL_REFERENCE!$D26:$O26,H26)+COUNTIF(LOCAL_REFERENCE!$D26:$O26,I26)=0,"PASS","DUPLICATE")</f>
        <v>PASS</v>
      </c>
      <c r="N26" s="12" t="str">
        <f>CRAWL_LOG!B26</f>
        <v>Hoàn thành có lỗi</v>
      </c>
      <c r="O26" s="12" t="s">
        <v>42</v>
      </c>
    </row>
    <row r="27" spans="1:15">
      <c r="A27" s="15">
        <v>46281</v>
      </c>
      <c r="B27" s="13" t="s">
        <v>44</v>
      </c>
      <c r="C27" s="13" t="s">
        <v>49</v>
      </c>
      <c r="D27" s="13" t="s">
        <v>10</v>
      </c>
      <c r="E27" s="16">
        <v>46289</v>
      </c>
      <c r="F27" s="16">
        <v>46292</v>
      </c>
      <c r="G27" s="16">
        <v>46296</v>
      </c>
      <c r="H27" s="16">
        <v>46281</v>
      </c>
      <c r="I27" s="16">
        <v>46411</v>
      </c>
      <c r="J27" s="18">
        <f t="shared" si="0"/>
        <v>0</v>
      </c>
      <c r="K27" s="18">
        <f t="shared" si="1"/>
        <v>130</v>
      </c>
      <c r="L27" s="13" t="str">
        <f t="shared" si="2"/>
        <v>PASS</v>
      </c>
      <c r="M27" s="13" t="str">
        <f>IF(COUNTIF(LOCAL_REFERENCE!$D27:$O27,E27)+COUNTIF(LOCAL_REFERENCE!$D27:$O27,F27)+COUNTIF(LOCAL_REFERENCE!$D27:$O27,G27)+COUNTIF(LOCAL_REFERENCE!$D27:$O27,H27)+COUNTIF(LOCAL_REFERENCE!$D27:$O27,I27)=0,"PASS","DUPLICATE")</f>
        <v>PASS</v>
      </c>
      <c r="N27" s="13" t="str">
        <f>CRAWL_LOG!B27</f>
        <v>Hoàn thành có lỗi</v>
      </c>
      <c r="O27" s="13" t="s">
        <v>42</v>
      </c>
    </row>
    <row r="28" spans="1:15">
      <c r="A28" s="14">
        <v>46282</v>
      </c>
      <c r="B28" s="12" t="s">
        <v>45</v>
      </c>
      <c r="C28" s="12" t="s">
        <v>49</v>
      </c>
      <c r="D28" s="12" t="s">
        <v>10</v>
      </c>
      <c r="E28" s="16">
        <v>46289</v>
      </c>
      <c r="F28" s="16">
        <v>46292</v>
      </c>
      <c r="G28" s="16">
        <v>46296</v>
      </c>
      <c r="H28" s="16">
        <v>46309</v>
      </c>
      <c r="I28" s="16">
        <v>46411</v>
      </c>
      <c r="J28" s="17">
        <f t="shared" si="0"/>
        <v>7</v>
      </c>
      <c r="K28" s="17">
        <f t="shared" si="1"/>
        <v>129</v>
      </c>
      <c r="L28" s="12" t="str">
        <f t="shared" si="2"/>
        <v>PASS</v>
      </c>
      <c r="M28" s="12" t="str">
        <f>IF(COUNTIF(LOCAL_REFERENCE!$D28:$O28,E28)+COUNTIF(LOCAL_REFERENCE!$D28:$O28,F28)+COUNTIF(LOCAL_REFERENCE!$D28:$O28,G28)+COUNTIF(LOCAL_REFERENCE!$D28:$O28,H28)+COUNTIF(LOCAL_REFERENCE!$D28:$O28,I28)=0,"PASS","DUPLICATE")</f>
        <v>PASS</v>
      </c>
      <c r="N28" s="12" t="str">
        <f>CRAWL_LOG!B28</f>
        <v>Hoàn thành có lỗi</v>
      </c>
      <c r="O28" s="12" t="s">
        <v>42</v>
      </c>
    </row>
    <row r="29" spans="1:15">
      <c r="A29" s="15">
        <v>46283</v>
      </c>
      <c r="B29" s="13" t="s">
        <v>46</v>
      </c>
      <c r="C29" s="13" t="s">
        <v>49</v>
      </c>
      <c r="D29" s="13" t="s">
        <v>10</v>
      </c>
      <c r="E29" s="16">
        <v>46289</v>
      </c>
      <c r="F29" s="16">
        <v>46292</v>
      </c>
      <c r="G29" s="16">
        <v>46296</v>
      </c>
      <c r="H29" s="16">
        <v>46309</v>
      </c>
      <c r="I29" s="16">
        <v>46411</v>
      </c>
      <c r="J29" s="18">
        <f t="shared" si="0"/>
        <v>6</v>
      </c>
      <c r="K29" s="18">
        <f t="shared" si="1"/>
        <v>128</v>
      </c>
      <c r="L29" s="13" t="str">
        <f t="shared" si="2"/>
        <v>PASS</v>
      </c>
      <c r="M29" s="13" t="str">
        <f>IF(COUNTIF(LOCAL_REFERENCE!$D29:$O29,E29)+COUNTIF(LOCAL_REFERENCE!$D29:$O29,F29)+COUNTIF(LOCAL_REFERENCE!$D29:$O29,G29)+COUNTIF(LOCAL_REFERENCE!$D29:$O29,H29)+COUNTIF(LOCAL_REFERENCE!$D29:$O29,I29)=0,"PASS","DUPLICATE")</f>
        <v>PASS</v>
      </c>
      <c r="N29" s="13" t="str">
        <f>CRAWL_LOG!B29</f>
        <v>Hoàn thành có lỗi</v>
      </c>
      <c r="O29" s="13" t="s">
        <v>42</v>
      </c>
    </row>
    <row r="30" spans="1:15">
      <c r="A30" s="14">
        <v>46284</v>
      </c>
      <c r="B30" s="12" t="s">
        <v>47</v>
      </c>
      <c r="C30" s="12" t="s">
        <v>49</v>
      </c>
      <c r="D30" s="12" t="s">
        <v>10</v>
      </c>
      <c r="E30" s="16">
        <v>46289</v>
      </c>
      <c r="F30" s="16">
        <v>46292</v>
      </c>
      <c r="G30" s="16">
        <v>46296</v>
      </c>
      <c r="H30" s="16">
        <v>46309</v>
      </c>
      <c r="I30" s="16">
        <v>46411</v>
      </c>
      <c r="J30" s="17">
        <f t="shared" si="0"/>
        <v>5</v>
      </c>
      <c r="K30" s="17">
        <f t="shared" si="1"/>
        <v>127</v>
      </c>
      <c r="L30" s="12" t="str">
        <f t="shared" si="2"/>
        <v>PASS</v>
      </c>
      <c r="M30" s="12" t="str">
        <f>IF(COUNTIF(LOCAL_REFERENCE!$D30:$O30,E30)+COUNTIF(LOCAL_REFERENCE!$D30:$O30,F30)+COUNTIF(LOCAL_REFERENCE!$D30:$O30,G30)+COUNTIF(LOCAL_REFERENCE!$D30:$O30,H30)+COUNTIF(LOCAL_REFERENCE!$D30:$O30,I30)=0,"PASS","DUPLICATE")</f>
        <v>PASS</v>
      </c>
      <c r="N30" s="12" t="str">
        <f>CRAWL_LOG!B30</f>
        <v>Hoàn thành có lỗi</v>
      </c>
      <c r="O30" s="12" t="s">
        <v>42</v>
      </c>
    </row>
    <row r="31" spans="1:15">
      <c r="A31" s="15">
        <v>46285</v>
      </c>
      <c r="B31" s="13" t="s">
        <v>48</v>
      </c>
      <c r="C31" s="13" t="s">
        <v>49</v>
      </c>
      <c r="D31" s="13" t="s">
        <v>10</v>
      </c>
      <c r="E31" s="16">
        <v>46289</v>
      </c>
      <c r="F31" s="16">
        <v>46292</v>
      </c>
      <c r="G31" s="16">
        <v>46296</v>
      </c>
      <c r="H31" s="16">
        <v>46309</v>
      </c>
      <c r="I31" s="16">
        <v>46411</v>
      </c>
      <c r="J31" s="18">
        <f t="shared" si="0"/>
        <v>4</v>
      </c>
      <c r="K31" s="18">
        <f t="shared" si="1"/>
        <v>126</v>
      </c>
      <c r="L31" s="13" t="str">
        <f t="shared" si="2"/>
        <v>PASS</v>
      </c>
      <c r="M31" s="13" t="str">
        <f>IF(COUNTIF(LOCAL_REFERENCE!$D31:$O31,E31)+COUNTIF(LOCAL_REFERENCE!$D31:$O31,F31)+COUNTIF(LOCAL_REFERENCE!$D31:$O31,G31)+COUNTIF(LOCAL_REFERENCE!$D31:$O31,H31)+COUNTIF(LOCAL_REFERENCE!$D31:$O31,I31)=0,"PASS","DUPLICATE")</f>
        <v>PASS</v>
      </c>
      <c r="N31" s="13" t="str">
        <f>CRAWL_LOG!B31</f>
        <v>Thất bại</v>
      </c>
      <c r="O31" s="13" t="s">
        <v>42</v>
      </c>
    </row>
    <row r="32" spans="1:15">
      <c r="A32" s="14">
        <v>46286</v>
      </c>
      <c r="B32" s="12" t="s">
        <v>40</v>
      </c>
      <c r="C32" s="12" t="s">
        <v>49</v>
      </c>
      <c r="D32" s="12" t="s">
        <v>10</v>
      </c>
      <c r="E32" s="16">
        <v>46289</v>
      </c>
      <c r="F32" s="16">
        <v>46292</v>
      </c>
      <c r="G32" s="16">
        <v>46296</v>
      </c>
      <c r="H32" s="16">
        <v>46309</v>
      </c>
      <c r="I32" s="16">
        <v>46411</v>
      </c>
      <c r="J32" s="17">
        <f t="shared" si="0"/>
        <v>3</v>
      </c>
      <c r="K32" s="17">
        <f t="shared" si="1"/>
        <v>125</v>
      </c>
      <c r="L32" s="12" t="str">
        <f t="shared" si="2"/>
        <v>PASS</v>
      </c>
      <c r="M32" s="12" t="str">
        <f>IF(COUNTIF(LOCAL_REFERENCE!$D32:$O32,E32)+COUNTIF(LOCAL_REFERENCE!$D32:$O32,F32)+COUNTIF(LOCAL_REFERENCE!$D32:$O32,G32)+COUNTIF(LOCAL_REFERENCE!$D32:$O32,H32)+COUNTIF(LOCAL_REFERENCE!$D32:$O32,I32)=0,"PASS","DUPLICATE")</f>
        <v>PASS</v>
      </c>
      <c r="N32" s="12" t="str">
        <f>CRAWL_LOG!B32</f>
        <v>Hoàn thành có lỗi</v>
      </c>
      <c r="O32" s="12" t="s">
        <v>42</v>
      </c>
    </row>
    <row r="33" spans="1:15">
      <c r="A33" s="15">
        <v>46287</v>
      </c>
      <c r="B33" s="13" t="s">
        <v>43</v>
      </c>
      <c r="C33" s="13" t="s">
        <v>49</v>
      </c>
      <c r="D33" s="13" t="s">
        <v>10</v>
      </c>
      <c r="E33" s="16">
        <v>46289</v>
      </c>
      <c r="F33" s="16">
        <v>46292</v>
      </c>
      <c r="G33" s="16">
        <v>46296</v>
      </c>
      <c r="H33" s="16">
        <v>46309</v>
      </c>
      <c r="I33" s="16">
        <v>46411</v>
      </c>
      <c r="J33" s="18">
        <f t="shared" si="0"/>
        <v>2</v>
      </c>
      <c r="K33" s="18">
        <f t="shared" si="1"/>
        <v>124</v>
      </c>
      <c r="L33" s="13" t="str">
        <f t="shared" si="2"/>
        <v>PASS</v>
      </c>
      <c r="M33" s="13" t="str">
        <f>IF(COUNTIF(LOCAL_REFERENCE!$D33:$O33,E33)+COUNTIF(LOCAL_REFERENCE!$D33:$O33,F33)+COUNTIF(LOCAL_REFERENCE!$D33:$O33,G33)+COUNTIF(LOCAL_REFERENCE!$D33:$O33,H33)+COUNTIF(LOCAL_REFERENCE!$D33:$O33,I33)=0,"PASS","DUPLICATE")</f>
        <v>PASS</v>
      </c>
      <c r="N33" s="13" t="str">
        <f>CRAWL_LOG!B33</f>
        <v>Hoàn thành có lỗi</v>
      </c>
      <c r="O33" s="13" t="s">
        <v>42</v>
      </c>
    </row>
    <row r="34" spans="1:15">
      <c r="A34" s="14">
        <v>46288</v>
      </c>
      <c r="B34" s="12" t="s">
        <v>44</v>
      </c>
      <c r="C34" s="12" t="s">
        <v>49</v>
      </c>
      <c r="D34" s="12" t="s">
        <v>10</v>
      </c>
      <c r="E34" s="16">
        <v>46289</v>
      </c>
      <c r="F34" s="16">
        <v>46292</v>
      </c>
      <c r="G34" s="16">
        <v>46296</v>
      </c>
      <c r="H34" s="16">
        <v>46309</v>
      </c>
      <c r="I34" s="16">
        <v>46411</v>
      </c>
      <c r="J34" s="17">
        <f t="shared" si="0"/>
        <v>1</v>
      </c>
      <c r="K34" s="17">
        <f t="shared" si="1"/>
        <v>123</v>
      </c>
      <c r="L34" s="12" t="str">
        <f t="shared" si="2"/>
        <v>PASS</v>
      </c>
      <c r="M34" s="12" t="str">
        <f>IF(COUNTIF(LOCAL_REFERENCE!$D34:$O34,E34)+COUNTIF(LOCAL_REFERENCE!$D34:$O34,F34)+COUNTIF(LOCAL_REFERENCE!$D34:$O34,G34)+COUNTIF(LOCAL_REFERENCE!$D34:$O34,H34)+COUNTIF(LOCAL_REFERENCE!$D34:$O34,I34)=0,"PASS","DUPLICATE")</f>
        <v>PASS</v>
      </c>
      <c r="N34" s="12" t="str">
        <f>CRAWL_LOG!B34</f>
        <v>Hoàn thành có lỗi</v>
      </c>
      <c r="O34" s="12" t="s">
        <v>42</v>
      </c>
    </row>
    <row r="35" spans="1:15">
      <c r="A35" s="15">
        <v>46289</v>
      </c>
      <c r="B35" s="13" t="s">
        <v>45</v>
      </c>
      <c r="C35" s="13" t="s">
        <v>49</v>
      </c>
      <c r="D35" s="13" t="s">
        <v>10</v>
      </c>
      <c r="E35" s="16">
        <v>46289</v>
      </c>
      <c r="F35" s="16">
        <v>46292</v>
      </c>
      <c r="G35" s="16">
        <v>46296</v>
      </c>
      <c r="H35" s="16">
        <v>46309</v>
      </c>
      <c r="I35" s="16">
        <v>46411</v>
      </c>
      <c r="J35" s="18">
        <f t="shared" si="0"/>
        <v>0</v>
      </c>
      <c r="K35" s="18">
        <f t="shared" si="1"/>
        <v>122</v>
      </c>
      <c r="L35" s="13" t="str">
        <f t="shared" si="2"/>
        <v>PASS</v>
      </c>
      <c r="M35" s="13" t="str">
        <f>IF(COUNTIF(LOCAL_REFERENCE!$D35:$O35,E35)+COUNTIF(LOCAL_REFERENCE!$D35:$O35,F35)+COUNTIF(LOCAL_REFERENCE!$D35:$O35,G35)+COUNTIF(LOCAL_REFERENCE!$D35:$O35,H35)+COUNTIF(LOCAL_REFERENCE!$D35:$O35,I35)=0,"PASS","DUPLICATE")</f>
        <v>PASS</v>
      </c>
      <c r="N35" s="13" t="str">
        <f>CRAWL_LOG!B35</f>
        <v>Hoàn thành có lỗi</v>
      </c>
      <c r="O35" s="13" t="s">
        <v>42</v>
      </c>
    </row>
    <row r="36" spans="1:15">
      <c r="A36" s="14">
        <v>46290</v>
      </c>
      <c r="B36" s="12" t="s">
        <v>46</v>
      </c>
      <c r="C36" s="12" t="s">
        <v>49</v>
      </c>
      <c r="D36" s="12" t="s">
        <v>10</v>
      </c>
      <c r="E36" s="16">
        <v>46317</v>
      </c>
      <c r="F36" s="16">
        <v>46292</v>
      </c>
      <c r="G36" s="16">
        <v>46296</v>
      </c>
      <c r="H36" s="16">
        <v>46309</v>
      </c>
      <c r="I36" s="16">
        <v>46411</v>
      </c>
      <c r="J36" s="17">
        <f t="shared" ref="J36:J67" si="3">MIN(E36:I36)-A36</f>
        <v>2</v>
      </c>
      <c r="K36" s="17">
        <f t="shared" ref="K36:K67" si="4">MAX(E36:I36)-A36</f>
        <v>121</v>
      </c>
      <c r="L36" s="12" t="str">
        <f t="shared" ref="L36:L67" si="5">IF(AND(COUNT(E36:I36)=5,MIN(E36:I36)&gt;=A36,E36&lt;&gt;F36,E36&lt;&gt;G36,E36&lt;&gt;H36,E36&lt;&gt;I36,F36&lt;&gt;G36,F36&lt;&gt;H36,F36&lt;&gt;I36,G36&lt;&gt;H36,G36&lt;&gt;I36,H36&lt;&gt;I36),"PASS","CHECK")</f>
        <v>PASS</v>
      </c>
      <c r="M36" s="12" t="str">
        <f>IF(COUNTIF(LOCAL_REFERENCE!$D36:$O36,E36)+COUNTIF(LOCAL_REFERENCE!$D36:$O36,F36)+COUNTIF(LOCAL_REFERENCE!$D36:$O36,G36)+COUNTIF(LOCAL_REFERENCE!$D36:$O36,H36)+COUNTIF(LOCAL_REFERENCE!$D36:$O36,I36)=0,"PASS","DUPLICATE")</f>
        <v>PASS</v>
      </c>
      <c r="N36" s="12" t="str">
        <f>CRAWL_LOG!B36</f>
        <v>Hoàn thành có lỗi</v>
      </c>
      <c r="O36" s="12" t="s">
        <v>42</v>
      </c>
    </row>
    <row r="37" spans="1:15">
      <c r="A37" s="15">
        <v>46291</v>
      </c>
      <c r="B37" s="13" t="s">
        <v>47</v>
      </c>
      <c r="C37" s="13" t="s">
        <v>49</v>
      </c>
      <c r="D37" s="13" t="s">
        <v>10</v>
      </c>
      <c r="E37" s="16">
        <v>46317</v>
      </c>
      <c r="F37" s="16">
        <v>46292</v>
      </c>
      <c r="G37" s="16">
        <v>46296</v>
      </c>
      <c r="H37" s="16">
        <v>46309</v>
      </c>
      <c r="I37" s="16">
        <v>46411</v>
      </c>
      <c r="J37" s="18">
        <f t="shared" si="3"/>
        <v>1</v>
      </c>
      <c r="K37" s="18">
        <f t="shared" si="4"/>
        <v>120</v>
      </c>
      <c r="L37" s="13" t="str">
        <f t="shared" si="5"/>
        <v>PASS</v>
      </c>
      <c r="M37" s="13" t="str">
        <f>IF(COUNTIF(LOCAL_REFERENCE!$D37:$O37,E37)+COUNTIF(LOCAL_REFERENCE!$D37:$O37,F37)+COUNTIF(LOCAL_REFERENCE!$D37:$O37,G37)+COUNTIF(LOCAL_REFERENCE!$D37:$O37,H37)+COUNTIF(LOCAL_REFERENCE!$D37:$O37,I37)=0,"PASS","DUPLICATE")</f>
        <v>PASS</v>
      </c>
      <c r="N37" s="13" t="str">
        <f>CRAWL_LOG!B37</f>
        <v>Hoàn thành có lỗi</v>
      </c>
      <c r="O37" s="13" t="s">
        <v>42</v>
      </c>
    </row>
    <row r="38" spans="1:15">
      <c r="A38" s="14">
        <v>46292</v>
      </c>
      <c r="B38" s="12" t="s">
        <v>48</v>
      </c>
      <c r="C38" s="12" t="s">
        <v>49</v>
      </c>
      <c r="D38" s="12" t="s">
        <v>10</v>
      </c>
      <c r="E38" s="16">
        <v>46317</v>
      </c>
      <c r="F38" s="16">
        <v>46292</v>
      </c>
      <c r="G38" s="16">
        <v>46296</v>
      </c>
      <c r="H38" s="16">
        <v>46309</v>
      </c>
      <c r="I38" s="16">
        <v>46411</v>
      </c>
      <c r="J38" s="17">
        <f t="shared" si="3"/>
        <v>0</v>
      </c>
      <c r="K38" s="17">
        <f t="shared" si="4"/>
        <v>119</v>
      </c>
      <c r="L38" s="12" t="str">
        <f t="shared" si="5"/>
        <v>PASS</v>
      </c>
      <c r="M38" s="12" t="str">
        <f>IF(COUNTIF(LOCAL_REFERENCE!$D38:$O38,E38)+COUNTIF(LOCAL_REFERENCE!$D38:$O38,F38)+COUNTIF(LOCAL_REFERENCE!$D38:$O38,G38)+COUNTIF(LOCAL_REFERENCE!$D38:$O38,H38)+COUNTIF(LOCAL_REFERENCE!$D38:$O38,I38)=0,"PASS","DUPLICATE")</f>
        <v>PASS</v>
      </c>
      <c r="N38" s="12" t="str">
        <f>CRAWL_LOG!B38</f>
        <v>Hoàn thành có lỗi</v>
      </c>
      <c r="O38" s="12" t="s">
        <v>42</v>
      </c>
    </row>
    <row r="39" spans="1:15">
      <c r="A39" s="15">
        <v>46293</v>
      </c>
      <c r="B39" s="13" t="s">
        <v>40</v>
      </c>
      <c r="C39" s="13" t="s">
        <v>49</v>
      </c>
      <c r="D39" s="13" t="s">
        <v>10</v>
      </c>
      <c r="E39" s="16">
        <v>46317</v>
      </c>
      <c r="F39" s="16">
        <v>46320</v>
      </c>
      <c r="G39" s="16">
        <v>46296</v>
      </c>
      <c r="H39" s="16">
        <v>46309</v>
      </c>
      <c r="I39" s="16">
        <v>46411</v>
      </c>
      <c r="J39" s="18">
        <f t="shared" si="3"/>
        <v>3</v>
      </c>
      <c r="K39" s="18">
        <f t="shared" si="4"/>
        <v>118</v>
      </c>
      <c r="L39" s="13" t="str">
        <f t="shared" si="5"/>
        <v>PASS</v>
      </c>
      <c r="M39" s="13" t="str">
        <f>IF(COUNTIF(LOCAL_REFERENCE!$D39:$O39,E39)+COUNTIF(LOCAL_REFERENCE!$D39:$O39,F39)+COUNTIF(LOCAL_REFERENCE!$D39:$O39,G39)+COUNTIF(LOCAL_REFERENCE!$D39:$O39,H39)+COUNTIF(LOCAL_REFERENCE!$D39:$O39,I39)=0,"PASS","DUPLICATE")</f>
        <v>PASS</v>
      </c>
      <c r="N39" s="13" t="str">
        <f>CRAWL_LOG!B39</f>
        <v>Hoàn thành có lỗi</v>
      </c>
      <c r="O39" s="13" t="s">
        <v>42</v>
      </c>
    </row>
    <row r="40" spans="1:15">
      <c r="A40" s="14">
        <v>46294</v>
      </c>
      <c r="B40" s="12" t="s">
        <v>43</v>
      </c>
      <c r="C40" s="12" t="s">
        <v>49</v>
      </c>
      <c r="D40" s="12" t="s">
        <v>10</v>
      </c>
      <c r="E40" s="16">
        <v>46317</v>
      </c>
      <c r="F40" s="16">
        <v>46320</v>
      </c>
      <c r="G40" s="16">
        <v>46296</v>
      </c>
      <c r="H40" s="16">
        <v>46309</v>
      </c>
      <c r="I40" s="16">
        <v>46411</v>
      </c>
      <c r="J40" s="17">
        <f t="shared" si="3"/>
        <v>2</v>
      </c>
      <c r="K40" s="17">
        <f t="shared" si="4"/>
        <v>117</v>
      </c>
      <c r="L40" s="12" t="str">
        <f t="shared" si="5"/>
        <v>PASS</v>
      </c>
      <c r="M40" s="12" t="str">
        <f>IF(COUNTIF(LOCAL_REFERENCE!$D40:$O40,E40)+COUNTIF(LOCAL_REFERENCE!$D40:$O40,F40)+COUNTIF(LOCAL_REFERENCE!$D40:$O40,G40)+COUNTIF(LOCAL_REFERENCE!$D40:$O40,H40)+COUNTIF(LOCAL_REFERENCE!$D40:$O40,I40)=0,"PASS","DUPLICATE")</f>
        <v>PASS</v>
      </c>
      <c r="N40" s="12" t="str">
        <f>CRAWL_LOG!B40</f>
        <v>Hoàn thành có lỗi</v>
      </c>
      <c r="O40" s="12" t="s">
        <v>42</v>
      </c>
    </row>
    <row r="41" spans="1:15">
      <c r="A41" s="15">
        <v>46295</v>
      </c>
      <c r="B41" s="13" t="s">
        <v>44</v>
      </c>
      <c r="C41" s="13" t="s">
        <v>49</v>
      </c>
      <c r="D41" s="13" t="s">
        <v>10</v>
      </c>
      <c r="E41" s="16">
        <v>46317</v>
      </c>
      <c r="F41" s="16">
        <v>46320</v>
      </c>
      <c r="G41" s="16">
        <v>46296</v>
      </c>
      <c r="H41" s="16">
        <v>46309</v>
      </c>
      <c r="I41" s="16">
        <v>46411</v>
      </c>
      <c r="J41" s="18">
        <f t="shared" si="3"/>
        <v>1</v>
      </c>
      <c r="K41" s="18">
        <f t="shared" si="4"/>
        <v>116</v>
      </c>
      <c r="L41" s="13" t="str">
        <f t="shared" si="5"/>
        <v>PASS</v>
      </c>
      <c r="M41" s="13" t="str">
        <f>IF(COUNTIF(LOCAL_REFERENCE!$D41:$O41,E41)+COUNTIF(LOCAL_REFERENCE!$D41:$O41,F41)+COUNTIF(LOCAL_REFERENCE!$D41:$O41,G41)+COUNTIF(LOCAL_REFERENCE!$D41:$O41,H41)+COUNTIF(LOCAL_REFERENCE!$D41:$O41,I41)=0,"PASS","DUPLICATE")</f>
        <v>PASS</v>
      </c>
      <c r="N41" s="13" t="str">
        <f>CRAWL_LOG!B41</f>
        <v>Hoàn thành có lỗi</v>
      </c>
      <c r="O41" s="13" t="s">
        <v>42</v>
      </c>
    </row>
    <row r="42" spans="1:15">
      <c r="A42" s="14">
        <v>46296</v>
      </c>
      <c r="B42" s="12" t="s">
        <v>45</v>
      </c>
      <c r="C42" s="12" t="s">
        <v>49</v>
      </c>
      <c r="D42" s="12" t="s">
        <v>10</v>
      </c>
      <c r="E42" s="16">
        <v>46317</v>
      </c>
      <c r="F42" s="16">
        <v>46320</v>
      </c>
      <c r="G42" s="16">
        <v>46296</v>
      </c>
      <c r="H42" s="16">
        <v>46309</v>
      </c>
      <c r="I42" s="16">
        <v>46411</v>
      </c>
      <c r="J42" s="17">
        <f t="shared" si="3"/>
        <v>0</v>
      </c>
      <c r="K42" s="17">
        <f t="shared" si="4"/>
        <v>115</v>
      </c>
      <c r="L42" s="12" t="str">
        <f t="shared" si="5"/>
        <v>PASS</v>
      </c>
      <c r="M42" s="12" t="str">
        <f>IF(COUNTIF(LOCAL_REFERENCE!$D42:$O42,E42)+COUNTIF(LOCAL_REFERENCE!$D42:$O42,F42)+COUNTIF(LOCAL_REFERENCE!$D42:$O42,G42)+COUNTIF(LOCAL_REFERENCE!$D42:$O42,H42)+COUNTIF(LOCAL_REFERENCE!$D42:$O42,I42)=0,"PASS","DUPLICATE")</f>
        <v>PASS</v>
      </c>
      <c r="N42" s="12" t="str">
        <f>CRAWL_LOG!B42</f>
        <v>Hoàn thành có lỗi</v>
      </c>
      <c r="O42" s="12" t="s">
        <v>42</v>
      </c>
    </row>
    <row r="43" spans="1:15">
      <c r="A43" s="15">
        <v>46297</v>
      </c>
      <c r="B43" s="13" t="s">
        <v>46</v>
      </c>
      <c r="C43" s="13" t="s">
        <v>49</v>
      </c>
      <c r="D43" s="13" t="s">
        <v>10</v>
      </c>
      <c r="E43" s="16">
        <v>46317</v>
      </c>
      <c r="F43" s="16">
        <v>46320</v>
      </c>
      <c r="G43" s="16">
        <v>46324</v>
      </c>
      <c r="H43" s="16">
        <v>46309</v>
      </c>
      <c r="I43" s="16">
        <v>46411</v>
      </c>
      <c r="J43" s="18">
        <f t="shared" si="3"/>
        <v>12</v>
      </c>
      <c r="K43" s="18">
        <f t="shared" si="4"/>
        <v>114</v>
      </c>
      <c r="L43" s="13" t="str">
        <f t="shared" si="5"/>
        <v>PASS</v>
      </c>
      <c r="M43" s="13" t="str">
        <f>IF(COUNTIF(LOCAL_REFERENCE!$D43:$O43,E43)+COUNTIF(LOCAL_REFERENCE!$D43:$O43,F43)+COUNTIF(LOCAL_REFERENCE!$D43:$O43,G43)+COUNTIF(LOCAL_REFERENCE!$D43:$O43,H43)+COUNTIF(LOCAL_REFERENCE!$D43:$O43,I43)=0,"PASS","DUPLICATE")</f>
        <v>PASS</v>
      </c>
      <c r="N43" s="13" t="str">
        <f>CRAWL_LOG!B43</f>
        <v>Hoàn thành có lỗi</v>
      </c>
      <c r="O43" s="13" t="s">
        <v>42</v>
      </c>
    </row>
    <row r="44" spans="1:15">
      <c r="A44" s="14">
        <v>46298</v>
      </c>
      <c r="B44" s="12" t="s">
        <v>47</v>
      </c>
      <c r="C44" s="12" t="s">
        <v>49</v>
      </c>
      <c r="D44" s="12" t="s">
        <v>10</v>
      </c>
      <c r="E44" s="16">
        <v>46317</v>
      </c>
      <c r="F44" s="16">
        <v>46320</v>
      </c>
      <c r="G44" s="16">
        <v>46324</v>
      </c>
      <c r="H44" s="16">
        <v>46309</v>
      </c>
      <c r="I44" s="16">
        <v>46411</v>
      </c>
      <c r="J44" s="17">
        <f t="shared" si="3"/>
        <v>11</v>
      </c>
      <c r="K44" s="17">
        <f t="shared" si="4"/>
        <v>113</v>
      </c>
      <c r="L44" s="12" t="str">
        <f t="shared" si="5"/>
        <v>PASS</v>
      </c>
      <c r="M44" s="12" t="str">
        <f>IF(COUNTIF(LOCAL_REFERENCE!$D44:$O44,E44)+COUNTIF(LOCAL_REFERENCE!$D44:$O44,F44)+COUNTIF(LOCAL_REFERENCE!$D44:$O44,G44)+COUNTIF(LOCAL_REFERENCE!$D44:$O44,H44)+COUNTIF(LOCAL_REFERENCE!$D44:$O44,I44)=0,"PASS","DUPLICATE")</f>
        <v>PASS</v>
      </c>
      <c r="N44" s="12" t="str">
        <f>CRAWL_LOG!B44</f>
        <v>Hoàn thành có lỗi</v>
      </c>
      <c r="O44" s="12" t="s">
        <v>42</v>
      </c>
    </row>
    <row r="45" spans="1:15">
      <c r="A45" s="15">
        <v>46299</v>
      </c>
      <c r="B45" s="13" t="s">
        <v>48</v>
      </c>
      <c r="C45" s="13" t="s">
        <v>49</v>
      </c>
      <c r="D45" s="13" t="s">
        <v>10</v>
      </c>
      <c r="E45" s="16">
        <v>46317</v>
      </c>
      <c r="F45" s="16">
        <v>46320</v>
      </c>
      <c r="G45" s="16">
        <v>46324</v>
      </c>
      <c r="H45" s="16">
        <v>46309</v>
      </c>
      <c r="I45" s="16">
        <v>46411</v>
      </c>
      <c r="J45" s="18">
        <f t="shared" si="3"/>
        <v>10</v>
      </c>
      <c r="K45" s="18">
        <f t="shared" si="4"/>
        <v>112</v>
      </c>
      <c r="L45" s="13" t="str">
        <f t="shared" si="5"/>
        <v>PASS</v>
      </c>
      <c r="M45" s="13" t="str">
        <f>IF(COUNTIF(LOCAL_REFERENCE!$D45:$O45,E45)+COUNTIF(LOCAL_REFERENCE!$D45:$O45,F45)+COUNTIF(LOCAL_REFERENCE!$D45:$O45,G45)+COUNTIF(LOCAL_REFERENCE!$D45:$O45,H45)+COUNTIF(LOCAL_REFERENCE!$D45:$O45,I45)=0,"PASS","DUPLICATE")</f>
        <v>PASS</v>
      </c>
      <c r="N45" s="13" t="str">
        <f>CRAWL_LOG!B45</f>
        <v>Hoàn thành có lỗi</v>
      </c>
      <c r="O45" s="13" t="s">
        <v>42</v>
      </c>
    </row>
    <row r="46" spans="1:15">
      <c r="A46" s="14">
        <v>46300</v>
      </c>
      <c r="B46" s="12" t="s">
        <v>40</v>
      </c>
      <c r="C46" s="12" t="s">
        <v>49</v>
      </c>
      <c r="D46" s="12" t="s">
        <v>10</v>
      </c>
      <c r="E46" s="16">
        <v>46317</v>
      </c>
      <c r="F46" s="16">
        <v>46320</v>
      </c>
      <c r="G46" s="16">
        <v>46324</v>
      </c>
      <c r="H46" s="16">
        <v>46309</v>
      </c>
      <c r="I46" s="16">
        <v>46411</v>
      </c>
      <c r="J46" s="17">
        <f t="shared" si="3"/>
        <v>9</v>
      </c>
      <c r="K46" s="17">
        <f t="shared" si="4"/>
        <v>111</v>
      </c>
      <c r="L46" s="12" t="str">
        <f t="shared" si="5"/>
        <v>PASS</v>
      </c>
      <c r="M46" s="12" t="str">
        <f>IF(COUNTIF(LOCAL_REFERENCE!$D46:$O46,E46)+COUNTIF(LOCAL_REFERENCE!$D46:$O46,F46)+COUNTIF(LOCAL_REFERENCE!$D46:$O46,G46)+COUNTIF(LOCAL_REFERENCE!$D46:$O46,H46)+COUNTIF(LOCAL_REFERENCE!$D46:$O46,I46)=0,"PASS","DUPLICATE")</f>
        <v>PASS</v>
      </c>
      <c r="N46" s="12" t="str">
        <f>CRAWL_LOG!B46</f>
        <v>Hoàn thành có lỗi</v>
      </c>
      <c r="O46" s="12" t="s">
        <v>42</v>
      </c>
    </row>
    <row r="47" spans="1:15">
      <c r="A47" s="15">
        <v>46301</v>
      </c>
      <c r="B47" s="13" t="s">
        <v>43</v>
      </c>
      <c r="C47" s="13" t="s">
        <v>49</v>
      </c>
      <c r="D47" s="13" t="s">
        <v>10</v>
      </c>
      <c r="E47" s="16">
        <v>46317</v>
      </c>
      <c r="F47" s="16">
        <v>46320</v>
      </c>
      <c r="G47" s="16">
        <v>46324</v>
      </c>
      <c r="H47" s="16">
        <v>46309</v>
      </c>
      <c r="I47" s="16">
        <v>46411</v>
      </c>
      <c r="J47" s="18">
        <f t="shared" si="3"/>
        <v>8</v>
      </c>
      <c r="K47" s="18">
        <f t="shared" si="4"/>
        <v>110</v>
      </c>
      <c r="L47" s="13" t="str">
        <f t="shared" si="5"/>
        <v>PASS</v>
      </c>
      <c r="M47" s="13" t="str">
        <f>IF(COUNTIF(LOCAL_REFERENCE!$D47:$O47,E47)+COUNTIF(LOCAL_REFERENCE!$D47:$O47,F47)+COUNTIF(LOCAL_REFERENCE!$D47:$O47,G47)+COUNTIF(LOCAL_REFERENCE!$D47:$O47,H47)+COUNTIF(LOCAL_REFERENCE!$D47:$O47,I47)=0,"PASS","DUPLICATE")</f>
        <v>PASS</v>
      </c>
      <c r="N47" s="13" t="str">
        <f>CRAWL_LOG!B47</f>
        <v>Hoàn thành có lỗi</v>
      </c>
      <c r="O47" s="13" t="s">
        <v>42</v>
      </c>
    </row>
    <row r="48" spans="1:15">
      <c r="A48" s="14">
        <v>46302</v>
      </c>
      <c r="B48" s="12" t="s">
        <v>44</v>
      </c>
      <c r="C48" s="12" t="s">
        <v>49</v>
      </c>
      <c r="D48" s="12" t="s">
        <v>10</v>
      </c>
      <c r="E48" s="16">
        <v>46317</v>
      </c>
      <c r="F48" s="16">
        <v>46320</v>
      </c>
      <c r="G48" s="16">
        <v>46324</v>
      </c>
      <c r="H48" s="16">
        <v>46309</v>
      </c>
      <c r="I48" s="16">
        <v>46411</v>
      </c>
      <c r="J48" s="17">
        <f t="shared" si="3"/>
        <v>7</v>
      </c>
      <c r="K48" s="17">
        <f t="shared" si="4"/>
        <v>109</v>
      </c>
      <c r="L48" s="12" t="str">
        <f t="shared" si="5"/>
        <v>PASS</v>
      </c>
      <c r="M48" s="12" t="str">
        <f>IF(COUNTIF(LOCAL_REFERENCE!$D48:$O48,E48)+COUNTIF(LOCAL_REFERENCE!$D48:$O48,F48)+COUNTIF(LOCAL_REFERENCE!$D48:$O48,G48)+COUNTIF(LOCAL_REFERENCE!$D48:$O48,H48)+COUNTIF(LOCAL_REFERENCE!$D48:$O48,I48)=0,"PASS","DUPLICATE")</f>
        <v>PASS</v>
      </c>
      <c r="N48" s="12" t="str">
        <f>CRAWL_LOG!B48</f>
        <v>Hoàn thành có lỗi</v>
      </c>
      <c r="O48" s="12" t="s">
        <v>42</v>
      </c>
    </row>
    <row r="49" spans="1:15">
      <c r="A49" s="15">
        <v>46303</v>
      </c>
      <c r="B49" s="13" t="s">
        <v>45</v>
      </c>
      <c r="C49" s="13" t="s">
        <v>49</v>
      </c>
      <c r="D49" s="13" t="s">
        <v>10</v>
      </c>
      <c r="E49" s="16">
        <v>46317</v>
      </c>
      <c r="F49" s="16">
        <v>46320</v>
      </c>
      <c r="G49" s="16">
        <v>46324</v>
      </c>
      <c r="H49" s="16">
        <v>46309</v>
      </c>
      <c r="I49" s="16">
        <v>46411</v>
      </c>
      <c r="J49" s="18">
        <f t="shared" si="3"/>
        <v>6</v>
      </c>
      <c r="K49" s="18">
        <f t="shared" si="4"/>
        <v>108</v>
      </c>
      <c r="L49" s="13" t="str">
        <f t="shared" si="5"/>
        <v>PASS</v>
      </c>
      <c r="M49" s="13" t="str">
        <f>IF(COUNTIF(LOCAL_REFERENCE!$D49:$O49,E49)+COUNTIF(LOCAL_REFERENCE!$D49:$O49,F49)+COUNTIF(LOCAL_REFERENCE!$D49:$O49,G49)+COUNTIF(LOCAL_REFERENCE!$D49:$O49,H49)+COUNTIF(LOCAL_REFERENCE!$D49:$O49,I49)=0,"PASS","DUPLICATE")</f>
        <v>PASS</v>
      </c>
      <c r="N49" s="13" t="str">
        <f>CRAWL_LOG!B49</f>
        <v>Hoàn thành có lỗi</v>
      </c>
      <c r="O49" s="13" t="s">
        <v>42</v>
      </c>
    </row>
    <row r="50" spans="1:15">
      <c r="A50" s="14">
        <v>46304</v>
      </c>
      <c r="B50" s="12" t="s">
        <v>46</v>
      </c>
      <c r="C50" s="12" t="s">
        <v>49</v>
      </c>
      <c r="D50" s="12" t="s">
        <v>10</v>
      </c>
      <c r="E50" s="16">
        <v>46317</v>
      </c>
      <c r="F50" s="16">
        <v>46320</v>
      </c>
      <c r="G50" s="16">
        <v>46324</v>
      </c>
      <c r="H50" s="16">
        <v>46309</v>
      </c>
      <c r="I50" s="16">
        <v>46411</v>
      </c>
      <c r="J50" s="17">
        <f t="shared" si="3"/>
        <v>5</v>
      </c>
      <c r="K50" s="17">
        <f t="shared" si="4"/>
        <v>107</v>
      </c>
      <c r="L50" s="12" t="str">
        <f t="shared" si="5"/>
        <v>PASS</v>
      </c>
      <c r="M50" s="12" t="str">
        <f>IF(COUNTIF(LOCAL_REFERENCE!$D50:$O50,E50)+COUNTIF(LOCAL_REFERENCE!$D50:$O50,F50)+COUNTIF(LOCAL_REFERENCE!$D50:$O50,G50)+COUNTIF(LOCAL_REFERENCE!$D50:$O50,H50)+COUNTIF(LOCAL_REFERENCE!$D50:$O50,I50)=0,"PASS","DUPLICATE")</f>
        <v>PASS</v>
      </c>
      <c r="N50" s="12" t="str">
        <f>CRAWL_LOG!B50</f>
        <v>Chưa chạy</v>
      </c>
      <c r="O50" s="12" t="s">
        <v>42</v>
      </c>
    </row>
    <row r="51" spans="1:15">
      <c r="A51" s="15">
        <v>46305</v>
      </c>
      <c r="B51" s="13" t="s">
        <v>47</v>
      </c>
      <c r="C51" s="13" t="s">
        <v>49</v>
      </c>
      <c r="D51" s="13" t="s">
        <v>10</v>
      </c>
      <c r="E51" s="16">
        <v>46317</v>
      </c>
      <c r="F51" s="16">
        <v>46320</v>
      </c>
      <c r="G51" s="16">
        <v>46324</v>
      </c>
      <c r="H51" s="16">
        <v>46309</v>
      </c>
      <c r="I51" s="16">
        <v>46411</v>
      </c>
      <c r="J51" s="18">
        <f t="shared" si="3"/>
        <v>4</v>
      </c>
      <c r="K51" s="18">
        <f t="shared" si="4"/>
        <v>106</v>
      </c>
      <c r="L51" s="13" t="str">
        <f t="shared" si="5"/>
        <v>PASS</v>
      </c>
      <c r="M51" s="13" t="str">
        <f>IF(COUNTIF(LOCAL_REFERENCE!$D51:$O51,E51)+COUNTIF(LOCAL_REFERENCE!$D51:$O51,F51)+COUNTIF(LOCAL_REFERENCE!$D51:$O51,G51)+COUNTIF(LOCAL_REFERENCE!$D51:$O51,H51)+COUNTIF(LOCAL_REFERENCE!$D51:$O51,I51)=0,"PASS","DUPLICATE")</f>
        <v>PASS</v>
      </c>
      <c r="N51" s="13" t="str">
        <f>CRAWL_LOG!B51</f>
        <v>Chưa chạy</v>
      </c>
      <c r="O51" s="13" t="s">
        <v>42</v>
      </c>
    </row>
    <row r="52" spans="1:15">
      <c r="A52" s="14">
        <v>46306</v>
      </c>
      <c r="B52" s="12" t="s">
        <v>48</v>
      </c>
      <c r="C52" s="12" t="s">
        <v>49</v>
      </c>
      <c r="D52" s="12" t="s">
        <v>10</v>
      </c>
      <c r="E52" s="16">
        <v>46317</v>
      </c>
      <c r="F52" s="16">
        <v>46320</v>
      </c>
      <c r="G52" s="16">
        <v>46324</v>
      </c>
      <c r="H52" s="16">
        <v>46309</v>
      </c>
      <c r="I52" s="16">
        <v>46411</v>
      </c>
      <c r="J52" s="17">
        <f t="shared" si="3"/>
        <v>3</v>
      </c>
      <c r="K52" s="17">
        <f t="shared" si="4"/>
        <v>105</v>
      </c>
      <c r="L52" s="12" t="str">
        <f t="shared" si="5"/>
        <v>PASS</v>
      </c>
      <c r="M52" s="12" t="str">
        <f>IF(COUNTIF(LOCAL_REFERENCE!$D52:$O52,E52)+COUNTIF(LOCAL_REFERENCE!$D52:$O52,F52)+COUNTIF(LOCAL_REFERENCE!$D52:$O52,G52)+COUNTIF(LOCAL_REFERENCE!$D52:$O52,H52)+COUNTIF(LOCAL_REFERENCE!$D52:$O52,I52)=0,"PASS","DUPLICATE")</f>
        <v>PASS</v>
      </c>
      <c r="N52" s="12" t="str">
        <f>CRAWL_LOG!B52</f>
        <v>Chưa chạy</v>
      </c>
      <c r="O52" s="12" t="s">
        <v>42</v>
      </c>
    </row>
    <row r="53" spans="1:15">
      <c r="A53" s="15">
        <v>46307</v>
      </c>
      <c r="B53" s="13" t="s">
        <v>40</v>
      </c>
      <c r="C53" s="13" t="s">
        <v>49</v>
      </c>
      <c r="D53" s="13" t="s">
        <v>10</v>
      </c>
      <c r="E53" s="16">
        <v>46317</v>
      </c>
      <c r="F53" s="16">
        <v>46320</v>
      </c>
      <c r="G53" s="16">
        <v>46324</v>
      </c>
      <c r="H53" s="16">
        <v>46309</v>
      </c>
      <c r="I53" s="16">
        <v>46411</v>
      </c>
      <c r="J53" s="18">
        <f t="shared" si="3"/>
        <v>2</v>
      </c>
      <c r="K53" s="18">
        <f t="shared" si="4"/>
        <v>104</v>
      </c>
      <c r="L53" s="13" t="str">
        <f t="shared" si="5"/>
        <v>PASS</v>
      </c>
      <c r="M53" s="13" t="str">
        <f>IF(COUNTIF(LOCAL_REFERENCE!$D53:$O53,E53)+COUNTIF(LOCAL_REFERENCE!$D53:$O53,F53)+COUNTIF(LOCAL_REFERENCE!$D53:$O53,G53)+COUNTIF(LOCAL_REFERENCE!$D53:$O53,H53)+COUNTIF(LOCAL_REFERENCE!$D53:$O53,I53)=0,"PASS","DUPLICATE")</f>
        <v>PASS</v>
      </c>
      <c r="N53" s="13" t="str">
        <f>CRAWL_LOG!B53</f>
        <v>Chưa chạy</v>
      </c>
      <c r="O53" s="13" t="s">
        <v>42</v>
      </c>
    </row>
    <row r="54" spans="1:15">
      <c r="A54" s="14">
        <v>46308</v>
      </c>
      <c r="B54" s="12" t="s">
        <v>43</v>
      </c>
      <c r="C54" s="12" t="s">
        <v>49</v>
      </c>
      <c r="D54" s="12" t="s">
        <v>10</v>
      </c>
      <c r="E54" s="16">
        <v>46317</v>
      </c>
      <c r="F54" s="16">
        <v>46320</v>
      </c>
      <c r="G54" s="16">
        <v>46324</v>
      </c>
      <c r="H54" s="16">
        <v>46309</v>
      </c>
      <c r="I54" s="16">
        <v>46411</v>
      </c>
      <c r="J54" s="17">
        <f t="shared" si="3"/>
        <v>1</v>
      </c>
      <c r="K54" s="17">
        <f t="shared" si="4"/>
        <v>103</v>
      </c>
      <c r="L54" s="12" t="str">
        <f t="shared" si="5"/>
        <v>PASS</v>
      </c>
      <c r="M54" s="12" t="str">
        <f>IF(COUNTIF(LOCAL_REFERENCE!$D54:$O54,E54)+COUNTIF(LOCAL_REFERENCE!$D54:$O54,F54)+COUNTIF(LOCAL_REFERENCE!$D54:$O54,G54)+COUNTIF(LOCAL_REFERENCE!$D54:$O54,H54)+COUNTIF(LOCAL_REFERENCE!$D54:$O54,I54)=0,"PASS","DUPLICATE")</f>
        <v>PASS</v>
      </c>
      <c r="N54" s="12" t="str">
        <f>CRAWL_LOG!B54</f>
        <v>Chưa chạy</v>
      </c>
      <c r="O54" s="12" t="s">
        <v>42</v>
      </c>
    </row>
    <row r="55" spans="1:15">
      <c r="A55" s="15">
        <v>46309</v>
      </c>
      <c r="B55" s="13" t="s">
        <v>44</v>
      </c>
      <c r="C55" s="13" t="s">
        <v>49</v>
      </c>
      <c r="D55" s="13" t="s">
        <v>10</v>
      </c>
      <c r="E55" s="16">
        <v>46317</v>
      </c>
      <c r="F55" s="16">
        <v>46320</v>
      </c>
      <c r="G55" s="16">
        <v>46324</v>
      </c>
      <c r="H55" s="16">
        <v>46309</v>
      </c>
      <c r="I55" s="16">
        <v>46411</v>
      </c>
      <c r="J55" s="18">
        <f t="shared" si="3"/>
        <v>0</v>
      </c>
      <c r="K55" s="18">
        <f t="shared" si="4"/>
        <v>102</v>
      </c>
      <c r="L55" s="13" t="str">
        <f t="shared" si="5"/>
        <v>PASS</v>
      </c>
      <c r="M55" s="13" t="str">
        <f>IF(COUNTIF(LOCAL_REFERENCE!$D55:$O55,E55)+COUNTIF(LOCAL_REFERENCE!$D55:$O55,F55)+COUNTIF(LOCAL_REFERENCE!$D55:$O55,G55)+COUNTIF(LOCAL_REFERENCE!$D55:$O55,H55)+COUNTIF(LOCAL_REFERENCE!$D55:$O55,I55)=0,"PASS","DUPLICATE")</f>
        <v>PASS</v>
      </c>
      <c r="N55" s="13" t="str">
        <f>CRAWL_LOG!B55</f>
        <v>Chưa chạy</v>
      </c>
      <c r="O55" s="13" t="s">
        <v>42</v>
      </c>
    </row>
    <row r="56" spans="1:15">
      <c r="A56" s="14">
        <v>46310</v>
      </c>
      <c r="B56" s="12" t="s">
        <v>45</v>
      </c>
      <c r="C56" s="12" t="s">
        <v>49</v>
      </c>
      <c r="D56" s="12" t="s">
        <v>10</v>
      </c>
      <c r="E56" s="16">
        <v>46317</v>
      </c>
      <c r="F56" s="16">
        <v>46320</v>
      </c>
      <c r="G56" s="16">
        <v>46324</v>
      </c>
      <c r="H56" s="16">
        <v>46337</v>
      </c>
      <c r="I56" s="16">
        <v>46411</v>
      </c>
      <c r="J56" s="17">
        <f t="shared" si="3"/>
        <v>7</v>
      </c>
      <c r="K56" s="17">
        <f t="shared" si="4"/>
        <v>101</v>
      </c>
      <c r="L56" s="12" t="str">
        <f t="shared" si="5"/>
        <v>PASS</v>
      </c>
      <c r="M56" s="12" t="str">
        <f>IF(COUNTIF(LOCAL_REFERENCE!$D56:$O56,E56)+COUNTIF(LOCAL_REFERENCE!$D56:$O56,F56)+COUNTIF(LOCAL_REFERENCE!$D56:$O56,G56)+COUNTIF(LOCAL_REFERENCE!$D56:$O56,H56)+COUNTIF(LOCAL_REFERENCE!$D56:$O56,I56)=0,"PASS","DUPLICATE")</f>
        <v>PASS</v>
      </c>
      <c r="N56" s="12" t="str">
        <f>CRAWL_LOG!B56</f>
        <v>Chưa chạy</v>
      </c>
      <c r="O56" s="12" t="s">
        <v>42</v>
      </c>
    </row>
    <row r="57" spans="1:15">
      <c r="A57" s="15">
        <v>46311</v>
      </c>
      <c r="B57" s="13" t="s">
        <v>46</v>
      </c>
      <c r="C57" s="13" t="s">
        <v>49</v>
      </c>
      <c r="D57" s="13" t="s">
        <v>10</v>
      </c>
      <c r="E57" s="16">
        <v>46317</v>
      </c>
      <c r="F57" s="16">
        <v>46320</v>
      </c>
      <c r="G57" s="16">
        <v>46324</v>
      </c>
      <c r="H57" s="16">
        <v>46337</v>
      </c>
      <c r="I57" s="16">
        <v>46411</v>
      </c>
      <c r="J57" s="18">
        <f t="shared" si="3"/>
        <v>6</v>
      </c>
      <c r="K57" s="18">
        <f t="shared" si="4"/>
        <v>100</v>
      </c>
      <c r="L57" s="13" t="str">
        <f t="shared" si="5"/>
        <v>PASS</v>
      </c>
      <c r="M57" s="13" t="str">
        <f>IF(COUNTIF(LOCAL_REFERENCE!$D57:$O57,E57)+COUNTIF(LOCAL_REFERENCE!$D57:$O57,F57)+COUNTIF(LOCAL_REFERENCE!$D57:$O57,G57)+COUNTIF(LOCAL_REFERENCE!$D57:$O57,H57)+COUNTIF(LOCAL_REFERENCE!$D57:$O57,I57)=0,"PASS","DUPLICATE")</f>
        <v>PASS</v>
      </c>
      <c r="N57" s="13" t="str">
        <f>CRAWL_LOG!B57</f>
        <v>Chưa chạy</v>
      </c>
      <c r="O57" s="13" t="s">
        <v>42</v>
      </c>
    </row>
    <row r="58" spans="1:15">
      <c r="A58" s="14">
        <v>46312</v>
      </c>
      <c r="B58" s="12" t="s">
        <v>47</v>
      </c>
      <c r="C58" s="12" t="s">
        <v>49</v>
      </c>
      <c r="D58" s="12" t="s">
        <v>10</v>
      </c>
      <c r="E58" s="16">
        <v>46317</v>
      </c>
      <c r="F58" s="16">
        <v>46320</v>
      </c>
      <c r="G58" s="16">
        <v>46324</v>
      </c>
      <c r="H58" s="16">
        <v>46337</v>
      </c>
      <c r="I58" s="16">
        <v>46411</v>
      </c>
      <c r="J58" s="17">
        <f t="shared" si="3"/>
        <v>5</v>
      </c>
      <c r="K58" s="17">
        <f t="shared" si="4"/>
        <v>99</v>
      </c>
      <c r="L58" s="12" t="str">
        <f t="shared" si="5"/>
        <v>PASS</v>
      </c>
      <c r="M58" s="12" t="str">
        <f>IF(COUNTIF(LOCAL_REFERENCE!$D58:$O58,E58)+COUNTIF(LOCAL_REFERENCE!$D58:$O58,F58)+COUNTIF(LOCAL_REFERENCE!$D58:$O58,G58)+COUNTIF(LOCAL_REFERENCE!$D58:$O58,H58)+COUNTIF(LOCAL_REFERENCE!$D58:$O58,I58)=0,"PASS","DUPLICATE")</f>
        <v>PASS</v>
      </c>
      <c r="N58" s="12" t="str">
        <f>CRAWL_LOG!B58</f>
        <v>Chưa chạy</v>
      </c>
      <c r="O58" s="12" t="s">
        <v>42</v>
      </c>
    </row>
    <row r="59" spans="1:15">
      <c r="A59" s="15">
        <v>46313</v>
      </c>
      <c r="B59" s="13" t="s">
        <v>48</v>
      </c>
      <c r="C59" s="13" t="s">
        <v>49</v>
      </c>
      <c r="D59" s="13" t="s">
        <v>10</v>
      </c>
      <c r="E59" s="16">
        <v>46317</v>
      </c>
      <c r="F59" s="16">
        <v>46320</v>
      </c>
      <c r="G59" s="16">
        <v>46324</v>
      </c>
      <c r="H59" s="16">
        <v>46337</v>
      </c>
      <c r="I59" s="16">
        <v>46411</v>
      </c>
      <c r="J59" s="18">
        <f t="shared" si="3"/>
        <v>4</v>
      </c>
      <c r="K59" s="18">
        <f t="shared" si="4"/>
        <v>98</v>
      </c>
      <c r="L59" s="13" t="str">
        <f t="shared" si="5"/>
        <v>PASS</v>
      </c>
      <c r="M59" s="13" t="str">
        <f>IF(COUNTIF(LOCAL_REFERENCE!$D59:$O59,E59)+COUNTIF(LOCAL_REFERENCE!$D59:$O59,F59)+COUNTIF(LOCAL_REFERENCE!$D59:$O59,G59)+COUNTIF(LOCAL_REFERENCE!$D59:$O59,H59)+COUNTIF(LOCAL_REFERENCE!$D59:$O59,I59)=0,"PASS","DUPLICATE")</f>
        <v>PASS</v>
      </c>
      <c r="N59" s="13" t="str">
        <f>CRAWL_LOG!B59</f>
        <v>Chưa chạy</v>
      </c>
      <c r="O59" s="13" t="s">
        <v>42</v>
      </c>
    </row>
    <row r="60" spans="1:15">
      <c r="A60" s="14">
        <v>46314</v>
      </c>
      <c r="B60" s="12" t="s">
        <v>40</v>
      </c>
      <c r="C60" s="12" t="s">
        <v>49</v>
      </c>
      <c r="D60" s="12" t="s">
        <v>10</v>
      </c>
      <c r="E60" s="16">
        <v>46317</v>
      </c>
      <c r="F60" s="16">
        <v>46320</v>
      </c>
      <c r="G60" s="16">
        <v>46324</v>
      </c>
      <c r="H60" s="16">
        <v>46337</v>
      </c>
      <c r="I60" s="16">
        <v>46411</v>
      </c>
      <c r="J60" s="17">
        <f t="shared" si="3"/>
        <v>3</v>
      </c>
      <c r="K60" s="17">
        <f t="shared" si="4"/>
        <v>97</v>
      </c>
      <c r="L60" s="12" t="str">
        <f t="shared" si="5"/>
        <v>PASS</v>
      </c>
      <c r="M60" s="12" t="str">
        <f>IF(COUNTIF(LOCAL_REFERENCE!$D60:$O60,E60)+COUNTIF(LOCAL_REFERENCE!$D60:$O60,F60)+COUNTIF(LOCAL_REFERENCE!$D60:$O60,G60)+COUNTIF(LOCAL_REFERENCE!$D60:$O60,H60)+COUNTIF(LOCAL_REFERENCE!$D60:$O60,I60)=0,"PASS","DUPLICATE")</f>
        <v>PASS</v>
      </c>
      <c r="N60" s="12" t="str">
        <f>CRAWL_LOG!B60</f>
        <v>Chưa chạy</v>
      </c>
      <c r="O60" s="12" t="s">
        <v>42</v>
      </c>
    </row>
    <row r="61" spans="1:15">
      <c r="A61" s="15">
        <v>46315</v>
      </c>
      <c r="B61" s="13" t="s">
        <v>43</v>
      </c>
      <c r="C61" s="13" t="s">
        <v>49</v>
      </c>
      <c r="D61" s="13" t="s">
        <v>10</v>
      </c>
      <c r="E61" s="16">
        <v>46317</v>
      </c>
      <c r="F61" s="16">
        <v>46320</v>
      </c>
      <c r="G61" s="16">
        <v>46324</v>
      </c>
      <c r="H61" s="16">
        <v>46337</v>
      </c>
      <c r="I61" s="16">
        <v>46411</v>
      </c>
      <c r="J61" s="18">
        <f t="shared" si="3"/>
        <v>2</v>
      </c>
      <c r="K61" s="18">
        <f t="shared" si="4"/>
        <v>96</v>
      </c>
      <c r="L61" s="13" t="str">
        <f t="shared" si="5"/>
        <v>PASS</v>
      </c>
      <c r="M61" s="13" t="str">
        <f>IF(COUNTIF(LOCAL_REFERENCE!$D61:$O61,E61)+COUNTIF(LOCAL_REFERENCE!$D61:$O61,F61)+COUNTIF(LOCAL_REFERENCE!$D61:$O61,G61)+COUNTIF(LOCAL_REFERENCE!$D61:$O61,H61)+COUNTIF(LOCAL_REFERENCE!$D61:$O61,I61)=0,"PASS","DUPLICATE")</f>
        <v>PASS</v>
      </c>
      <c r="N61" s="13" t="str">
        <f>CRAWL_LOG!B61</f>
        <v>Chưa chạy</v>
      </c>
      <c r="O61" s="13" t="s">
        <v>42</v>
      </c>
    </row>
    <row r="62" spans="1:15">
      <c r="A62" s="14">
        <v>46316</v>
      </c>
      <c r="B62" s="12" t="s">
        <v>44</v>
      </c>
      <c r="C62" s="12" t="s">
        <v>49</v>
      </c>
      <c r="D62" s="12" t="s">
        <v>10</v>
      </c>
      <c r="E62" s="16">
        <v>46317</v>
      </c>
      <c r="F62" s="16">
        <v>46320</v>
      </c>
      <c r="G62" s="16">
        <v>46324</v>
      </c>
      <c r="H62" s="16">
        <v>46337</v>
      </c>
      <c r="I62" s="16">
        <v>46411</v>
      </c>
      <c r="J62" s="17">
        <f t="shared" si="3"/>
        <v>1</v>
      </c>
      <c r="K62" s="17">
        <f t="shared" si="4"/>
        <v>95</v>
      </c>
      <c r="L62" s="12" t="str">
        <f t="shared" si="5"/>
        <v>PASS</v>
      </c>
      <c r="M62" s="12" t="str">
        <f>IF(COUNTIF(LOCAL_REFERENCE!$D62:$O62,E62)+COUNTIF(LOCAL_REFERENCE!$D62:$O62,F62)+COUNTIF(LOCAL_REFERENCE!$D62:$O62,G62)+COUNTIF(LOCAL_REFERENCE!$D62:$O62,H62)+COUNTIF(LOCAL_REFERENCE!$D62:$O62,I62)=0,"PASS","DUPLICATE")</f>
        <v>PASS</v>
      </c>
      <c r="N62" s="12" t="str">
        <f>CRAWL_LOG!B62</f>
        <v>Chưa chạy</v>
      </c>
      <c r="O62" s="12" t="s">
        <v>42</v>
      </c>
    </row>
    <row r="63" spans="1:15">
      <c r="A63" s="15">
        <v>46317</v>
      </c>
      <c r="B63" s="13" t="s">
        <v>45</v>
      </c>
      <c r="C63" s="13" t="s">
        <v>49</v>
      </c>
      <c r="D63" s="13" t="s">
        <v>10</v>
      </c>
      <c r="E63" s="16">
        <v>46317</v>
      </c>
      <c r="F63" s="16">
        <v>46320</v>
      </c>
      <c r="G63" s="16">
        <v>46324</v>
      </c>
      <c r="H63" s="16">
        <v>46337</v>
      </c>
      <c r="I63" s="16">
        <v>46411</v>
      </c>
      <c r="J63" s="18">
        <f t="shared" si="3"/>
        <v>0</v>
      </c>
      <c r="K63" s="18">
        <f t="shared" si="4"/>
        <v>94</v>
      </c>
      <c r="L63" s="13" t="str">
        <f t="shared" si="5"/>
        <v>PASS</v>
      </c>
      <c r="M63" s="13" t="str">
        <f>IF(COUNTIF(LOCAL_REFERENCE!$D63:$O63,E63)+COUNTIF(LOCAL_REFERENCE!$D63:$O63,F63)+COUNTIF(LOCAL_REFERENCE!$D63:$O63,G63)+COUNTIF(LOCAL_REFERENCE!$D63:$O63,H63)+COUNTIF(LOCAL_REFERENCE!$D63:$O63,I63)=0,"PASS","DUPLICATE")</f>
        <v>PASS</v>
      </c>
      <c r="N63" s="13" t="str">
        <f>CRAWL_LOG!B63</f>
        <v>Chưa chạy</v>
      </c>
      <c r="O63" s="13" t="s">
        <v>42</v>
      </c>
    </row>
    <row r="64" spans="1:15">
      <c r="A64" s="14">
        <v>46318</v>
      </c>
      <c r="B64" s="12" t="s">
        <v>46</v>
      </c>
      <c r="C64" s="12" t="s">
        <v>49</v>
      </c>
      <c r="D64" s="12" t="s">
        <v>10</v>
      </c>
      <c r="E64" s="16">
        <v>46345</v>
      </c>
      <c r="F64" s="16">
        <v>46320</v>
      </c>
      <c r="G64" s="16">
        <v>46324</v>
      </c>
      <c r="H64" s="16">
        <v>46337</v>
      </c>
      <c r="I64" s="16">
        <v>46411</v>
      </c>
      <c r="J64" s="17">
        <f t="shared" si="3"/>
        <v>2</v>
      </c>
      <c r="K64" s="17">
        <f t="shared" si="4"/>
        <v>93</v>
      </c>
      <c r="L64" s="12" t="str">
        <f t="shared" si="5"/>
        <v>PASS</v>
      </c>
      <c r="M64" s="12" t="str">
        <f>IF(COUNTIF(LOCAL_REFERENCE!$D64:$O64,E64)+COUNTIF(LOCAL_REFERENCE!$D64:$O64,F64)+COUNTIF(LOCAL_REFERENCE!$D64:$O64,G64)+COUNTIF(LOCAL_REFERENCE!$D64:$O64,H64)+COUNTIF(LOCAL_REFERENCE!$D64:$O64,I64)=0,"PASS","DUPLICATE")</f>
        <v>PASS</v>
      </c>
      <c r="N64" s="12" t="str">
        <f>CRAWL_LOG!B64</f>
        <v>Chưa chạy</v>
      </c>
      <c r="O64" s="12" t="s">
        <v>42</v>
      </c>
    </row>
    <row r="65" spans="1:15">
      <c r="A65" s="15">
        <v>46319</v>
      </c>
      <c r="B65" s="13" t="s">
        <v>47</v>
      </c>
      <c r="C65" s="13" t="s">
        <v>49</v>
      </c>
      <c r="D65" s="13" t="s">
        <v>10</v>
      </c>
      <c r="E65" s="16">
        <v>46345</v>
      </c>
      <c r="F65" s="16">
        <v>46320</v>
      </c>
      <c r="G65" s="16">
        <v>46324</v>
      </c>
      <c r="H65" s="16">
        <v>46337</v>
      </c>
      <c r="I65" s="16">
        <v>46411</v>
      </c>
      <c r="J65" s="18">
        <f t="shared" si="3"/>
        <v>1</v>
      </c>
      <c r="K65" s="18">
        <f t="shared" si="4"/>
        <v>92</v>
      </c>
      <c r="L65" s="13" t="str">
        <f t="shared" si="5"/>
        <v>PASS</v>
      </c>
      <c r="M65" s="13" t="str">
        <f>IF(COUNTIF(LOCAL_REFERENCE!$D65:$O65,E65)+COUNTIF(LOCAL_REFERENCE!$D65:$O65,F65)+COUNTIF(LOCAL_REFERENCE!$D65:$O65,G65)+COUNTIF(LOCAL_REFERENCE!$D65:$O65,H65)+COUNTIF(LOCAL_REFERENCE!$D65:$O65,I65)=0,"PASS","DUPLICATE")</f>
        <v>PASS</v>
      </c>
      <c r="N65" s="13" t="str">
        <f>CRAWL_LOG!B65</f>
        <v>Chưa chạy</v>
      </c>
      <c r="O65" s="13" t="s">
        <v>42</v>
      </c>
    </row>
    <row r="66" spans="1:15">
      <c r="A66" s="14">
        <v>46320</v>
      </c>
      <c r="B66" s="12" t="s">
        <v>48</v>
      </c>
      <c r="C66" s="12" t="s">
        <v>49</v>
      </c>
      <c r="D66" s="12" t="s">
        <v>10</v>
      </c>
      <c r="E66" s="16">
        <v>46345</v>
      </c>
      <c r="F66" s="16">
        <v>46320</v>
      </c>
      <c r="G66" s="16">
        <v>46324</v>
      </c>
      <c r="H66" s="16">
        <v>46337</v>
      </c>
      <c r="I66" s="16">
        <v>46411</v>
      </c>
      <c r="J66" s="17">
        <f t="shared" si="3"/>
        <v>0</v>
      </c>
      <c r="K66" s="17">
        <f t="shared" si="4"/>
        <v>91</v>
      </c>
      <c r="L66" s="12" t="str">
        <f t="shared" si="5"/>
        <v>PASS</v>
      </c>
      <c r="M66" s="12" t="str">
        <f>IF(COUNTIF(LOCAL_REFERENCE!$D66:$O66,E66)+COUNTIF(LOCAL_REFERENCE!$D66:$O66,F66)+COUNTIF(LOCAL_REFERENCE!$D66:$O66,G66)+COUNTIF(LOCAL_REFERENCE!$D66:$O66,H66)+COUNTIF(LOCAL_REFERENCE!$D66:$O66,I66)=0,"PASS","DUPLICATE")</f>
        <v>PASS</v>
      </c>
      <c r="N66" s="12" t="str">
        <f>CRAWL_LOG!B66</f>
        <v>Chưa chạy</v>
      </c>
      <c r="O66" s="12" t="s">
        <v>42</v>
      </c>
    </row>
    <row r="67" spans="1:15">
      <c r="A67" s="15">
        <v>46321</v>
      </c>
      <c r="B67" s="13" t="s">
        <v>40</v>
      </c>
      <c r="C67" s="13" t="s">
        <v>49</v>
      </c>
      <c r="D67" s="13" t="s">
        <v>10</v>
      </c>
      <c r="E67" s="16">
        <v>46345</v>
      </c>
      <c r="F67" s="16">
        <v>46348</v>
      </c>
      <c r="G67" s="16">
        <v>46324</v>
      </c>
      <c r="H67" s="16">
        <v>46337</v>
      </c>
      <c r="I67" s="16">
        <v>46411</v>
      </c>
      <c r="J67" s="18">
        <f t="shared" si="3"/>
        <v>3</v>
      </c>
      <c r="K67" s="18">
        <f t="shared" si="4"/>
        <v>90</v>
      </c>
      <c r="L67" s="13" t="str">
        <f t="shared" si="5"/>
        <v>PASS</v>
      </c>
      <c r="M67" s="13" t="str">
        <f>IF(COUNTIF(LOCAL_REFERENCE!$D67:$O67,E67)+COUNTIF(LOCAL_REFERENCE!$D67:$O67,F67)+COUNTIF(LOCAL_REFERENCE!$D67:$O67,G67)+COUNTIF(LOCAL_REFERENCE!$D67:$O67,H67)+COUNTIF(LOCAL_REFERENCE!$D67:$O67,I67)=0,"PASS","DUPLICATE")</f>
        <v>PASS</v>
      </c>
      <c r="N67" s="13" t="str">
        <f>CRAWL_LOG!B67</f>
        <v>Chưa chạy</v>
      </c>
      <c r="O67" s="13" t="s">
        <v>42</v>
      </c>
    </row>
    <row r="68" spans="1:15">
      <c r="A68" s="14">
        <v>46322</v>
      </c>
      <c r="B68" s="12" t="s">
        <v>43</v>
      </c>
      <c r="C68" s="12" t="s">
        <v>49</v>
      </c>
      <c r="D68" s="12" t="s">
        <v>10</v>
      </c>
      <c r="E68" s="16">
        <v>46345</v>
      </c>
      <c r="F68" s="16">
        <v>46348</v>
      </c>
      <c r="G68" s="16">
        <v>46324</v>
      </c>
      <c r="H68" s="16">
        <v>46337</v>
      </c>
      <c r="I68" s="16">
        <v>46411</v>
      </c>
      <c r="J68" s="17">
        <f t="shared" ref="J68:J99" si="6">MIN(E68:I68)-A68</f>
        <v>2</v>
      </c>
      <c r="K68" s="17">
        <f t="shared" ref="K68:K102" si="7">MAX(E68:I68)-A68</f>
        <v>89</v>
      </c>
      <c r="L68" s="12" t="str">
        <f t="shared" ref="L68:L102" si="8">IF(AND(COUNT(E68:I68)=5,MIN(E68:I68)&gt;=A68,E68&lt;&gt;F68,E68&lt;&gt;G68,E68&lt;&gt;H68,E68&lt;&gt;I68,F68&lt;&gt;G68,F68&lt;&gt;H68,F68&lt;&gt;I68,G68&lt;&gt;H68,G68&lt;&gt;I68,H68&lt;&gt;I68),"PASS","CHECK")</f>
        <v>PASS</v>
      </c>
      <c r="M68" s="12" t="str">
        <f>IF(COUNTIF(LOCAL_REFERENCE!$D68:$O68,E68)+COUNTIF(LOCAL_REFERENCE!$D68:$O68,F68)+COUNTIF(LOCAL_REFERENCE!$D68:$O68,G68)+COUNTIF(LOCAL_REFERENCE!$D68:$O68,H68)+COUNTIF(LOCAL_REFERENCE!$D68:$O68,I68)=0,"PASS","DUPLICATE")</f>
        <v>PASS</v>
      </c>
      <c r="N68" s="12" t="str">
        <f>CRAWL_LOG!B68</f>
        <v>Chưa chạy</v>
      </c>
      <c r="O68" s="12" t="s">
        <v>42</v>
      </c>
    </row>
    <row r="69" spans="1:15">
      <c r="A69" s="15">
        <v>46323</v>
      </c>
      <c r="B69" s="13" t="s">
        <v>44</v>
      </c>
      <c r="C69" s="13" t="s">
        <v>49</v>
      </c>
      <c r="D69" s="13" t="s">
        <v>10</v>
      </c>
      <c r="E69" s="16">
        <v>46345</v>
      </c>
      <c r="F69" s="16">
        <v>46348</v>
      </c>
      <c r="G69" s="16">
        <v>46324</v>
      </c>
      <c r="H69" s="16">
        <v>46337</v>
      </c>
      <c r="I69" s="16">
        <v>46411</v>
      </c>
      <c r="J69" s="18">
        <f t="shared" si="6"/>
        <v>1</v>
      </c>
      <c r="K69" s="18">
        <f t="shared" si="7"/>
        <v>88</v>
      </c>
      <c r="L69" s="13" t="str">
        <f t="shared" si="8"/>
        <v>PASS</v>
      </c>
      <c r="M69" s="13" t="str">
        <f>IF(COUNTIF(LOCAL_REFERENCE!$D69:$O69,E69)+COUNTIF(LOCAL_REFERENCE!$D69:$O69,F69)+COUNTIF(LOCAL_REFERENCE!$D69:$O69,G69)+COUNTIF(LOCAL_REFERENCE!$D69:$O69,H69)+COUNTIF(LOCAL_REFERENCE!$D69:$O69,I69)=0,"PASS","DUPLICATE")</f>
        <v>PASS</v>
      </c>
      <c r="N69" s="13" t="str">
        <f>CRAWL_LOG!B69</f>
        <v>Chưa chạy</v>
      </c>
      <c r="O69" s="13" t="s">
        <v>42</v>
      </c>
    </row>
    <row r="70" spans="1:15">
      <c r="A70" s="14">
        <v>46324</v>
      </c>
      <c r="B70" s="12" t="s">
        <v>45</v>
      </c>
      <c r="C70" s="12" t="s">
        <v>49</v>
      </c>
      <c r="D70" s="12" t="s">
        <v>10</v>
      </c>
      <c r="E70" s="16">
        <v>46345</v>
      </c>
      <c r="F70" s="16">
        <v>46348</v>
      </c>
      <c r="G70" s="16">
        <v>46324</v>
      </c>
      <c r="H70" s="16">
        <v>46337</v>
      </c>
      <c r="I70" s="16">
        <v>46411</v>
      </c>
      <c r="J70" s="17">
        <f t="shared" si="6"/>
        <v>0</v>
      </c>
      <c r="K70" s="17">
        <f t="shared" si="7"/>
        <v>87</v>
      </c>
      <c r="L70" s="12" t="str">
        <f t="shared" si="8"/>
        <v>PASS</v>
      </c>
      <c r="M70" s="12" t="str">
        <f>IF(COUNTIF(LOCAL_REFERENCE!$D70:$O70,E70)+COUNTIF(LOCAL_REFERENCE!$D70:$O70,F70)+COUNTIF(LOCAL_REFERENCE!$D70:$O70,G70)+COUNTIF(LOCAL_REFERENCE!$D70:$O70,H70)+COUNTIF(LOCAL_REFERENCE!$D70:$O70,I70)=0,"PASS","DUPLICATE")</f>
        <v>PASS</v>
      </c>
      <c r="N70" s="12" t="str">
        <f>CRAWL_LOG!B70</f>
        <v>Chưa chạy</v>
      </c>
      <c r="O70" s="12" t="s">
        <v>42</v>
      </c>
    </row>
    <row r="71" spans="1:15">
      <c r="A71" s="15">
        <v>46325</v>
      </c>
      <c r="B71" s="13" t="s">
        <v>46</v>
      </c>
      <c r="C71" s="13" t="s">
        <v>49</v>
      </c>
      <c r="D71" s="13" t="s">
        <v>10</v>
      </c>
      <c r="E71" s="16">
        <v>46345</v>
      </c>
      <c r="F71" s="16">
        <v>46348</v>
      </c>
      <c r="G71" s="16">
        <v>46352</v>
      </c>
      <c r="H71" s="16">
        <v>46337</v>
      </c>
      <c r="I71" s="16">
        <v>46411</v>
      </c>
      <c r="J71" s="18">
        <f t="shared" si="6"/>
        <v>12</v>
      </c>
      <c r="K71" s="18">
        <f t="shared" si="7"/>
        <v>86</v>
      </c>
      <c r="L71" s="13" t="str">
        <f t="shared" si="8"/>
        <v>PASS</v>
      </c>
      <c r="M71" s="13" t="str">
        <f>IF(COUNTIF(LOCAL_REFERENCE!$D71:$O71,E71)+COUNTIF(LOCAL_REFERENCE!$D71:$O71,F71)+COUNTIF(LOCAL_REFERENCE!$D71:$O71,G71)+COUNTIF(LOCAL_REFERENCE!$D71:$O71,H71)+COUNTIF(LOCAL_REFERENCE!$D71:$O71,I71)=0,"PASS","DUPLICATE")</f>
        <v>PASS</v>
      </c>
      <c r="N71" s="13" t="str">
        <f>CRAWL_LOG!B71</f>
        <v>Chưa chạy</v>
      </c>
      <c r="O71" s="13" t="s">
        <v>42</v>
      </c>
    </row>
    <row r="72" spans="1:15">
      <c r="A72" s="14">
        <v>46326</v>
      </c>
      <c r="B72" s="12" t="s">
        <v>47</v>
      </c>
      <c r="C72" s="12" t="s">
        <v>49</v>
      </c>
      <c r="D72" s="12" t="s">
        <v>10</v>
      </c>
      <c r="E72" s="16">
        <v>46345</v>
      </c>
      <c r="F72" s="16">
        <v>46348</v>
      </c>
      <c r="G72" s="16">
        <v>46352</v>
      </c>
      <c r="H72" s="16">
        <v>46337</v>
      </c>
      <c r="I72" s="16">
        <v>46411</v>
      </c>
      <c r="J72" s="17">
        <f t="shared" si="6"/>
        <v>11</v>
      </c>
      <c r="K72" s="17">
        <f t="shared" si="7"/>
        <v>85</v>
      </c>
      <c r="L72" s="12" t="str">
        <f t="shared" si="8"/>
        <v>PASS</v>
      </c>
      <c r="M72" s="12" t="str">
        <f>IF(COUNTIF(LOCAL_REFERENCE!$D72:$O72,E72)+COUNTIF(LOCAL_REFERENCE!$D72:$O72,F72)+COUNTIF(LOCAL_REFERENCE!$D72:$O72,G72)+COUNTIF(LOCAL_REFERENCE!$D72:$O72,H72)+COUNTIF(LOCAL_REFERENCE!$D72:$O72,I72)=0,"PASS","DUPLICATE")</f>
        <v>PASS</v>
      </c>
      <c r="N72" s="12" t="str">
        <f>CRAWL_LOG!B72</f>
        <v>Chưa chạy</v>
      </c>
      <c r="O72" s="12" t="s">
        <v>42</v>
      </c>
    </row>
    <row r="73" spans="1:15">
      <c r="A73" s="15">
        <v>46327</v>
      </c>
      <c r="B73" s="13" t="s">
        <v>48</v>
      </c>
      <c r="C73" s="13" t="s">
        <v>49</v>
      </c>
      <c r="D73" s="13" t="s">
        <v>10</v>
      </c>
      <c r="E73" s="16">
        <v>46345</v>
      </c>
      <c r="F73" s="16">
        <v>46348</v>
      </c>
      <c r="G73" s="16">
        <v>46352</v>
      </c>
      <c r="H73" s="16">
        <v>46337</v>
      </c>
      <c r="I73" s="16">
        <v>46411</v>
      </c>
      <c r="J73" s="18">
        <f t="shared" si="6"/>
        <v>10</v>
      </c>
      <c r="K73" s="18">
        <f t="shared" si="7"/>
        <v>84</v>
      </c>
      <c r="L73" s="13" t="str">
        <f t="shared" si="8"/>
        <v>PASS</v>
      </c>
      <c r="M73" s="13" t="str">
        <f>IF(COUNTIF(LOCAL_REFERENCE!$D73:$O73,E73)+COUNTIF(LOCAL_REFERENCE!$D73:$O73,F73)+COUNTIF(LOCAL_REFERENCE!$D73:$O73,G73)+COUNTIF(LOCAL_REFERENCE!$D73:$O73,H73)+COUNTIF(LOCAL_REFERENCE!$D73:$O73,I73)=0,"PASS","DUPLICATE")</f>
        <v>PASS</v>
      </c>
      <c r="N73" s="13" t="str">
        <f>CRAWL_LOG!B73</f>
        <v>Chưa chạy</v>
      </c>
      <c r="O73" s="13" t="s">
        <v>42</v>
      </c>
    </row>
    <row r="74" spans="1:15">
      <c r="A74" s="14">
        <v>46328</v>
      </c>
      <c r="B74" s="12" t="s">
        <v>40</v>
      </c>
      <c r="C74" s="12" t="s">
        <v>49</v>
      </c>
      <c r="D74" s="12" t="s">
        <v>10</v>
      </c>
      <c r="E74" s="16">
        <v>46345</v>
      </c>
      <c r="F74" s="16">
        <v>46348</v>
      </c>
      <c r="G74" s="16">
        <v>46352</v>
      </c>
      <c r="H74" s="16">
        <v>46337</v>
      </c>
      <c r="I74" s="16">
        <v>46411</v>
      </c>
      <c r="J74" s="17">
        <f t="shared" si="6"/>
        <v>9</v>
      </c>
      <c r="K74" s="17">
        <f t="shared" si="7"/>
        <v>83</v>
      </c>
      <c r="L74" s="12" t="str">
        <f t="shared" si="8"/>
        <v>PASS</v>
      </c>
      <c r="M74" s="12" t="str">
        <f>IF(COUNTIF(LOCAL_REFERENCE!$D74:$O74,E74)+COUNTIF(LOCAL_REFERENCE!$D74:$O74,F74)+COUNTIF(LOCAL_REFERENCE!$D74:$O74,G74)+COUNTIF(LOCAL_REFERENCE!$D74:$O74,H74)+COUNTIF(LOCAL_REFERENCE!$D74:$O74,I74)=0,"PASS","DUPLICATE")</f>
        <v>PASS</v>
      </c>
      <c r="N74" s="12" t="str">
        <f>CRAWL_LOG!B74</f>
        <v>Chưa chạy</v>
      </c>
      <c r="O74" s="12" t="s">
        <v>42</v>
      </c>
    </row>
    <row r="75" spans="1:15">
      <c r="A75" s="15">
        <v>46329</v>
      </c>
      <c r="B75" s="13" t="s">
        <v>43</v>
      </c>
      <c r="C75" s="13" t="s">
        <v>49</v>
      </c>
      <c r="D75" s="13" t="s">
        <v>10</v>
      </c>
      <c r="E75" s="16">
        <v>46345</v>
      </c>
      <c r="F75" s="16">
        <v>46348</v>
      </c>
      <c r="G75" s="16">
        <v>46352</v>
      </c>
      <c r="H75" s="16">
        <v>46337</v>
      </c>
      <c r="I75" s="16">
        <v>46411</v>
      </c>
      <c r="J75" s="18">
        <f t="shared" si="6"/>
        <v>8</v>
      </c>
      <c r="K75" s="18">
        <f t="shared" si="7"/>
        <v>82</v>
      </c>
      <c r="L75" s="13" t="str">
        <f t="shared" si="8"/>
        <v>PASS</v>
      </c>
      <c r="M75" s="13" t="str">
        <f>IF(COUNTIF(LOCAL_REFERENCE!$D75:$O75,E75)+COUNTIF(LOCAL_REFERENCE!$D75:$O75,F75)+COUNTIF(LOCAL_REFERENCE!$D75:$O75,G75)+COUNTIF(LOCAL_REFERENCE!$D75:$O75,H75)+COUNTIF(LOCAL_REFERENCE!$D75:$O75,I75)=0,"PASS","DUPLICATE")</f>
        <v>PASS</v>
      </c>
      <c r="N75" s="13" t="str">
        <f>CRAWL_LOG!B75</f>
        <v>Chưa chạy</v>
      </c>
      <c r="O75" s="13" t="s">
        <v>42</v>
      </c>
    </row>
    <row r="76" spans="1:15">
      <c r="A76" s="14">
        <v>46330</v>
      </c>
      <c r="B76" s="12" t="s">
        <v>44</v>
      </c>
      <c r="C76" s="12" t="s">
        <v>49</v>
      </c>
      <c r="D76" s="12" t="s">
        <v>10</v>
      </c>
      <c r="E76" s="16">
        <v>46345</v>
      </c>
      <c r="F76" s="16">
        <v>46348</v>
      </c>
      <c r="G76" s="16">
        <v>46352</v>
      </c>
      <c r="H76" s="16">
        <v>46337</v>
      </c>
      <c r="I76" s="16">
        <v>46411</v>
      </c>
      <c r="J76" s="17">
        <f t="shared" si="6"/>
        <v>7</v>
      </c>
      <c r="K76" s="17">
        <f t="shared" si="7"/>
        <v>81</v>
      </c>
      <c r="L76" s="12" t="str">
        <f t="shared" si="8"/>
        <v>PASS</v>
      </c>
      <c r="M76" s="12" t="str">
        <f>IF(COUNTIF(LOCAL_REFERENCE!$D76:$O76,E76)+COUNTIF(LOCAL_REFERENCE!$D76:$O76,F76)+COUNTIF(LOCAL_REFERENCE!$D76:$O76,G76)+COUNTIF(LOCAL_REFERENCE!$D76:$O76,H76)+COUNTIF(LOCAL_REFERENCE!$D76:$O76,I76)=0,"PASS","DUPLICATE")</f>
        <v>PASS</v>
      </c>
      <c r="N76" s="12" t="str">
        <f>CRAWL_LOG!B76</f>
        <v>Chưa chạy</v>
      </c>
      <c r="O76" s="12" t="s">
        <v>42</v>
      </c>
    </row>
    <row r="77" spans="1:15">
      <c r="A77" s="15">
        <v>46331</v>
      </c>
      <c r="B77" s="13" t="s">
        <v>45</v>
      </c>
      <c r="C77" s="13" t="s">
        <v>49</v>
      </c>
      <c r="D77" s="13" t="s">
        <v>10</v>
      </c>
      <c r="E77" s="16">
        <v>46345</v>
      </c>
      <c r="F77" s="16">
        <v>46348</v>
      </c>
      <c r="G77" s="16">
        <v>46352</v>
      </c>
      <c r="H77" s="16">
        <v>46337</v>
      </c>
      <c r="I77" s="16">
        <v>46411</v>
      </c>
      <c r="J77" s="18">
        <f t="shared" si="6"/>
        <v>6</v>
      </c>
      <c r="K77" s="18">
        <f t="shared" si="7"/>
        <v>80</v>
      </c>
      <c r="L77" s="13" t="str">
        <f t="shared" si="8"/>
        <v>PASS</v>
      </c>
      <c r="M77" s="13" t="str">
        <f>IF(COUNTIF(LOCAL_REFERENCE!$D77:$O77,E77)+COUNTIF(LOCAL_REFERENCE!$D77:$O77,F77)+COUNTIF(LOCAL_REFERENCE!$D77:$O77,G77)+COUNTIF(LOCAL_REFERENCE!$D77:$O77,H77)+COUNTIF(LOCAL_REFERENCE!$D77:$O77,I77)=0,"PASS","DUPLICATE")</f>
        <v>PASS</v>
      </c>
      <c r="N77" s="13" t="str">
        <f>CRAWL_LOG!B77</f>
        <v>Chưa chạy</v>
      </c>
      <c r="O77" s="13" t="s">
        <v>42</v>
      </c>
    </row>
    <row r="78" spans="1:15">
      <c r="A78" s="14">
        <v>46332</v>
      </c>
      <c r="B78" s="12" t="s">
        <v>46</v>
      </c>
      <c r="C78" s="12" t="s">
        <v>49</v>
      </c>
      <c r="D78" s="12" t="s">
        <v>10</v>
      </c>
      <c r="E78" s="16">
        <v>46345</v>
      </c>
      <c r="F78" s="16">
        <v>46348</v>
      </c>
      <c r="G78" s="16">
        <v>46352</v>
      </c>
      <c r="H78" s="16">
        <v>46337</v>
      </c>
      <c r="I78" s="16">
        <v>46411</v>
      </c>
      <c r="J78" s="17">
        <f t="shared" si="6"/>
        <v>5</v>
      </c>
      <c r="K78" s="17">
        <f t="shared" si="7"/>
        <v>79</v>
      </c>
      <c r="L78" s="12" t="str">
        <f t="shared" si="8"/>
        <v>PASS</v>
      </c>
      <c r="M78" s="12" t="str">
        <f>IF(COUNTIF(LOCAL_REFERENCE!$D78:$O78,E78)+COUNTIF(LOCAL_REFERENCE!$D78:$O78,F78)+COUNTIF(LOCAL_REFERENCE!$D78:$O78,G78)+COUNTIF(LOCAL_REFERENCE!$D78:$O78,H78)+COUNTIF(LOCAL_REFERENCE!$D78:$O78,I78)=0,"PASS","DUPLICATE")</f>
        <v>PASS</v>
      </c>
      <c r="N78" s="12" t="str">
        <f>CRAWL_LOG!B78</f>
        <v>Chưa chạy</v>
      </c>
      <c r="O78" s="12" t="s">
        <v>42</v>
      </c>
    </row>
    <row r="79" spans="1:15">
      <c r="A79" s="15">
        <v>46333</v>
      </c>
      <c r="B79" s="13" t="s">
        <v>47</v>
      </c>
      <c r="C79" s="13" t="s">
        <v>49</v>
      </c>
      <c r="D79" s="13" t="s">
        <v>10</v>
      </c>
      <c r="E79" s="16">
        <v>46345</v>
      </c>
      <c r="F79" s="16">
        <v>46348</v>
      </c>
      <c r="G79" s="16">
        <v>46352</v>
      </c>
      <c r="H79" s="16">
        <v>46337</v>
      </c>
      <c r="I79" s="16">
        <v>46411</v>
      </c>
      <c r="J79" s="18">
        <f t="shared" si="6"/>
        <v>4</v>
      </c>
      <c r="K79" s="18">
        <f t="shared" si="7"/>
        <v>78</v>
      </c>
      <c r="L79" s="13" t="str">
        <f t="shared" si="8"/>
        <v>PASS</v>
      </c>
      <c r="M79" s="13" t="str">
        <f>IF(COUNTIF(LOCAL_REFERENCE!$D79:$O79,E79)+COUNTIF(LOCAL_REFERENCE!$D79:$O79,F79)+COUNTIF(LOCAL_REFERENCE!$D79:$O79,G79)+COUNTIF(LOCAL_REFERENCE!$D79:$O79,H79)+COUNTIF(LOCAL_REFERENCE!$D79:$O79,I79)=0,"PASS","DUPLICATE")</f>
        <v>PASS</v>
      </c>
      <c r="N79" s="13" t="str">
        <f>CRAWL_LOG!B79</f>
        <v>Chưa chạy</v>
      </c>
      <c r="O79" s="13" t="s">
        <v>42</v>
      </c>
    </row>
    <row r="80" spans="1:15">
      <c r="A80" s="14">
        <v>46334</v>
      </c>
      <c r="B80" s="12" t="s">
        <v>48</v>
      </c>
      <c r="C80" s="12" t="s">
        <v>49</v>
      </c>
      <c r="D80" s="12" t="s">
        <v>10</v>
      </c>
      <c r="E80" s="16">
        <v>46345</v>
      </c>
      <c r="F80" s="16">
        <v>46348</v>
      </c>
      <c r="G80" s="16">
        <v>46352</v>
      </c>
      <c r="H80" s="16">
        <v>46337</v>
      </c>
      <c r="I80" s="16">
        <v>46411</v>
      </c>
      <c r="J80" s="17">
        <f t="shared" si="6"/>
        <v>3</v>
      </c>
      <c r="K80" s="17">
        <f t="shared" si="7"/>
        <v>77</v>
      </c>
      <c r="L80" s="12" t="str">
        <f t="shared" si="8"/>
        <v>PASS</v>
      </c>
      <c r="M80" s="12" t="str">
        <f>IF(COUNTIF(LOCAL_REFERENCE!$D80:$O80,E80)+COUNTIF(LOCAL_REFERENCE!$D80:$O80,F80)+COUNTIF(LOCAL_REFERENCE!$D80:$O80,G80)+COUNTIF(LOCAL_REFERENCE!$D80:$O80,H80)+COUNTIF(LOCAL_REFERENCE!$D80:$O80,I80)=0,"PASS","DUPLICATE")</f>
        <v>PASS</v>
      </c>
      <c r="N80" s="12" t="str">
        <f>CRAWL_LOG!B80</f>
        <v>Chưa chạy</v>
      </c>
      <c r="O80" s="12" t="s">
        <v>42</v>
      </c>
    </row>
    <row r="81" spans="1:15">
      <c r="A81" s="15">
        <v>46335</v>
      </c>
      <c r="B81" s="13" t="s">
        <v>40</v>
      </c>
      <c r="C81" s="13" t="s">
        <v>49</v>
      </c>
      <c r="D81" s="13" t="s">
        <v>10</v>
      </c>
      <c r="E81" s="16">
        <v>46345</v>
      </c>
      <c r="F81" s="16">
        <v>46348</v>
      </c>
      <c r="G81" s="16">
        <v>46352</v>
      </c>
      <c r="H81" s="16">
        <v>46337</v>
      </c>
      <c r="I81" s="16">
        <v>46411</v>
      </c>
      <c r="J81" s="18">
        <f t="shared" si="6"/>
        <v>2</v>
      </c>
      <c r="K81" s="18">
        <f t="shared" si="7"/>
        <v>76</v>
      </c>
      <c r="L81" s="13" t="str">
        <f t="shared" si="8"/>
        <v>PASS</v>
      </c>
      <c r="M81" s="13" t="str">
        <f>IF(COUNTIF(LOCAL_REFERENCE!$D81:$O81,E81)+COUNTIF(LOCAL_REFERENCE!$D81:$O81,F81)+COUNTIF(LOCAL_REFERENCE!$D81:$O81,G81)+COUNTIF(LOCAL_REFERENCE!$D81:$O81,H81)+COUNTIF(LOCAL_REFERENCE!$D81:$O81,I81)=0,"PASS","DUPLICATE")</f>
        <v>PASS</v>
      </c>
      <c r="N81" s="13" t="str">
        <f>CRAWL_LOG!B81</f>
        <v>Chưa chạy</v>
      </c>
      <c r="O81" s="13" t="s">
        <v>42</v>
      </c>
    </row>
    <row r="82" spans="1:15">
      <c r="A82" s="14">
        <v>46336</v>
      </c>
      <c r="B82" s="12" t="s">
        <v>43</v>
      </c>
      <c r="C82" s="12" t="s">
        <v>49</v>
      </c>
      <c r="D82" s="12" t="s">
        <v>10</v>
      </c>
      <c r="E82" s="16">
        <v>46345</v>
      </c>
      <c r="F82" s="16">
        <v>46348</v>
      </c>
      <c r="G82" s="16">
        <v>46352</v>
      </c>
      <c r="H82" s="16">
        <v>46337</v>
      </c>
      <c r="I82" s="16">
        <v>46411</v>
      </c>
      <c r="J82" s="17">
        <f t="shared" si="6"/>
        <v>1</v>
      </c>
      <c r="K82" s="17">
        <f t="shared" si="7"/>
        <v>75</v>
      </c>
      <c r="L82" s="12" t="str">
        <f t="shared" si="8"/>
        <v>PASS</v>
      </c>
      <c r="M82" s="12" t="str">
        <f>IF(COUNTIF(LOCAL_REFERENCE!$D82:$O82,E82)+COUNTIF(LOCAL_REFERENCE!$D82:$O82,F82)+COUNTIF(LOCAL_REFERENCE!$D82:$O82,G82)+COUNTIF(LOCAL_REFERENCE!$D82:$O82,H82)+COUNTIF(LOCAL_REFERENCE!$D82:$O82,I82)=0,"PASS","DUPLICATE")</f>
        <v>PASS</v>
      </c>
      <c r="N82" s="12" t="str">
        <f>CRAWL_LOG!B82</f>
        <v>Chưa chạy</v>
      </c>
      <c r="O82" s="12" t="s">
        <v>42</v>
      </c>
    </row>
    <row r="83" spans="1:15">
      <c r="A83" s="15">
        <v>46337</v>
      </c>
      <c r="B83" s="13" t="s">
        <v>44</v>
      </c>
      <c r="C83" s="13" t="s">
        <v>49</v>
      </c>
      <c r="D83" s="13" t="s">
        <v>10</v>
      </c>
      <c r="E83" s="16">
        <v>46345</v>
      </c>
      <c r="F83" s="16">
        <v>46348</v>
      </c>
      <c r="G83" s="16">
        <v>46352</v>
      </c>
      <c r="H83" s="16">
        <v>46337</v>
      </c>
      <c r="I83" s="16">
        <v>46411</v>
      </c>
      <c r="J83" s="18">
        <f t="shared" si="6"/>
        <v>0</v>
      </c>
      <c r="K83" s="18">
        <f t="shared" si="7"/>
        <v>74</v>
      </c>
      <c r="L83" s="13" t="str">
        <f t="shared" si="8"/>
        <v>PASS</v>
      </c>
      <c r="M83" s="13" t="str">
        <f>IF(COUNTIF(LOCAL_REFERENCE!$D83:$O83,E83)+COUNTIF(LOCAL_REFERENCE!$D83:$O83,F83)+COUNTIF(LOCAL_REFERENCE!$D83:$O83,G83)+COUNTIF(LOCAL_REFERENCE!$D83:$O83,H83)+COUNTIF(LOCAL_REFERENCE!$D83:$O83,I83)=0,"PASS","DUPLICATE")</f>
        <v>PASS</v>
      </c>
      <c r="N83" s="13" t="str">
        <f>CRAWL_LOG!B83</f>
        <v>Chưa chạy</v>
      </c>
      <c r="O83" s="13" t="s">
        <v>42</v>
      </c>
    </row>
    <row r="84" spans="1:15">
      <c r="A84" s="14">
        <v>46338</v>
      </c>
      <c r="B84" s="12" t="s">
        <v>45</v>
      </c>
      <c r="C84" s="12" t="s">
        <v>49</v>
      </c>
      <c r="D84" s="12" t="s">
        <v>10</v>
      </c>
      <c r="E84" s="16">
        <v>46345</v>
      </c>
      <c r="F84" s="16">
        <v>46348</v>
      </c>
      <c r="G84" s="16">
        <v>46352</v>
      </c>
      <c r="H84" s="16">
        <v>46365</v>
      </c>
      <c r="I84" s="16">
        <v>46411</v>
      </c>
      <c r="J84" s="17">
        <f t="shared" si="6"/>
        <v>7</v>
      </c>
      <c r="K84" s="17">
        <f t="shared" si="7"/>
        <v>73</v>
      </c>
      <c r="L84" s="12" t="str">
        <f t="shared" si="8"/>
        <v>PASS</v>
      </c>
      <c r="M84" s="12" t="str">
        <f>IF(COUNTIF(LOCAL_REFERENCE!$D84:$O84,E84)+COUNTIF(LOCAL_REFERENCE!$D84:$O84,F84)+COUNTIF(LOCAL_REFERENCE!$D84:$O84,G84)+COUNTIF(LOCAL_REFERENCE!$D84:$O84,H84)+COUNTIF(LOCAL_REFERENCE!$D84:$O84,I84)=0,"PASS","DUPLICATE")</f>
        <v>PASS</v>
      </c>
      <c r="N84" s="12" t="str">
        <f>CRAWL_LOG!B84</f>
        <v>Chưa chạy</v>
      </c>
      <c r="O84" s="12" t="s">
        <v>42</v>
      </c>
    </row>
    <row r="85" spans="1:15">
      <c r="A85" s="15">
        <v>46339</v>
      </c>
      <c r="B85" s="13" t="s">
        <v>46</v>
      </c>
      <c r="C85" s="13" t="s">
        <v>49</v>
      </c>
      <c r="D85" s="13" t="s">
        <v>10</v>
      </c>
      <c r="E85" s="16">
        <v>46345</v>
      </c>
      <c r="F85" s="16">
        <v>46348</v>
      </c>
      <c r="G85" s="16">
        <v>46352</v>
      </c>
      <c r="H85" s="16">
        <v>46365</v>
      </c>
      <c r="I85" s="16">
        <v>46411</v>
      </c>
      <c r="J85" s="18">
        <f t="shared" si="6"/>
        <v>6</v>
      </c>
      <c r="K85" s="18">
        <f t="shared" si="7"/>
        <v>72</v>
      </c>
      <c r="L85" s="13" t="str">
        <f t="shared" si="8"/>
        <v>PASS</v>
      </c>
      <c r="M85" s="13" t="str">
        <f>IF(COUNTIF(LOCAL_REFERENCE!$D85:$O85,E85)+COUNTIF(LOCAL_REFERENCE!$D85:$O85,F85)+COUNTIF(LOCAL_REFERENCE!$D85:$O85,G85)+COUNTIF(LOCAL_REFERENCE!$D85:$O85,H85)+COUNTIF(LOCAL_REFERENCE!$D85:$O85,I85)=0,"PASS","DUPLICATE")</f>
        <v>PASS</v>
      </c>
      <c r="N85" s="13" t="str">
        <f>CRAWL_LOG!B85</f>
        <v>Chưa chạy</v>
      </c>
      <c r="O85" s="13" t="s">
        <v>42</v>
      </c>
    </row>
    <row r="86" spans="1:15">
      <c r="A86" s="14">
        <v>46340</v>
      </c>
      <c r="B86" s="12" t="s">
        <v>47</v>
      </c>
      <c r="C86" s="12" t="s">
        <v>49</v>
      </c>
      <c r="D86" s="12" t="s">
        <v>10</v>
      </c>
      <c r="E86" s="16">
        <v>46345</v>
      </c>
      <c r="F86" s="16">
        <v>46348</v>
      </c>
      <c r="G86" s="16">
        <v>46352</v>
      </c>
      <c r="H86" s="16">
        <v>46365</v>
      </c>
      <c r="I86" s="16">
        <v>46411</v>
      </c>
      <c r="J86" s="17">
        <f t="shared" si="6"/>
        <v>5</v>
      </c>
      <c r="K86" s="17">
        <f t="shared" si="7"/>
        <v>71</v>
      </c>
      <c r="L86" s="12" t="str">
        <f t="shared" si="8"/>
        <v>PASS</v>
      </c>
      <c r="M86" s="12" t="str">
        <f>IF(COUNTIF(LOCAL_REFERENCE!$D86:$O86,E86)+COUNTIF(LOCAL_REFERENCE!$D86:$O86,F86)+COUNTIF(LOCAL_REFERENCE!$D86:$O86,G86)+COUNTIF(LOCAL_REFERENCE!$D86:$O86,H86)+COUNTIF(LOCAL_REFERENCE!$D86:$O86,I86)=0,"PASS","DUPLICATE")</f>
        <v>PASS</v>
      </c>
      <c r="N86" s="12" t="str">
        <f>CRAWL_LOG!B86</f>
        <v>Chưa chạy</v>
      </c>
      <c r="O86" s="12" t="s">
        <v>42</v>
      </c>
    </row>
    <row r="87" spans="1:15">
      <c r="A87" s="15">
        <v>46341</v>
      </c>
      <c r="B87" s="13" t="s">
        <v>48</v>
      </c>
      <c r="C87" s="13" t="s">
        <v>49</v>
      </c>
      <c r="D87" s="13" t="s">
        <v>10</v>
      </c>
      <c r="E87" s="16">
        <v>46345</v>
      </c>
      <c r="F87" s="16">
        <v>46348</v>
      </c>
      <c r="G87" s="16">
        <v>46352</v>
      </c>
      <c r="H87" s="16">
        <v>46365</v>
      </c>
      <c r="I87" s="16">
        <v>46411</v>
      </c>
      <c r="J87" s="18">
        <f t="shared" si="6"/>
        <v>4</v>
      </c>
      <c r="K87" s="18">
        <f t="shared" si="7"/>
        <v>70</v>
      </c>
      <c r="L87" s="13" t="str">
        <f t="shared" si="8"/>
        <v>PASS</v>
      </c>
      <c r="M87" s="13" t="str">
        <f>IF(COUNTIF(LOCAL_REFERENCE!$D87:$O87,E87)+COUNTIF(LOCAL_REFERENCE!$D87:$O87,F87)+COUNTIF(LOCAL_REFERENCE!$D87:$O87,G87)+COUNTIF(LOCAL_REFERENCE!$D87:$O87,H87)+COUNTIF(LOCAL_REFERENCE!$D87:$O87,I87)=0,"PASS","DUPLICATE")</f>
        <v>PASS</v>
      </c>
      <c r="N87" s="13" t="str">
        <f>CRAWL_LOG!B87</f>
        <v>Chưa chạy</v>
      </c>
      <c r="O87" s="13" t="s">
        <v>42</v>
      </c>
    </row>
    <row r="88" spans="1:15">
      <c r="A88" s="14">
        <v>46342</v>
      </c>
      <c r="B88" s="12" t="s">
        <v>40</v>
      </c>
      <c r="C88" s="12" t="s">
        <v>49</v>
      </c>
      <c r="D88" s="12" t="s">
        <v>10</v>
      </c>
      <c r="E88" s="16">
        <v>46345</v>
      </c>
      <c r="F88" s="16">
        <v>46348</v>
      </c>
      <c r="G88" s="16">
        <v>46352</v>
      </c>
      <c r="H88" s="16">
        <v>46365</v>
      </c>
      <c r="I88" s="16">
        <v>46411</v>
      </c>
      <c r="J88" s="17">
        <f t="shared" si="6"/>
        <v>3</v>
      </c>
      <c r="K88" s="17">
        <f t="shared" si="7"/>
        <v>69</v>
      </c>
      <c r="L88" s="12" t="str">
        <f t="shared" si="8"/>
        <v>PASS</v>
      </c>
      <c r="M88" s="12" t="str">
        <f>IF(COUNTIF(LOCAL_REFERENCE!$D88:$O88,E88)+COUNTIF(LOCAL_REFERENCE!$D88:$O88,F88)+COUNTIF(LOCAL_REFERENCE!$D88:$O88,G88)+COUNTIF(LOCAL_REFERENCE!$D88:$O88,H88)+COUNTIF(LOCAL_REFERENCE!$D88:$O88,I88)=0,"PASS","DUPLICATE")</f>
        <v>PASS</v>
      </c>
      <c r="N88" s="12" t="str">
        <f>CRAWL_LOG!B88</f>
        <v>Chưa chạy</v>
      </c>
      <c r="O88" s="12" t="s">
        <v>42</v>
      </c>
    </row>
    <row r="89" spans="1:15">
      <c r="A89" s="15">
        <v>46343</v>
      </c>
      <c r="B89" s="13" t="s">
        <v>43</v>
      </c>
      <c r="C89" s="13" t="s">
        <v>49</v>
      </c>
      <c r="D89" s="13" t="s">
        <v>10</v>
      </c>
      <c r="E89" s="16">
        <v>46345</v>
      </c>
      <c r="F89" s="16">
        <v>46348</v>
      </c>
      <c r="G89" s="16">
        <v>46352</v>
      </c>
      <c r="H89" s="16">
        <v>46365</v>
      </c>
      <c r="I89" s="16">
        <v>46411</v>
      </c>
      <c r="J89" s="18">
        <f t="shared" si="6"/>
        <v>2</v>
      </c>
      <c r="K89" s="18">
        <f t="shared" si="7"/>
        <v>68</v>
      </c>
      <c r="L89" s="13" t="str">
        <f t="shared" si="8"/>
        <v>PASS</v>
      </c>
      <c r="M89" s="13" t="str">
        <f>IF(COUNTIF(LOCAL_REFERENCE!$D89:$O89,E89)+COUNTIF(LOCAL_REFERENCE!$D89:$O89,F89)+COUNTIF(LOCAL_REFERENCE!$D89:$O89,G89)+COUNTIF(LOCAL_REFERENCE!$D89:$O89,H89)+COUNTIF(LOCAL_REFERENCE!$D89:$O89,I89)=0,"PASS","DUPLICATE")</f>
        <v>PASS</v>
      </c>
      <c r="N89" s="13" t="str">
        <f>CRAWL_LOG!B89</f>
        <v>Chưa chạy</v>
      </c>
      <c r="O89" s="13" t="s">
        <v>42</v>
      </c>
    </row>
    <row r="90" spans="1:15">
      <c r="A90" s="14">
        <v>46344</v>
      </c>
      <c r="B90" s="12" t="s">
        <v>44</v>
      </c>
      <c r="C90" s="12" t="s">
        <v>49</v>
      </c>
      <c r="D90" s="12" t="s">
        <v>10</v>
      </c>
      <c r="E90" s="16">
        <v>46345</v>
      </c>
      <c r="F90" s="16">
        <v>46348</v>
      </c>
      <c r="G90" s="16">
        <v>46352</v>
      </c>
      <c r="H90" s="16">
        <v>46365</v>
      </c>
      <c r="I90" s="16">
        <v>46411</v>
      </c>
      <c r="J90" s="17">
        <f t="shared" si="6"/>
        <v>1</v>
      </c>
      <c r="K90" s="17">
        <f t="shared" si="7"/>
        <v>67</v>
      </c>
      <c r="L90" s="12" t="str">
        <f t="shared" si="8"/>
        <v>PASS</v>
      </c>
      <c r="M90" s="12" t="str">
        <f>IF(COUNTIF(LOCAL_REFERENCE!$D90:$O90,E90)+COUNTIF(LOCAL_REFERENCE!$D90:$O90,F90)+COUNTIF(LOCAL_REFERENCE!$D90:$O90,G90)+COUNTIF(LOCAL_REFERENCE!$D90:$O90,H90)+COUNTIF(LOCAL_REFERENCE!$D90:$O90,I90)=0,"PASS","DUPLICATE")</f>
        <v>PASS</v>
      </c>
      <c r="N90" s="12" t="str">
        <f>CRAWL_LOG!B90</f>
        <v>Chưa chạy</v>
      </c>
      <c r="O90" s="12" t="s">
        <v>42</v>
      </c>
    </row>
    <row r="91" spans="1:15">
      <c r="A91" s="15">
        <v>46345</v>
      </c>
      <c r="B91" s="13" t="s">
        <v>45</v>
      </c>
      <c r="C91" s="13" t="s">
        <v>49</v>
      </c>
      <c r="D91" s="13" t="s">
        <v>10</v>
      </c>
      <c r="E91" s="16">
        <v>46345</v>
      </c>
      <c r="F91" s="16">
        <v>46348</v>
      </c>
      <c r="G91" s="16">
        <v>46352</v>
      </c>
      <c r="H91" s="16">
        <v>46365</v>
      </c>
      <c r="I91" s="16">
        <v>46411</v>
      </c>
      <c r="J91" s="18">
        <f t="shared" si="6"/>
        <v>0</v>
      </c>
      <c r="K91" s="18">
        <f t="shared" si="7"/>
        <v>66</v>
      </c>
      <c r="L91" s="13" t="str">
        <f t="shared" si="8"/>
        <v>PASS</v>
      </c>
      <c r="M91" s="13" t="str">
        <f>IF(COUNTIF(LOCAL_REFERENCE!$D91:$O91,E91)+COUNTIF(LOCAL_REFERENCE!$D91:$O91,F91)+COUNTIF(LOCAL_REFERENCE!$D91:$O91,G91)+COUNTIF(LOCAL_REFERENCE!$D91:$O91,H91)+COUNTIF(LOCAL_REFERENCE!$D91:$O91,I91)=0,"PASS","DUPLICATE")</f>
        <v>PASS</v>
      </c>
      <c r="N91" s="13" t="str">
        <f>CRAWL_LOG!B91</f>
        <v>Chưa chạy</v>
      </c>
      <c r="O91" s="13" t="s">
        <v>42</v>
      </c>
    </row>
    <row r="92" spans="1:15">
      <c r="A92" s="14">
        <v>46346</v>
      </c>
      <c r="B92" s="12" t="s">
        <v>46</v>
      </c>
      <c r="C92" s="12" t="s">
        <v>49</v>
      </c>
      <c r="D92" s="12" t="s">
        <v>10</v>
      </c>
      <c r="E92" s="16">
        <v>46373</v>
      </c>
      <c r="F92" s="16">
        <v>46348</v>
      </c>
      <c r="G92" s="16">
        <v>46352</v>
      </c>
      <c r="H92" s="16">
        <v>46365</v>
      </c>
      <c r="I92" s="16">
        <v>46411</v>
      </c>
      <c r="J92" s="17">
        <f t="shared" si="6"/>
        <v>2</v>
      </c>
      <c r="K92" s="17">
        <f t="shared" si="7"/>
        <v>65</v>
      </c>
      <c r="L92" s="12" t="str">
        <f t="shared" si="8"/>
        <v>PASS</v>
      </c>
      <c r="M92" s="12" t="str">
        <f>IF(COUNTIF(LOCAL_REFERENCE!$D92:$O92,E92)+COUNTIF(LOCAL_REFERENCE!$D92:$O92,F92)+COUNTIF(LOCAL_REFERENCE!$D92:$O92,G92)+COUNTIF(LOCAL_REFERENCE!$D92:$O92,H92)+COUNTIF(LOCAL_REFERENCE!$D92:$O92,I92)=0,"PASS","DUPLICATE")</f>
        <v>PASS</v>
      </c>
      <c r="N92" s="12" t="str">
        <f>CRAWL_LOG!B92</f>
        <v>Chưa chạy</v>
      </c>
      <c r="O92" s="12" t="s">
        <v>42</v>
      </c>
    </row>
    <row r="93" spans="1:15">
      <c r="A93" s="15">
        <v>46347</v>
      </c>
      <c r="B93" s="13" t="s">
        <v>47</v>
      </c>
      <c r="C93" s="13" t="s">
        <v>49</v>
      </c>
      <c r="D93" s="13" t="s">
        <v>10</v>
      </c>
      <c r="E93" s="16">
        <v>46373</v>
      </c>
      <c r="F93" s="16">
        <v>46348</v>
      </c>
      <c r="G93" s="16">
        <v>46352</v>
      </c>
      <c r="H93" s="16">
        <v>46365</v>
      </c>
      <c r="I93" s="16">
        <v>46411</v>
      </c>
      <c r="J93" s="18">
        <f t="shared" si="6"/>
        <v>1</v>
      </c>
      <c r="K93" s="18">
        <f t="shared" si="7"/>
        <v>64</v>
      </c>
      <c r="L93" s="13" t="str">
        <f t="shared" si="8"/>
        <v>PASS</v>
      </c>
      <c r="M93" s="13" t="str">
        <f>IF(COUNTIF(LOCAL_REFERENCE!$D93:$O93,E93)+COUNTIF(LOCAL_REFERENCE!$D93:$O93,F93)+COUNTIF(LOCAL_REFERENCE!$D93:$O93,G93)+COUNTIF(LOCAL_REFERENCE!$D93:$O93,H93)+COUNTIF(LOCAL_REFERENCE!$D93:$O93,I93)=0,"PASS","DUPLICATE")</f>
        <v>PASS</v>
      </c>
      <c r="N93" s="13" t="str">
        <f>CRAWL_LOG!B93</f>
        <v>Chưa chạy</v>
      </c>
      <c r="O93" s="13" t="s">
        <v>42</v>
      </c>
    </row>
    <row r="94" spans="1:15">
      <c r="A94" s="14">
        <v>46348</v>
      </c>
      <c r="B94" s="12" t="s">
        <v>48</v>
      </c>
      <c r="C94" s="12" t="s">
        <v>49</v>
      </c>
      <c r="D94" s="12" t="s">
        <v>10</v>
      </c>
      <c r="E94" s="16">
        <v>46373</v>
      </c>
      <c r="F94" s="16">
        <v>46348</v>
      </c>
      <c r="G94" s="16">
        <v>46352</v>
      </c>
      <c r="H94" s="16">
        <v>46365</v>
      </c>
      <c r="I94" s="16">
        <v>46411</v>
      </c>
      <c r="J94" s="17">
        <f t="shared" si="6"/>
        <v>0</v>
      </c>
      <c r="K94" s="17">
        <f t="shared" si="7"/>
        <v>63</v>
      </c>
      <c r="L94" s="12" t="str">
        <f t="shared" si="8"/>
        <v>PASS</v>
      </c>
      <c r="M94" s="12" t="str">
        <f>IF(COUNTIF(LOCAL_REFERENCE!$D94:$O94,E94)+COUNTIF(LOCAL_REFERENCE!$D94:$O94,F94)+COUNTIF(LOCAL_REFERENCE!$D94:$O94,G94)+COUNTIF(LOCAL_REFERENCE!$D94:$O94,H94)+COUNTIF(LOCAL_REFERENCE!$D94:$O94,I94)=0,"PASS","DUPLICATE")</f>
        <v>PASS</v>
      </c>
      <c r="N94" s="12" t="str">
        <f>CRAWL_LOG!B94</f>
        <v>Chưa chạy</v>
      </c>
      <c r="O94" s="12" t="s">
        <v>42</v>
      </c>
    </row>
    <row r="95" spans="1:15">
      <c r="A95" s="15">
        <v>46349</v>
      </c>
      <c r="B95" s="13" t="s">
        <v>40</v>
      </c>
      <c r="C95" s="13" t="s">
        <v>49</v>
      </c>
      <c r="D95" s="13" t="s">
        <v>10</v>
      </c>
      <c r="E95" s="16">
        <v>46373</v>
      </c>
      <c r="F95" s="16">
        <v>46376</v>
      </c>
      <c r="G95" s="16">
        <v>46352</v>
      </c>
      <c r="H95" s="16">
        <v>46365</v>
      </c>
      <c r="I95" s="16">
        <v>46411</v>
      </c>
      <c r="J95" s="18">
        <f t="shared" si="6"/>
        <v>3</v>
      </c>
      <c r="K95" s="18">
        <f t="shared" si="7"/>
        <v>62</v>
      </c>
      <c r="L95" s="13" t="str">
        <f t="shared" si="8"/>
        <v>PASS</v>
      </c>
      <c r="M95" s="13" t="str">
        <f>IF(COUNTIF(LOCAL_REFERENCE!$D95:$O95,E95)+COUNTIF(LOCAL_REFERENCE!$D95:$O95,F95)+COUNTIF(LOCAL_REFERENCE!$D95:$O95,G95)+COUNTIF(LOCAL_REFERENCE!$D95:$O95,H95)+COUNTIF(LOCAL_REFERENCE!$D95:$O95,I95)=0,"PASS","DUPLICATE")</f>
        <v>PASS</v>
      </c>
      <c r="N95" s="13" t="str">
        <f>CRAWL_LOG!B95</f>
        <v>Chưa chạy</v>
      </c>
      <c r="O95" s="13" t="s">
        <v>42</v>
      </c>
    </row>
    <row r="96" spans="1:15">
      <c r="A96" s="14">
        <v>46350</v>
      </c>
      <c r="B96" s="12" t="s">
        <v>43</v>
      </c>
      <c r="C96" s="12" t="s">
        <v>49</v>
      </c>
      <c r="D96" s="12" t="s">
        <v>10</v>
      </c>
      <c r="E96" s="16">
        <v>46373</v>
      </c>
      <c r="F96" s="16">
        <v>46376</v>
      </c>
      <c r="G96" s="16">
        <v>46352</v>
      </c>
      <c r="H96" s="16">
        <v>46365</v>
      </c>
      <c r="I96" s="16">
        <v>46411</v>
      </c>
      <c r="J96" s="17">
        <f t="shared" si="6"/>
        <v>2</v>
      </c>
      <c r="K96" s="17">
        <f t="shared" si="7"/>
        <v>61</v>
      </c>
      <c r="L96" s="12" t="str">
        <f t="shared" si="8"/>
        <v>PASS</v>
      </c>
      <c r="M96" s="12" t="str">
        <f>IF(COUNTIF(LOCAL_REFERENCE!$D96:$O96,E96)+COUNTIF(LOCAL_REFERENCE!$D96:$O96,F96)+COUNTIF(LOCAL_REFERENCE!$D96:$O96,G96)+COUNTIF(LOCAL_REFERENCE!$D96:$O96,H96)+COUNTIF(LOCAL_REFERENCE!$D96:$O96,I96)=0,"PASS","DUPLICATE")</f>
        <v>PASS</v>
      </c>
      <c r="N96" s="12" t="str">
        <f>CRAWL_LOG!B96</f>
        <v>Chưa chạy</v>
      </c>
      <c r="O96" s="12" t="s">
        <v>42</v>
      </c>
    </row>
    <row r="97" spans="1:15">
      <c r="A97" s="15">
        <v>46351</v>
      </c>
      <c r="B97" s="13" t="s">
        <v>44</v>
      </c>
      <c r="C97" s="13" t="s">
        <v>49</v>
      </c>
      <c r="D97" s="13" t="s">
        <v>10</v>
      </c>
      <c r="E97" s="16">
        <v>46373</v>
      </c>
      <c r="F97" s="16">
        <v>46376</v>
      </c>
      <c r="G97" s="16">
        <v>46352</v>
      </c>
      <c r="H97" s="16">
        <v>46365</v>
      </c>
      <c r="I97" s="16">
        <v>46411</v>
      </c>
      <c r="J97" s="18">
        <f t="shared" si="6"/>
        <v>1</v>
      </c>
      <c r="K97" s="18">
        <f t="shared" si="7"/>
        <v>60</v>
      </c>
      <c r="L97" s="13" t="str">
        <f t="shared" si="8"/>
        <v>PASS</v>
      </c>
      <c r="M97" s="13" t="str">
        <f>IF(COUNTIF(LOCAL_REFERENCE!$D97:$O97,E97)+COUNTIF(LOCAL_REFERENCE!$D97:$O97,F97)+COUNTIF(LOCAL_REFERENCE!$D97:$O97,G97)+COUNTIF(LOCAL_REFERENCE!$D97:$O97,H97)+COUNTIF(LOCAL_REFERENCE!$D97:$O97,I97)=0,"PASS","DUPLICATE")</f>
        <v>PASS</v>
      </c>
      <c r="N97" s="13" t="str">
        <f>CRAWL_LOG!B97</f>
        <v>Chưa chạy</v>
      </c>
      <c r="O97" s="13" t="s">
        <v>42</v>
      </c>
    </row>
    <row r="98" spans="1:15">
      <c r="A98" s="14">
        <v>46352</v>
      </c>
      <c r="B98" s="12" t="s">
        <v>45</v>
      </c>
      <c r="C98" s="12" t="s">
        <v>49</v>
      </c>
      <c r="D98" s="12" t="s">
        <v>10</v>
      </c>
      <c r="E98" s="16">
        <v>46373</v>
      </c>
      <c r="F98" s="16">
        <v>46376</v>
      </c>
      <c r="G98" s="16">
        <v>46352</v>
      </c>
      <c r="H98" s="16">
        <v>46365</v>
      </c>
      <c r="I98" s="16">
        <v>46411</v>
      </c>
      <c r="J98" s="17">
        <f t="shared" si="6"/>
        <v>0</v>
      </c>
      <c r="K98" s="17">
        <f t="shared" si="7"/>
        <v>59</v>
      </c>
      <c r="L98" s="12" t="str">
        <f t="shared" si="8"/>
        <v>PASS</v>
      </c>
      <c r="M98" s="12" t="str">
        <f>IF(COUNTIF(LOCAL_REFERENCE!$D98:$O98,E98)+COUNTIF(LOCAL_REFERENCE!$D98:$O98,F98)+COUNTIF(LOCAL_REFERENCE!$D98:$O98,G98)+COUNTIF(LOCAL_REFERENCE!$D98:$O98,H98)+COUNTIF(LOCAL_REFERENCE!$D98:$O98,I98)=0,"PASS","DUPLICATE")</f>
        <v>PASS</v>
      </c>
      <c r="N98" s="12" t="str">
        <f>CRAWL_LOG!B98</f>
        <v>Chưa chạy</v>
      </c>
      <c r="O98" s="12" t="s">
        <v>42</v>
      </c>
    </row>
    <row r="99" spans="1:15">
      <c r="A99" s="15">
        <v>46353</v>
      </c>
      <c r="B99" s="13" t="s">
        <v>46</v>
      </c>
      <c r="C99" s="13" t="s">
        <v>49</v>
      </c>
      <c r="D99" s="13" t="s">
        <v>10</v>
      </c>
      <c r="E99" s="16">
        <v>46373</v>
      </c>
      <c r="F99" s="16">
        <v>46376</v>
      </c>
      <c r="G99" s="16">
        <v>46380</v>
      </c>
      <c r="H99" s="16">
        <v>46365</v>
      </c>
      <c r="I99" s="16">
        <v>46411</v>
      </c>
      <c r="J99" s="18">
        <f t="shared" si="6"/>
        <v>12</v>
      </c>
      <c r="K99" s="18">
        <f t="shared" si="7"/>
        <v>58</v>
      </c>
      <c r="L99" s="13" t="str">
        <f t="shared" si="8"/>
        <v>PASS</v>
      </c>
      <c r="M99" s="13" t="str">
        <f>IF(COUNTIF(LOCAL_REFERENCE!$D99:$O99,E99)+COUNTIF(LOCAL_REFERENCE!$D99:$O99,F99)+COUNTIF(LOCAL_REFERENCE!$D99:$O99,G99)+COUNTIF(LOCAL_REFERENCE!$D99:$O99,H99)+COUNTIF(LOCAL_REFERENCE!$D99:$O99,I99)=0,"PASS","DUPLICATE")</f>
        <v>PASS</v>
      </c>
      <c r="N99" s="13" t="str">
        <f>CRAWL_LOG!B99</f>
        <v>Chưa chạy</v>
      </c>
      <c r="O99" s="13" t="s">
        <v>42</v>
      </c>
    </row>
    <row r="100" spans="1:15">
      <c r="A100" s="14">
        <v>46354</v>
      </c>
      <c r="B100" s="12" t="s">
        <v>47</v>
      </c>
      <c r="C100" s="12" t="s">
        <v>49</v>
      </c>
      <c r="D100" s="12" t="s">
        <v>10</v>
      </c>
      <c r="E100" s="16">
        <v>46373</v>
      </c>
      <c r="F100" s="16">
        <v>46376</v>
      </c>
      <c r="G100" s="16">
        <v>46380</v>
      </c>
      <c r="H100" s="16">
        <v>46365</v>
      </c>
      <c r="I100" s="16">
        <v>46411</v>
      </c>
      <c r="J100" s="17">
        <f t="shared" ref="J100:J102" si="9">MIN(E100:I100)-A100</f>
        <v>11</v>
      </c>
      <c r="K100" s="17">
        <f t="shared" si="7"/>
        <v>57</v>
      </c>
      <c r="L100" s="12" t="str">
        <f t="shared" si="8"/>
        <v>PASS</v>
      </c>
      <c r="M100" s="12" t="str">
        <f>IF(COUNTIF(LOCAL_REFERENCE!$D100:$O100,E100)+COUNTIF(LOCAL_REFERENCE!$D100:$O100,F100)+COUNTIF(LOCAL_REFERENCE!$D100:$O100,G100)+COUNTIF(LOCAL_REFERENCE!$D100:$O100,H100)+COUNTIF(LOCAL_REFERENCE!$D100:$O100,I100)=0,"PASS","DUPLICATE")</f>
        <v>PASS</v>
      </c>
      <c r="N100" s="12" t="str">
        <f>CRAWL_LOG!B100</f>
        <v>Chưa chạy</v>
      </c>
      <c r="O100" s="12" t="s">
        <v>42</v>
      </c>
    </row>
    <row r="101" spans="1:15">
      <c r="A101" s="15">
        <v>46355</v>
      </c>
      <c r="B101" s="13" t="s">
        <v>48</v>
      </c>
      <c r="C101" s="13" t="s">
        <v>49</v>
      </c>
      <c r="D101" s="13" t="s">
        <v>10</v>
      </c>
      <c r="E101" s="16">
        <v>46373</v>
      </c>
      <c r="F101" s="16">
        <v>46376</v>
      </c>
      <c r="G101" s="16">
        <v>46380</v>
      </c>
      <c r="H101" s="16">
        <v>46365</v>
      </c>
      <c r="I101" s="16">
        <v>46411</v>
      </c>
      <c r="J101" s="18">
        <f t="shared" si="9"/>
        <v>10</v>
      </c>
      <c r="K101" s="18">
        <f t="shared" si="7"/>
        <v>56</v>
      </c>
      <c r="L101" s="13" t="str">
        <f t="shared" si="8"/>
        <v>PASS</v>
      </c>
      <c r="M101" s="13" t="str">
        <f>IF(COUNTIF(LOCAL_REFERENCE!$D101:$O101,E101)+COUNTIF(LOCAL_REFERENCE!$D101:$O101,F101)+COUNTIF(LOCAL_REFERENCE!$D101:$O101,G101)+COUNTIF(LOCAL_REFERENCE!$D101:$O101,H101)+COUNTIF(LOCAL_REFERENCE!$D101:$O101,I101)=0,"PASS","DUPLICATE")</f>
        <v>PASS</v>
      </c>
      <c r="N101" s="13" t="str">
        <f>CRAWL_LOG!B101</f>
        <v>Chưa chạy</v>
      </c>
      <c r="O101" s="13" t="s">
        <v>42</v>
      </c>
    </row>
    <row r="102" spans="1:15">
      <c r="A102" s="14">
        <v>46356</v>
      </c>
      <c r="B102" s="12" t="s">
        <v>40</v>
      </c>
      <c r="C102" s="12" t="s">
        <v>49</v>
      </c>
      <c r="D102" s="12" t="s">
        <v>10</v>
      </c>
      <c r="E102" s="16">
        <v>46373</v>
      </c>
      <c r="F102" s="16">
        <v>46376</v>
      </c>
      <c r="G102" s="16">
        <v>46380</v>
      </c>
      <c r="H102" s="16">
        <v>46365</v>
      </c>
      <c r="I102" s="16">
        <v>46411</v>
      </c>
      <c r="J102" s="17">
        <f t="shared" si="9"/>
        <v>9</v>
      </c>
      <c r="K102" s="17">
        <f t="shared" si="7"/>
        <v>55</v>
      </c>
      <c r="L102" s="12" t="str">
        <f t="shared" si="8"/>
        <v>PASS</v>
      </c>
      <c r="M102" s="12" t="str">
        <f>IF(COUNTIF(LOCAL_REFERENCE!$D102:$O102,E102)+COUNTIF(LOCAL_REFERENCE!$D102:$O102,F102)+COUNTIF(LOCAL_REFERENCE!$D102:$O102,G102)+COUNTIF(LOCAL_REFERENCE!$D102:$O102,H102)+COUNTIF(LOCAL_REFERENCE!$D102:$O102,I102)=0,"PASS","DUPLICATE")</f>
        <v>PASS</v>
      </c>
      <c r="N102" s="12" t="str">
        <f>CRAWL_LOG!B102</f>
        <v>Chưa chạy</v>
      </c>
      <c r="O102" s="12" t="s">
        <v>42</v>
      </c>
    </row>
  </sheetData>
  <mergeCells count="2">
    <mergeCell ref="A1:O1"/>
    <mergeCell ref="A2:O2"/>
  </mergeCells>
  <conditionalFormatting sqref="L4:N102">
    <cfRule type="containsText" dxfId="7" priority="1" operator="containsText" text="PASS"/>
    <cfRule type="containsText" dxfId="6" priority="2" operator="containsText" text="CHECK"/>
    <cfRule type="containsText" dxfId="5" priority="3" operator="containsText" text="DUPLICATE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"/>
  <sheetViews>
    <sheetView showGridLines="0" topLeftCell="A19" workbookViewId="0">
      <selection activeCell="E49" sqref="E49"/>
    </sheetView>
  </sheetViews>
  <sheetFormatPr defaultRowHeight="14"/>
  <cols>
    <col min="1" max="1" width="14" customWidth="1"/>
    <col min="2" max="2" width="20" customWidth="1"/>
    <col min="3" max="3" width="12" customWidth="1"/>
    <col min="4" max="5" width="19" style="38" customWidth="1"/>
    <col min="6" max="6" width="16" customWidth="1"/>
    <col min="7" max="16" width="13" customWidth="1"/>
    <col min="17" max="17" width="38" customWidth="1"/>
  </cols>
  <sheetData>
    <row r="1" spans="1:17" ht="28" customHeight="1">
      <c r="A1" s="39" t="s">
        <v>50</v>
      </c>
      <c r="B1" s="40"/>
      <c r="C1" s="40"/>
      <c r="D1" s="43"/>
      <c r="E1" s="43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>
      <c r="A2" s="42" t="s">
        <v>51</v>
      </c>
      <c r="B2" s="40"/>
      <c r="C2" s="40"/>
      <c r="D2" s="43"/>
      <c r="E2" s="43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ht="28" customHeight="1">
      <c r="A3" s="1" t="s">
        <v>25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  <c r="Q3" s="1" t="s">
        <v>67</v>
      </c>
    </row>
    <row r="4" spans="1:17">
      <c r="A4" s="14">
        <v>46258</v>
      </c>
      <c r="B4" s="12" t="s">
        <v>68</v>
      </c>
      <c r="C4" s="12">
        <v>1</v>
      </c>
      <c r="D4" s="35">
        <v>46258.026273148149</v>
      </c>
      <c r="E4" s="35">
        <v>46258.717291666668</v>
      </c>
      <c r="F4" s="19">
        <f>IF(OR(D4="",E4=""),"",24*(E4-D4))</f>
        <v>16.584444444451947</v>
      </c>
      <c r="G4" s="21">
        <v>1775</v>
      </c>
      <c r="H4" s="21">
        <v>1775</v>
      </c>
      <c r="I4" s="21">
        <v>1525</v>
      </c>
      <c r="J4" s="21">
        <v>0</v>
      </c>
      <c r="K4" s="21">
        <v>245</v>
      </c>
      <c r="L4" s="21">
        <v>5</v>
      </c>
      <c r="M4" s="21">
        <v>0</v>
      </c>
      <c r="N4" s="21">
        <v>13709</v>
      </c>
      <c r="O4" s="21">
        <v>5</v>
      </c>
      <c r="P4" s="12" t="s">
        <v>69</v>
      </c>
      <c r="Q4" s="12"/>
    </row>
    <row r="5" spans="1:17">
      <c r="A5" s="15">
        <v>46259</v>
      </c>
      <c r="B5" s="13" t="s">
        <v>68</v>
      </c>
      <c r="C5" s="13">
        <f>C4+1</f>
        <v>2</v>
      </c>
      <c r="D5" s="36">
        <v>46259.035428240742</v>
      </c>
      <c r="E5" s="36">
        <v>46259.754317129627</v>
      </c>
      <c r="F5" s="20">
        <f>IF(OR(D5="",E5=""),"",24*(E5-D5))</f>
        <v>17.253333333239425</v>
      </c>
      <c r="G5" s="22">
        <v>1775</v>
      </c>
      <c r="H5" s="22">
        <v>1775</v>
      </c>
      <c r="I5" s="22">
        <v>1515</v>
      </c>
      <c r="J5" s="22">
        <v>0</v>
      </c>
      <c r="K5" s="22">
        <v>255</v>
      </c>
      <c r="L5" s="22">
        <v>5</v>
      </c>
      <c r="M5" s="22">
        <v>0</v>
      </c>
      <c r="N5" s="22">
        <v>13327</v>
      </c>
      <c r="O5" s="22">
        <v>5</v>
      </c>
      <c r="P5" s="13" t="s">
        <v>69</v>
      </c>
      <c r="Q5" s="13"/>
    </row>
    <row r="6" spans="1:17">
      <c r="A6" s="14">
        <v>46260</v>
      </c>
      <c r="B6" s="12" t="s">
        <v>68</v>
      </c>
      <c r="C6" s="12">
        <v>3</v>
      </c>
      <c r="D6" s="35">
        <v>46260.028437499997</v>
      </c>
      <c r="E6" s="35">
        <v>46260.774340277778</v>
      </c>
      <c r="F6" s="19">
        <v>17.901666666666671</v>
      </c>
      <c r="G6" s="21">
        <v>1775</v>
      </c>
      <c r="H6" s="21">
        <v>1775</v>
      </c>
      <c r="I6" s="21">
        <v>1506</v>
      </c>
      <c r="J6" s="21">
        <v>0</v>
      </c>
      <c r="K6" s="21">
        <v>264</v>
      </c>
      <c r="L6" s="21">
        <v>5</v>
      </c>
      <c r="M6" s="21">
        <v>0</v>
      </c>
      <c r="N6" s="21">
        <v>13245</v>
      </c>
      <c r="O6" s="21">
        <v>5</v>
      </c>
      <c r="P6" s="12" t="s">
        <v>69</v>
      </c>
      <c r="Q6" s="12"/>
    </row>
    <row r="7" spans="1:17">
      <c r="A7" s="15">
        <v>46261</v>
      </c>
      <c r="B7" s="13" t="s">
        <v>70</v>
      </c>
      <c r="C7" s="13">
        <v>4</v>
      </c>
      <c r="D7" s="36">
        <v>46261.023078703707</v>
      </c>
      <c r="E7" s="36">
        <v>46261.932870370372</v>
      </c>
      <c r="F7" s="20">
        <v>21.834999999962751</v>
      </c>
      <c r="G7" s="22">
        <v>1775</v>
      </c>
      <c r="H7" s="22">
        <v>1775</v>
      </c>
      <c r="I7" s="22">
        <v>1544</v>
      </c>
      <c r="J7" s="22">
        <v>0</v>
      </c>
      <c r="K7" s="22">
        <v>186</v>
      </c>
      <c r="L7" s="22">
        <v>35</v>
      </c>
      <c r="M7" s="22">
        <v>10</v>
      </c>
      <c r="N7" s="22">
        <v>14080</v>
      </c>
      <c r="O7" s="22">
        <v>5</v>
      </c>
      <c r="P7" s="13" t="s">
        <v>69</v>
      </c>
      <c r="Q7" s="13" t="s">
        <v>71</v>
      </c>
    </row>
    <row r="8" spans="1:17">
      <c r="A8" s="14">
        <v>46262</v>
      </c>
      <c r="B8" s="12" t="s">
        <v>70</v>
      </c>
      <c r="C8" s="12">
        <v>5</v>
      </c>
      <c r="D8" s="35">
        <v>46262.037210648137</v>
      </c>
      <c r="E8" s="35">
        <v>46262.857141203713</v>
      </c>
      <c r="F8" s="19">
        <v>19.678333333333331</v>
      </c>
      <c r="G8" s="21">
        <v>1775</v>
      </c>
      <c r="H8" s="21">
        <v>1775</v>
      </c>
      <c r="I8" s="21">
        <v>1495</v>
      </c>
      <c r="J8" s="21">
        <v>0</v>
      </c>
      <c r="K8" s="21">
        <v>235</v>
      </c>
      <c r="L8" s="21">
        <v>40</v>
      </c>
      <c r="M8" s="21">
        <v>5</v>
      </c>
      <c r="N8" s="21">
        <v>13016</v>
      </c>
      <c r="O8" s="21">
        <v>5</v>
      </c>
      <c r="P8" s="12" t="s">
        <v>69</v>
      </c>
      <c r="Q8" s="12"/>
    </row>
    <row r="9" spans="1:17">
      <c r="A9" s="15">
        <v>46263</v>
      </c>
      <c r="B9" s="13" t="s">
        <v>70</v>
      </c>
      <c r="C9" s="13">
        <v>6</v>
      </c>
      <c r="D9" s="36">
        <v>46262.732395833344</v>
      </c>
      <c r="E9" s="36">
        <v>46263.909166666657</v>
      </c>
      <c r="F9" s="20">
        <v>28.2424999998766</v>
      </c>
      <c r="G9" s="22">
        <v>1775</v>
      </c>
      <c r="H9" s="22">
        <v>1775</v>
      </c>
      <c r="I9" s="22">
        <v>1569</v>
      </c>
      <c r="J9" s="22">
        <v>0</v>
      </c>
      <c r="K9" s="22">
        <v>166</v>
      </c>
      <c r="L9" s="22">
        <v>35</v>
      </c>
      <c r="M9" s="22">
        <v>5</v>
      </c>
      <c r="N9" s="22">
        <v>15195</v>
      </c>
      <c r="O9" s="22">
        <v>5</v>
      </c>
      <c r="P9" s="13" t="s">
        <v>69</v>
      </c>
      <c r="Q9" s="13" t="s">
        <v>72</v>
      </c>
    </row>
    <row r="10" spans="1:17">
      <c r="A10" s="14">
        <v>46264</v>
      </c>
      <c r="B10" s="12" t="s">
        <v>70</v>
      </c>
      <c r="C10" s="12">
        <v>7</v>
      </c>
      <c r="D10" s="35">
        <v>46263.73232638889</v>
      </c>
      <c r="E10" s="35">
        <v>46264.507881944453</v>
      </c>
      <c r="F10" s="19">
        <v>18.61333333333333</v>
      </c>
      <c r="G10" s="21">
        <v>1775</v>
      </c>
      <c r="H10" s="21">
        <v>1775</v>
      </c>
      <c r="I10" s="21">
        <v>1475</v>
      </c>
      <c r="J10" s="21">
        <v>0</v>
      </c>
      <c r="K10" s="21">
        <v>265</v>
      </c>
      <c r="L10" s="21">
        <v>30</v>
      </c>
      <c r="M10" s="21">
        <v>5</v>
      </c>
      <c r="N10" s="21">
        <v>12987</v>
      </c>
      <c r="O10" s="21">
        <v>5</v>
      </c>
      <c r="P10" s="12" t="s">
        <v>69</v>
      </c>
      <c r="Q10" s="12"/>
    </row>
    <row r="11" spans="1:17">
      <c r="A11" s="15">
        <v>46265</v>
      </c>
      <c r="B11" s="13" t="s">
        <v>70</v>
      </c>
      <c r="C11" s="13">
        <v>8</v>
      </c>
      <c r="D11" s="36">
        <v>46264.731689814813</v>
      </c>
      <c r="E11" s="36">
        <v>46265.570347222223</v>
      </c>
      <c r="F11" s="20">
        <v>20.12777777777778</v>
      </c>
      <c r="G11" s="22">
        <v>1775</v>
      </c>
      <c r="H11" s="22">
        <v>1775</v>
      </c>
      <c r="I11" s="22">
        <v>1569</v>
      </c>
      <c r="J11" s="22">
        <v>0</v>
      </c>
      <c r="K11" s="22">
        <v>171</v>
      </c>
      <c r="L11" s="22">
        <v>30</v>
      </c>
      <c r="M11" s="22">
        <v>5</v>
      </c>
      <c r="N11" s="22">
        <v>15130</v>
      </c>
      <c r="O11" s="22">
        <v>5</v>
      </c>
      <c r="P11" s="13" t="s">
        <v>69</v>
      </c>
      <c r="Q11" s="13" t="s">
        <v>73</v>
      </c>
    </row>
    <row r="12" spans="1:17">
      <c r="A12" s="14">
        <v>46266</v>
      </c>
      <c r="B12" s="12" t="s">
        <v>70</v>
      </c>
      <c r="C12" s="12">
        <v>9</v>
      </c>
      <c r="D12" s="35">
        <v>46265.732291666667</v>
      </c>
      <c r="E12" s="35">
        <v>46266.582141203697</v>
      </c>
      <c r="F12" s="19">
        <v>20.39638888888889</v>
      </c>
      <c r="G12" s="21">
        <v>1775</v>
      </c>
      <c r="H12" s="21">
        <v>1775</v>
      </c>
      <c r="I12" s="21">
        <v>1578</v>
      </c>
      <c r="J12" s="21">
        <v>0</v>
      </c>
      <c r="K12" s="21">
        <v>162</v>
      </c>
      <c r="L12" s="21">
        <v>30</v>
      </c>
      <c r="M12" s="21">
        <v>5</v>
      </c>
      <c r="N12" s="21">
        <v>15196</v>
      </c>
      <c r="O12" s="21">
        <v>5</v>
      </c>
      <c r="P12" s="12" t="s">
        <v>69</v>
      </c>
      <c r="Q12" s="12" t="s">
        <v>73</v>
      </c>
    </row>
    <row r="13" spans="1:17">
      <c r="A13" s="15">
        <v>46267</v>
      </c>
      <c r="B13" s="13" t="s">
        <v>70</v>
      </c>
      <c r="C13" s="13">
        <v>10</v>
      </c>
      <c r="D13" s="36">
        <v>46267.023321759261</v>
      </c>
      <c r="E13" s="36">
        <v>46267.890324074076</v>
      </c>
      <c r="F13" s="20">
        <v>20.808055555599999</v>
      </c>
      <c r="G13" s="22">
        <v>1775</v>
      </c>
      <c r="H13" s="22">
        <v>1775</v>
      </c>
      <c r="I13" s="22">
        <v>1580</v>
      </c>
      <c r="J13" s="22">
        <v>0</v>
      </c>
      <c r="K13" s="22">
        <v>160</v>
      </c>
      <c r="L13" s="22">
        <v>30</v>
      </c>
      <c r="M13" s="22">
        <v>5</v>
      </c>
      <c r="N13" s="22">
        <v>12932</v>
      </c>
      <c r="O13" s="22">
        <v>5</v>
      </c>
      <c r="P13" s="13" t="s">
        <v>69</v>
      </c>
      <c r="Q13" s="13" t="s">
        <v>73</v>
      </c>
    </row>
    <row r="14" spans="1:17">
      <c r="A14" s="14">
        <v>46268</v>
      </c>
      <c r="B14" s="12" t="s">
        <v>70</v>
      </c>
      <c r="C14" s="12">
        <v>13</v>
      </c>
      <c r="D14" s="35">
        <v>46268.024444444447</v>
      </c>
      <c r="E14" s="35">
        <v>46268.802800925929</v>
      </c>
      <c r="F14" s="19">
        <v>18.680555555600002</v>
      </c>
      <c r="G14" s="21">
        <v>1770</v>
      </c>
      <c r="H14" s="21">
        <v>1770</v>
      </c>
      <c r="I14" s="21">
        <v>1575</v>
      </c>
      <c r="J14" s="21">
        <v>0</v>
      </c>
      <c r="K14" s="21">
        <v>165</v>
      </c>
      <c r="L14" s="21">
        <v>20</v>
      </c>
      <c r="M14" s="21">
        <v>10</v>
      </c>
      <c r="N14" s="21">
        <v>14827</v>
      </c>
      <c r="O14" s="21">
        <v>5</v>
      </c>
      <c r="P14" s="12" t="s">
        <v>69</v>
      </c>
      <c r="Q14" s="12" t="s">
        <v>73</v>
      </c>
    </row>
    <row r="15" spans="1:17">
      <c r="A15" s="15">
        <v>46269</v>
      </c>
      <c r="B15" s="13" t="s">
        <v>70</v>
      </c>
      <c r="C15" s="13">
        <v>14</v>
      </c>
      <c r="D15" s="36">
        <v>46269.023680555547</v>
      </c>
      <c r="E15" s="36">
        <v>46269.909942129627</v>
      </c>
      <c r="F15" s="20">
        <v>21.270277777800001</v>
      </c>
      <c r="G15" s="22">
        <v>1770</v>
      </c>
      <c r="H15" s="22">
        <v>1770</v>
      </c>
      <c r="I15" s="22">
        <v>1578</v>
      </c>
      <c r="J15" s="22">
        <v>0</v>
      </c>
      <c r="K15" s="22">
        <v>167</v>
      </c>
      <c r="L15" s="22">
        <v>15</v>
      </c>
      <c r="M15" s="22">
        <v>10</v>
      </c>
      <c r="N15" s="22">
        <v>14967</v>
      </c>
      <c r="O15" s="22">
        <v>5</v>
      </c>
      <c r="P15" s="13" t="s">
        <v>69</v>
      </c>
      <c r="Q15" s="33" t="s">
        <v>74</v>
      </c>
    </row>
    <row r="16" spans="1:17">
      <c r="A16" s="14">
        <v>46270</v>
      </c>
      <c r="B16" s="12" t="s">
        <v>70</v>
      </c>
      <c r="C16" s="12">
        <v>15</v>
      </c>
      <c r="D16" s="37">
        <v>46151.022916666669</v>
      </c>
      <c r="E16" s="35">
        <v>46270.939085648148</v>
      </c>
      <c r="F16" s="19">
        <v>21.98194444435649</v>
      </c>
      <c r="G16" s="21">
        <v>1770</v>
      </c>
      <c r="H16" s="21">
        <v>1770</v>
      </c>
      <c r="I16" s="21">
        <v>1583</v>
      </c>
      <c r="J16" s="21">
        <v>0</v>
      </c>
      <c r="K16" s="21">
        <v>162</v>
      </c>
      <c r="L16" s="21">
        <v>15</v>
      </c>
      <c r="M16" s="21">
        <v>10</v>
      </c>
      <c r="N16" s="21">
        <v>14706</v>
      </c>
      <c r="O16" s="21">
        <v>5</v>
      </c>
      <c r="P16" s="12" t="s">
        <v>69</v>
      </c>
      <c r="Q16" s="12"/>
    </row>
    <row r="17" spans="1:17">
      <c r="A17" s="15">
        <v>46271</v>
      </c>
      <c r="B17" s="13" t="s">
        <v>70</v>
      </c>
      <c r="C17" s="13">
        <v>16</v>
      </c>
      <c r="D17" s="36">
        <v>46271.024814814817</v>
      </c>
      <c r="E17" s="36">
        <v>46271.980138888888</v>
      </c>
      <c r="F17" s="20">
        <v>22.927777777777781</v>
      </c>
      <c r="G17" s="22">
        <v>1770</v>
      </c>
      <c r="H17" s="22">
        <v>1770</v>
      </c>
      <c r="I17" s="22">
        <v>1584</v>
      </c>
      <c r="J17" s="22">
        <v>0</v>
      </c>
      <c r="K17" s="22">
        <v>161</v>
      </c>
      <c r="L17" s="22">
        <v>15</v>
      </c>
      <c r="M17" s="22">
        <v>10</v>
      </c>
      <c r="N17" s="22">
        <v>14816</v>
      </c>
      <c r="O17" s="22">
        <v>5</v>
      </c>
      <c r="P17" s="13" t="s">
        <v>69</v>
      </c>
      <c r="Q17" s="13"/>
    </row>
    <row r="18" spans="1:17">
      <c r="A18" s="14">
        <v>46272</v>
      </c>
      <c r="B18" s="12" t="s">
        <v>70</v>
      </c>
      <c r="C18" s="12">
        <v>17</v>
      </c>
      <c r="D18" s="35">
        <v>46272.022719907407</v>
      </c>
      <c r="E18" s="35">
        <v>46272.930844907409</v>
      </c>
      <c r="F18" s="19">
        <v>21.795000000000002</v>
      </c>
      <c r="G18" s="21">
        <v>1770</v>
      </c>
      <c r="H18" s="21">
        <v>1770</v>
      </c>
      <c r="I18" s="21">
        <v>1581</v>
      </c>
      <c r="J18" s="21">
        <v>0</v>
      </c>
      <c r="K18" s="21">
        <v>159</v>
      </c>
      <c r="L18" s="21">
        <v>20</v>
      </c>
      <c r="M18" s="21">
        <v>10</v>
      </c>
      <c r="N18" s="21">
        <v>14688</v>
      </c>
      <c r="O18" s="21">
        <v>5</v>
      </c>
      <c r="P18" s="12" t="s">
        <v>69</v>
      </c>
      <c r="Q18" s="12"/>
    </row>
    <row r="19" spans="1:17">
      <c r="A19" s="15">
        <v>46273</v>
      </c>
      <c r="B19" s="13" t="s">
        <v>70</v>
      </c>
      <c r="C19" s="13">
        <v>18</v>
      </c>
      <c r="D19" s="36">
        <v>46273.024317129632</v>
      </c>
      <c r="E19" s="36">
        <v>46273.966412037043</v>
      </c>
      <c r="F19" s="20">
        <v>22.610277777777782</v>
      </c>
      <c r="G19" s="22">
        <v>1770</v>
      </c>
      <c r="H19" s="22">
        <v>1770</v>
      </c>
      <c r="I19" s="22">
        <v>1582</v>
      </c>
      <c r="J19" s="22">
        <v>0</v>
      </c>
      <c r="K19" s="22">
        <v>158</v>
      </c>
      <c r="L19" s="22">
        <v>20</v>
      </c>
      <c r="M19" s="22">
        <v>10</v>
      </c>
      <c r="N19" s="22">
        <v>15259</v>
      </c>
      <c r="O19" s="22">
        <v>5</v>
      </c>
      <c r="P19" s="13" t="s">
        <v>69</v>
      </c>
      <c r="Q19" s="13"/>
    </row>
    <row r="20" spans="1:17">
      <c r="A20" s="14">
        <v>46274</v>
      </c>
      <c r="B20" s="12" t="s">
        <v>70</v>
      </c>
      <c r="C20" s="12">
        <v>19</v>
      </c>
      <c r="D20" s="35">
        <v>46274.0233912037</v>
      </c>
      <c r="E20" s="35">
        <v>46274.92560185185</v>
      </c>
      <c r="F20" s="19">
        <v>21.653055555555561</v>
      </c>
      <c r="G20" s="21">
        <v>1770</v>
      </c>
      <c r="H20" s="21">
        <v>1770</v>
      </c>
      <c r="I20" s="21">
        <v>1574</v>
      </c>
      <c r="J20" s="21">
        <v>0</v>
      </c>
      <c r="K20" s="21">
        <v>166</v>
      </c>
      <c r="L20" s="21">
        <v>20</v>
      </c>
      <c r="M20" s="21">
        <v>10</v>
      </c>
      <c r="N20" s="21">
        <v>15038</v>
      </c>
      <c r="O20" s="21">
        <v>5</v>
      </c>
      <c r="P20" s="12" t="s">
        <v>69</v>
      </c>
      <c r="Q20" s="12"/>
    </row>
    <row r="21" spans="1:17">
      <c r="A21" s="15">
        <v>46275</v>
      </c>
      <c r="B21" s="13" t="s">
        <v>70</v>
      </c>
      <c r="C21" s="13">
        <v>20</v>
      </c>
      <c r="D21" s="36">
        <v>46275.029953703714</v>
      </c>
      <c r="E21" s="36">
        <v>46275.940208333333</v>
      </c>
      <c r="F21" s="20">
        <v>21.84611111111111</v>
      </c>
      <c r="G21" s="22">
        <v>1770</v>
      </c>
      <c r="H21" s="22">
        <v>1770</v>
      </c>
      <c r="I21" s="22">
        <v>1569</v>
      </c>
      <c r="J21" s="22">
        <v>0</v>
      </c>
      <c r="K21" s="22">
        <v>166</v>
      </c>
      <c r="L21" s="22">
        <v>25</v>
      </c>
      <c r="M21" s="22">
        <v>10</v>
      </c>
      <c r="N21" s="22">
        <v>14673</v>
      </c>
      <c r="O21" s="22">
        <v>5</v>
      </c>
      <c r="P21" s="13" t="s">
        <v>69</v>
      </c>
      <c r="Q21" s="13"/>
    </row>
    <row r="22" spans="1:17">
      <c r="A22" s="14">
        <v>46276</v>
      </c>
      <c r="B22" s="12" t="s">
        <v>70</v>
      </c>
      <c r="C22" s="12">
        <v>21</v>
      </c>
      <c r="D22" s="35">
        <v>46276.025868055563</v>
      </c>
      <c r="E22" s="35">
        <v>46276.945335648154</v>
      </c>
      <c r="F22" s="19">
        <v>22.06722222222222</v>
      </c>
      <c r="G22" s="21">
        <v>1770</v>
      </c>
      <c r="H22" s="21">
        <v>1770</v>
      </c>
      <c r="I22" s="21">
        <v>1579</v>
      </c>
      <c r="J22" s="21">
        <v>0</v>
      </c>
      <c r="K22" s="21">
        <v>166</v>
      </c>
      <c r="L22" s="21">
        <v>15</v>
      </c>
      <c r="M22" s="21">
        <v>10</v>
      </c>
      <c r="N22" s="21">
        <v>14887</v>
      </c>
      <c r="O22" s="21">
        <v>5</v>
      </c>
      <c r="P22" s="12" t="s">
        <v>69</v>
      </c>
      <c r="Q22" s="12"/>
    </row>
    <row r="23" spans="1:17">
      <c r="A23" s="15">
        <v>46277</v>
      </c>
      <c r="B23" s="13" t="s">
        <v>70</v>
      </c>
      <c r="C23" s="13">
        <v>22</v>
      </c>
      <c r="D23" s="36">
        <v>46277.04614583333</v>
      </c>
      <c r="E23" s="36">
        <v>46277.988252314812</v>
      </c>
      <c r="F23" s="20">
        <v>22.610555555555042</v>
      </c>
      <c r="G23" s="22">
        <v>1770</v>
      </c>
      <c r="H23" s="22">
        <v>1770</v>
      </c>
      <c r="I23" s="22">
        <v>1578</v>
      </c>
      <c r="J23" s="22">
        <v>0</v>
      </c>
      <c r="K23" s="22">
        <v>167</v>
      </c>
      <c r="L23" s="22">
        <v>15</v>
      </c>
      <c r="M23" s="22">
        <v>10</v>
      </c>
      <c r="N23" s="22">
        <v>14760</v>
      </c>
      <c r="O23" s="22">
        <v>5</v>
      </c>
      <c r="P23" s="13" t="s">
        <v>69</v>
      </c>
      <c r="Q23" s="13"/>
    </row>
    <row r="24" spans="1:17">
      <c r="A24" s="14">
        <v>46278</v>
      </c>
      <c r="B24" s="12" t="s">
        <v>70</v>
      </c>
      <c r="C24" s="12">
        <v>23</v>
      </c>
      <c r="D24" s="35">
        <v>46278.031365740739</v>
      </c>
      <c r="E24" s="35">
        <v>46278.993587962963</v>
      </c>
      <c r="F24" s="19">
        <f t="shared" ref="F24:F55" si="0">IF(OR(D24="",E24=""),"",24*(E24-D24))</f>
        <v>23.093333333381452</v>
      </c>
      <c r="G24" s="21">
        <v>1770</v>
      </c>
      <c r="H24" s="21">
        <v>1770</v>
      </c>
      <c r="I24" s="21">
        <v>1581</v>
      </c>
      <c r="J24" s="21">
        <v>0</v>
      </c>
      <c r="K24" s="21">
        <v>160</v>
      </c>
      <c r="L24" s="21">
        <v>15</v>
      </c>
      <c r="M24" s="21">
        <v>14</v>
      </c>
      <c r="N24" s="21">
        <v>14508</v>
      </c>
      <c r="O24" s="21">
        <v>5</v>
      </c>
      <c r="P24" s="12" t="s">
        <v>69</v>
      </c>
      <c r="Q24" s="12"/>
    </row>
    <row r="25" spans="1:17">
      <c r="A25" s="15">
        <v>46279</v>
      </c>
      <c r="B25" s="13" t="s">
        <v>70</v>
      </c>
      <c r="C25" s="13">
        <v>24</v>
      </c>
      <c r="D25" s="36">
        <v>46279.019085648149</v>
      </c>
      <c r="E25" s="36">
        <v>46279.881678240738</v>
      </c>
      <c r="F25" s="20">
        <f t="shared" si="0"/>
        <v>20.702222222113051</v>
      </c>
      <c r="G25" s="22">
        <v>1770</v>
      </c>
      <c r="H25" s="22">
        <v>1770</v>
      </c>
      <c r="I25" s="22">
        <v>1654</v>
      </c>
      <c r="J25" s="22">
        <v>0</v>
      </c>
      <c r="K25" s="22">
        <v>91</v>
      </c>
      <c r="L25" s="22">
        <v>15</v>
      </c>
      <c r="M25" s="22">
        <v>10</v>
      </c>
      <c r="N25" s="22">
        <v>15208</v>
      </c>
      <c r="O25" s="22">
        <v>5</v>
      </c>
      <c r="P25" s="13" t="s">
        <v>69</v>
      </c>
      <c r="Q25" s="13" t="s">
        <v>75</v>
      </c>
    </row>
    <row r="26" spans="1:17">
      <c r="A26" s="14">
        <v>46280</v>
      </c>
      <c r="B26" s="12" t="s">
        <v>70</v>
      </c>
      <c r="C26" s="12">
        <v>25</v>
      </c>
      <c r="D26" s="35">
        <v>46280.023668981477</v>
      </c>
      <c r="E26" s="35">
        <v>46280.913414351853</v>
      </c>
      <c r="F26" s="19">
        <f t="shared" si="0"/>
        <v>21.353888889017981</v>
      </c>
      <c r="G26" s="21">
        <v>1770</v>
      </c>
      <c r="H26" s="21">
        <v>1770</v>
      </c>
      <c r="I26" s="21">
        <v>1572</v>
      </c>
      <c r="J26" s="21">
        <v>0</v>
      </c>
      <c r="K26" s="21">
        <v>168</v>
      </c>
      <c r="L26" s="21">
        <v>20</v>
      </c>
      <c r="M26" s="21">
        <v>10</v>
      </c>
      <c r="N26" s="21">
        <v>14392</v>
      </c>
      <c r="O26" s="21">
        <v>5</v>
      </c>
      <c r="P26" s="12" t="s">
        <v>69</v>
      </c>
      <c r="Q26" s="12"/>
    </row>
    <row r="27" spans="1:17">
      <c r="A27" s="15">
        <v>46281</v>
      </c>
      <c r="B27" s="13" t="s">
        <v>70</v>
      </c>
      <c r="C27" s="13">
        <v>26</v>
      </c>
      <c r="D27" s="36">
        <v>46281.025231481479</v>
      </c>
      <c r="E27" s="36">
        <v>46281.855995370373</v>
      </c>
      <c r="F27" s="20">
        <f t="shared" si="0"/>
        <v>19.938333333469927</v>
      </c>
      <c r="G27" s="22">
        <v>1770</v>
      </c>
      <c r="H27" s="22">
        <v>1770</v>
      </c>
      <c r="I27" s="22">
        <v>1559</v>
      </c>
      <c r="J27" s="22">
        <v>0</v>
      </c>
      <c r="K27" s="22">
        <v>181</v>
      </c>
      <c r="L27" s="22">
        <v>20</v>
      </c>
      <c r="M27" s="22">
        <v>10</v>
      </c>
      <c r="N27" s="22">
        <v>13640</v>
      </c>
      <c r="O27" s="22">
        <v>5</v>
      </c>
      <c r="P27" s="13" t="s">
        <v>69</v>
      </c>
      <c r="Q27" s="13"/>
    </row>
    <row r="28" spans="1:17">
      <c r="A28" s="14">
        <v>46282</v>
      </c>
      <c r="B28" s="12" t="s">
        <v>70</v>
      </c>
      <c r="C28" s="12">
        <v>27</v>
      </c>
      <c r="D28" s="35">
        <v>46282.021238425928</v>
      </c>
      <c r="E28" s="35">
        <v>46282.867442129631</v>
      </c>
      <c r="F28" s="19">
        <f t="shared" si="0"/>
        <v>20.308888888859656</v>
      </c>
      <c r="G28" s="21">
        <v>1770</v>
      </c>
      <c r="H28" s="21">
        <v>1770</v>
      </c>
      <c r="I28" s="21">
        <v>1555</v>
      </c>
      <c r="J28" s="21">
        <v>0</v>
      </c>
      <c r="K28" s="21">
        <v>160</v>
      </c>
      <c r="L28" s="21">
        <v>45</v>
      </c>
      <c r="M28" s="21">
        <v>10</v>
      </c>
      <c r="N28" s="21">
        <v>14754</v>
      </c>
      <c r="O28" s="21">
        <v>5</v>
      </c>
      <c r="P28" s="12" t="s">
        <v>69</v>
      </c>
      <c r="Q28" s="12" t="s">
        <v>76</v>
      </c>
    </row>
    <row r="29" spans="1:17">
      <c r="A29" s="15">
        <v>46283</v>
      </c>
      <c r="B29" s="13" t="s">
        <v>70</v>
      </c>
      <c r="C29" s="13">
        <v>28</v>
      </c>
      <c r="D29" s="36" t="s">
        <v>77</v>
      </c>
      <c r="E29" s="36" t="s">
        <v>78</v>
      </c>
      <c r="F29" s="20">
        <f t="shared" si="0"/>
        <v>20.825555555638857</v>
      </c>
      <c r="G29" s="22">
        <v>1770</v>
      </c>
      <c r="H29" s="22">
        <v>1770</v>
      </c>
      <c r="I29" s="22">
        <v>1562</v>
      </c>
      <c r="J29" s="22">
        <v>0</v>
      </c>
      <c r="K29" s="22">
        <v>158</v>
      </c>
      <c r="L29" s="22">
        <v>40</v>
      </c>
      <c r="M29" s="22">
        <v>10</v>
      </c>
      <c r="N29" s="22">
        <v>14371</v>
      </c>
      <c r="O29" s="22">
        <v>5</v>
      </c>
      <c r="P29" s="13" t="s">
        <v>69</v>
      </c>
      <c r="Q29" s="13" t="s">
        <v>79</v>
      </c>
    </row>
    <row r="30" spans="1:17">
      <c r="A30" s="14">
        <v>46284</v>
      </c>
      <c r="B30" s="12" t="s">
        <v>70</v>
      </c>
      <c r="C30" s="12">
        <v>29</v>
      </c>
      <c r="D30" s="35" t="s">
        <v>80</v>
      </c>
      <c r="E30" s="35" t="s">
        <v>81</v>
      </c>
      <c r="F30" s="19">
        <f t="shared" si="0"/>
        <v>43.882777777849697</v>
      </c>
      <c r="G30" s="21">
        <v>1770</v>
      </c>
      <c r="H30" s="21">
        <v>1770</v>
      </c>
      <c r="I30" s="21">
        <v>1573</v>
      </c>
      <c r="J30" s="21">
        <v>0</v>
      </c>
      <c r="K30" s="21">
        <v>167</v>
      </c>
      <c r="L30" s="21">
        <v>20</v>
      </c>
      <c r="M30" s="21">
        <v>10</v>
      </c>
      <c r="N30" s="21">
        <v>14607</v>
      </c>
      <c r="O30" s="21">
        <v>5</v>
      </c>
      <c r="P30" s="12" t="s">
        <v>69</v>
      </c>
      <c r="Q30" s="12" t="s">
        <v>82</v>
      </c>
    </row>
    <row r="31" spans="1:17">
      <c r="A31" s="15">
        <v>46285</v>
      </c>
      <c r="B31" s="13" t="s">
        <v>83</v>
      </c>
      <c r="C31" s="13"/>
      <c r="D31" s="36"/>
      <c r="E31" s="36"/>
      <c r="F31" s="20" t="str">
        <f t="shared" si="0"/>
        <v/>
      </c>
      <c r="G31" s="22"/>
      <c r="H31" s="22"/>
      <c r="I31" s="22"/>
      <c r="J31" s="22"/>
      <c r="K31" s="22"/>
      <c r="L31" s="22"/>
      <c r="M31" s="22"/>
      <c r="N31" s="22"/>
      <c r="O31" s="22">
        <v>5</v>
      </c>
      <c r="P31" s="13" t="s">
        <v>69</v>
      </c>
      <c r="Q31" s="13"/>
    </row>
    <row r="32" spans="1:17">
      <c r="A32" s="14">
        <v>46286</v>
      </c>
      <c r="B32" s="12" t="s">
        <v>70</v>
      </c>
      <c r="C32" s="12">
        <v>31</v>
      </c>
      <c r="D32" s="35">
        <v>46286.028692129628</v>
      </c>
      <c r="E32" s="35">
        <v>46286.694004629629</v>
      </c>
      <c r="F32" s="19">
        <f t="shared" si="0"/>
        <v>15.96750000002794</v>
      </c>
      <c r="G32" s="21">
        <v>1770</v>
      </c>
      <c r="H32" s="21">
        <v>1770</v>
      </c>
      <c r="I32" s="21">
        <v>1568</v>
      </c>
      <c r="J32" s="21">
        <v>0</v>
      </c>
      <c r="K32" s="21">
        <v>172</v>
      </c>
      <c r="L32" s="21">
        <v>20</v>
      </c>
      <c r="M32" s="21">
        <v>10</v>
      </c>
      <c r="N32" s="21">
        <v>14071</v>
      </c>
      <c r="O32" s="21">
        <v>5</v>
      </c>
      <c r="P32" s="12" t="s">
        <v>69</v>
      </c>
      <c r="Q32" s="12" t="s">
        <v>84</v>
      </c>
    </row>
    <row r="33" spans="1:17">
      <c r="A33" s="15">
        <v>46287</v>
      </c>
      <c r="B33" s="13" t="s">
        <v>70</v>
      </c>
      <c r="C33" s="13">
        <v>32</v>
      </c>
      <c r="D33" s="36">
        <v>46287.021655092591</v>
      </c>
      <c r="E33" s="36">
        <v>46287.707037037027</v>
      </c>
      <c r="F33" s="20">
        <f t="shared" si="0"/>
        <v>16.449166666483507</v>
      </c>
      <c r="G33" s="22">
        <v>1770</v>
      </c>
      <c r="H33" s="22">
        <v>1770</v>
      </c>
      <c r="I33" s="22">
        <v>1555</v>
      </c>
      <c r="J33" s="22">
        <v>0</v>
      </c>
      <c r="K33" s="22">
        <v>185</v>
      </c>
      <c r="L33" s="22">
        <v>20</v>
      </c>
      <c r="M33" s="22">
        <v>10</v>
      </c>
      <c r="N33" s="22">
        <v>13934</v>
      </c>
      <c r="O33" s="22">
        <v>5</v>
      </c>
      <c r="P33" s="13" t="s">
        <v>69</v>
      </c>
      <c r="Q33" s="13" t="s">
        <v>85</v>
      </c>
    </row>
    <row r="34" spans="1:17">
      <c r="A34" s="14">
        <v>46288</v>
      </c>
      <c r="B34" s="12" t="s">
        <v>70</v>
      </c>
      <c r="C34" s="12">
        <v>33</v>
      </c>
      <c r="D34" s="35">
        <v>46288.023472222223</v>
      </c>
      <c r="E34" s="35">
        <v>46288.716724537036</v>
      </c>
      <c r="F34" s="19">
        <f t="shared" si="0"/>
        <v>16.638055555522442</v>
      </c>
      <c r="G34" s="21">
        <v>1770</v>
      </c>
      <c r="H34" s="21">
        <v>1770</v>
      </c>
      <c r="I34" s="21">
        <v>1558</v>
      </c>
      <c r="J34" s="21">
        <v>0</v>
      </c>
      <c r="K34" s="21">
        <v>187</v>
      </c>
      <c r="L34" s="21">
        <v>15</v>
      </c>
      <c r="M34" s="21">
        <v>10</v>
      </c>
      <c r="N34" s="21">
        <v>13802</v>
      </c>
      <c r="O34" s="21">
        <v>5</v>
      </c>
      <c r="P34" s="12" t="s">
        <v>69</v>
      </c>
      <c r="Q34" s="12" t="s">
        <v>86</v>
      </c>
    </row>
    <row r="35" spans="1:17">
      <c r="A35" s="15">
        <v>46289</v>
      </c>
      <c r="B35" s="13" t="s">
        <v>70</v>
      </c>
      <c r="C35" s="13">
        <v>34</v>
      </c>
      <c r="D35" s="36">
        <v>46289.021967592591</v>
      </c>
      <c r="E35" s="36">
        <v>46289.691192129627</v>
      </c>
      <c r="F35" s="20">
        <f t="shared" si="0"/>
        <v>16.061388888861984</v>
      </c>
      <c r="G35" s="22">
        <v>1770</v>
      </c>
      <c r="H35" s="22">
        <v>1770</v>
      </c>
      <c r="I35" s="22">
        <v>1505</v>
      </c>
      <c r="J35" s="22">
        <v>0</v>
      </c>
      <c r="K35" s="22">
        <v>235</v>
      </c>
      <c r="L35" s="22">
        <v>20</v>
      </c>
      <c r="M35" s="22">
        <v>10</v>
      </c>
      <c r="N35" s="22">
        <v>13008</v>
      </c>
      <c r="O35" s="22">
        <v>5</v>
      </c>
      <c r="P35" s="13" t="s">
        <v>69</v>
      </c>
      <c r="Q35" s="13" t="s">
        <v>87</v>
      </c>
    </row>
    <row r="36" spans="1:17">
      <c r="A36" s="14">
        <v>46290</v>
      </c>
      <c r="B36" s="12" t="s">
        <v>70</v>
      </c>
      <c r="C36" s="12">
        <v>35</v>
      </c>
      <c r="D36" s="35">
        <v>46290.027372685188</v>
      </c>
      <c r="E36" s="35">
        <v>46290.662777777783</v>
      </c>
      <c r="F36" s="19">
        <f t="shared" si="0"/>
        <v>15.249722222273704</v>
      </c>
      <c r="G36" s="21">
        <v>1770</v>
      </c>
      <c r="H36" s="21">
        <v>1770</v>
      </c>
      <c r="I36" s="21">
        <v>1527</v>
      </c>
      <c r="J36" s="21">
        <v>0</v>
      </c>
      <c r="K36" s="21">
        <v>213</v>
      </c>
      <c r="L36" s="21">
        <v>20</v>
      </c>
      <c r="M36" s="21">
        <v>10</v>
      </c>
      <c r="N36" s="21">
        <v>13661</v>
      </c>
      <c r="O36" s="21">
        <v>5</v>
      </c>
      <c r="P36" s="12" t="s">
        <v>69</v>
      </c>
      <c r="Q36" s="12" t="s">
        <v>88</v>
      </c>
    </row>
    <row r="37" spans="1:17">
      <c r="A37" s="15">
        <v>46291</v>
      </c>
      <c r="B37" s="13" t="s">
        <v>70</v>
      </c>
      <c r="C37" s="13">
        <v>36</v>
      </c>
      <c r="D37" s="36">
        <v>46291.026087962957</v>
      </c>
      <c r="E37" s="36">
        <v>46291.67150462963</v>
      </c>
      <c r="F37" s="20">
        <f t="shared" si="0"/>
        <v>15.49000000016531</v>
      </c>
      <c r="G37" s="22">
        <v>1770</v>
      </c>
      <c r="H37" s="22">
        <v>1770</v>
      </c>
      <c r="I37" s="22">
        <v>1526</v>
      </c>
      <c r="J37" s="22">
        <v>0</v>
      </c>
      <c r="K37" s="22">
        <v>189</v>
      </c>
      <c r="L37" s="22">
        <v>45</v>
      </c>
      <c r="M37" s="22">
        <v>10</v>
      </c>
      <c r="N37" s="22">
        <v>13951</v>
      </c>
      <c r="O37" s="22">
        <v>5</v>
      </c>
      <c r="P37" s="13" t="s">
        <v>69</v>
      </c>
      <c r="Q37" s="13" t="s">
        <v>89</v>
      </c>
    </row>
    <row r="38" spans="1:17">
      <c r="A38" s="14">
        <v>46292</v>
      </c>
      <c r="B38" s="12" t="s">
        <v>70</v>
      </c>
      <c r="C38" s="12">
        <v>37</v>
      </c>
      <c r="D38" s="35" t="s">
        <v>90</v>
      </c>
      <c r="E38" s="35" t="s">
        <v>91</v>
      </c>
      <c r="F38" s="19">
        <f t="shared" si="0"/>
        <v>15.784166666620877</v>
      </c>
      <c r="G38" s="21">
        <v>1770</v>
      </c>
      <c r="H38" s="21">
        <v>1770</v>
      </c>
      <c r="I38" s="21">
        <v>1519</v>
      </c>
      <c r="J38" s="21">
        <v>0</v>
      </c>
      <c r="K38" s="21">
        <v>191</v>
      </c>
      <c r="L38" s="21">
        <v>50</v>
      </c>
      <c r="M38" s="21">
        <v>10</v>
      </c>
      <c r="N38" s="21">
        <v>13247</v>
      </c>
      <c r="O38" s="21">
        <v>5</v>
      </c>
      <c r="P38" s="12" t="s">
        <v>69</v>
      </c>
      <c r="Q38" s="12" t="s">
        <v>92</v>
      </c>
    </row>
    <row r="39" spans="1:17">
      <c r="A39" s="15">
        <v>46293</v>
      </c>
      <c r="B39" s="13" t="s">
        <v>70</v>
      </c>
      <c r="C39" s="13">
        <v>38</v>
      </c>
      <c r="D39" s="36">
        <v>46292.743564814817</v>
      </c>
      <c r="E39" s="36">
        <v>46293.412002314813</v>
      </c>
      <c r="F39" s="20">
        <f t="shared" si="0"/>
        <v>16.042499999923166</v>
      </c>
      <c r="G39" s="22">
        <v>1770</v>
      </c>
      <c r="H39" s="22">
        <v>1770</v>
      </c>
      <c r="I39" s="22">
        <v>1506</v>
      </c>
      <c r="J39" s="22">
        <v>0</v>
      </c>
      <c r="K39" s="22">
        <v>204</v>
      </c>
      <c r="L39" s="22">
        <v>50</v>
      </c>
      <c r="M39" s="22">
        <v>10</v>
      </c>
      <c r="N39" s="22">
        <v>13998</v>
      </c>
      <c r="O39" s="22">
        <v>5</v>
      </c>
      <c r="P39" s="13" t="s">
        <v>69</v>
      </c>
      <c r="Q39" s="13" t="s">
        <v>93</v>
      </c>
    </row>
    <row r="40" spans="1:17">
      <c r="A40" s="14">
        <v>46294</v>
      </c>
      <c r="B40" s="12" t="s">
        <v>70</v>
      </c>
      <c r="C40" s="12">
        <v>39</v>
      </c>
      <c r="D40" s="35">
        <v>46294.02</v>
      </c>
      <c r="E40" s="35">
        <v>46294.67763888889</v>
      </c>
      <c r="F40" s="19">
        <f t="shared" si="0"/>
        <v>15.783333333441988</v>
      </c>
      <c r="G40" s="21">
        <v>1770</v>
      </c>
      <c r="H40" s="21">
        <v>1770</v>
      </c>
      <c r="I40" s="21">
        <v>1511</v>
      </c>
      <c r="J40" s="21">
        <v>0</v>
      </c>
      <c r="K40" s="21">
        <v>204</v>
      </c>
      <c r="L40" s="21">
        <v>40</v>
      </c>
      <c r="M40" s="21">
        <v>15</v>
      </c>
      <c r="N40" s="21">
        <v>14467</v>
      </c>
      <c r="O40" s="21">
        <v>5</v>
      </c>
      <c r="P40" s="12" t="s">
        <v>69</v>
      </c>
      <c r="Q40" s="12" t="s">
        <v>94</v>
      </c>
    </row>
    <row r="41" spans="1:17">
      <c r="A41" s="15">
        <v>46295</v>
      </c>
      <c r="B41" s="13" t="s">
        <v>70</v>
      </c>
      <c r="C41" s="13">
        <v>40</v>
      </c>
      <c r="D41" s="36">
        <v>46295.022916666669</v>
      </c>
      <c r="E41" s="36">
        <v>46295.638101851851</v>
      </c>
      <c r="F41" s="20">
        <f t="shared" si="0"/>
        <v>14.764444444386754</v>
      </c>
      <c r="G41" s="22">
        <v>1770</v>
      </c>
      <c r="H41" s="22">
        <v>1770</v>
      </c>
      <c r="I41" s="22">
        <v>1510</v>
      </c>
      <c r="J41" s="22">
        <v>0</v>
      </c>
      <c r="K41" s="22">
        <v>205</v>
      </c>
      <c r="L41" s="22">
        <v>40</v>
      </c>
      <c r="M41" s="22">
        <v>15</v>
      </c>
      <c r="N41" s="22">
        <v>14388</v>
      </c>
      <c r="O41" s="22">
        <v>5</v>
      </c>
      <c r="P41" s="13" t="s">
        <v>69</v>
      </c>
      <c r="Q41" s="13" t="s">
        <v>95</v>
      </c>
    </row>
    <row r="42" spans="1:17">
      <c r="A42" s="14">
        <v>46296</v>
      </c>
      <c r="B42" s="12" t="s">
        <v>70</v>
      </c>
      <c r="C42" s="12">
        <v>41</v>
      </c>
      <c r="D42" s="35">
        <v>46296.02202546296</v>
      </c>
      <c r="E42" s="35">
        <v>46296.673159722217</v>
      </c>
      <c r="F42" s="19">
        <f t="shared" si="0"/>
        <v>15.627222222159617</v>
      </c>
      <c r="G42" s="21">
        <v>1770</v>
      </c>
      <c r="H42" s="21">
        <v>1770</v>
      </c>
      <c r="I42" s="21">
        <v>1499</v>
      </c>
      <c r="J42" s="21">
        <v>0</v>
      </c>
      <c r="K42" s="21">
        <v>206</v>
      </c>
      <c r="L42" s="21">
        <v>45</v>
      </c>
      <c r="M42" s="21">
        <v>20</v>
      </c>
      <c r="N42" s="21">
        <v>14286</v>
      </c>
      <c r="O42" s="21">
        <v>5</v>
      </c>
      <c r="P42" s="12" t="s">
        <v>69</v>
      </c>
      <c r="Q42" s="12" t="s">
        <v>96</v>
      </c>
    </row>
    <row r="43" spans="1:17">
      <c r="A43" s="15">
        <v>46297</v>
      </c>
      <c r="B43" s="13" t="s">
        <v>70</v>
      </c>
      <c r="C43" s="13">
        <v>42</v>
      </c>
      <c r="D43" s="36">
        <v>46297.021192129629</v>
      </c>
      <c r="E43" s="36">
        <v>46297.725601851853</v>
      </c>
      <c r="F43" s="20">
        <f t="shared" si="0"/>
        <v>16.905833333381452</v>
      </c>
      <c r="G43" s="22">
        <v>1770</v>
      </c>
      <c r="H43" s="22">
        <v>1770</v>
      </c>
      <c r="I43" s="22">
        <v>1528</v>
      </c>
      <c r="J43" s="22">
        <v>0</v>
      </c>
      <c r="K43" s="22">
        <v>177</v>
      </c>
      <c r="L43" s="22">
        <v>45</v>
      </c>
      <c r="M43" s="22">
        <v>20</v>
      </c>
      <c r="N43" s="22">
        <v>15092</v>
      </c>
      <c r="O43" s="22">
        <v>5</v>
      </c>
      <c r="P43" s="13" t="s">
        <v>69</v>
      </c>
      <c r="Q43" s="13" t="s">
        <v>97</v>
      </c>
    </row>
    <row r="44" spans="1:17">
      <c r="A44" s="14">
        <v>46298</v>
      </c>
      <c r="B44" s="12" t="s">
        <v>70</v>
      </c>
      <c r="C44" s="12">
        <v>43</v>
      </c>
      <c r="D44" s="35">
        <v>46298.022280092591</v>
      </c>
      <c r="E44" s="35">
        <v>46298.687581018523</v>
      </c>
      <c r="F44" s="19">
        <f t="shared" si="0"/>
        <v>15.967222222359851</v>
      </c>
      <c r="G44" s="21">
        <v>1770</v>
      </c>
      <c r="H44" s="21">
        <v>1770</v>
      </c>
      <c r="I44" s="21">
        <v>1521</v>
      </c>
      <c r="J44" s="21">
        <v>0</v>
      </c>
      <c r="K44" s="21">
        <v>179</v>
      </c>
      <c r="L44" s="21">
        <v>50</v>
      </c>
      <c r="M44" s="21">
        <v>20</v>
      </c>
      <c r="N44" s="21">
        <v>14989</v>
      </c>
      <c r="O44" s="21">
        <v>5</v>
      </c>
      <c r="P44" s="12" t="s">
        <v>69</v>
      </c>
      <c r="Q44" s="12" t="s">
        <v>98</v>
      </c>
    </row>
    <row r="45" spans="1:17">
      <c r="A45" s="15">
        <v>46299</v>
      </c>
      <c r="B45" s="13" t="s">
        <v>70</v>
      </c>
      <c r="C45" s="13">
        <v>44</v>
      </c>
      <c r="D45" s="36">
        <v>46299.023784722223</v>
      </c>
      <c r="E45" s="36">
        <v>46299.682847222219</v>
      </c>
      <c r="F45" s="20">
        <f t="shared" si="0"/>
        <v>15.817499999888241</v>
      </c>
      <c r="G45" s="22">
        <v>1770</v>
      </c>
      <c r="H45" s="22">
        <v>1770</v>
      </c>
      <c r="I45" s="22">
        <v>1519</v>
      </c>
      <c r="J45" s="22">
        <v>0</v>
      </c>
      <c r="K45" s="22">
        <v>181</v>
      </c>
      <c r="L45" s="22">
        <v>50</v>
      </c>
      <c r="M45" s="22">
        <v>20</v>
      </c>
      <c r="N45" s="22">
        <v>15045</v>
      </c>
      <c r="O45" s="22">
        <v>5</v>
      </c>
      <c r="P45" s="13" t="s">
        <v>69</v>
      </c>
      <c r="Q45" s="13" t="s">
        <v>99</v>
      </c>
    </row>
    <row r="46" spans="1:17">
      <c r="A46" s="14">
        <v>46300</v>
      </c>
      <c r="B46" s="12" t="s">
        <v>70</v>
      </c>
      <c r="C46" s="12">
        <v>45</v>
      </c>
      <c r="D46" s="35">
        <v>46300.023310185177</v>
      </c>
      <c r="E46" s="35">
        <v>46300.723599537043</v>
      </c>
      <c r="F46" s="19">
        <f t="shared" si="0"/>
        <v>16.806944444775581</v>
      </c>
      <c r="G46" s="21">
        <v>1770</v>
      </c>
      <c r="H46" s="21">
        <v>1770</v>
      </c>
      <c r="I46" s="21">
        <v>1524</v>
      </c>
      <c r="J46" s="21">
        <v>0</v>
      </c>
      <c r="K46" s="21">
        <v>171</v>
      </c>
      <c r="L46" s="21">
        <v>55</v>
      </c>
      <c r="M46" s="21">
        <v>20</v>
      </c>
      <c r="N46" s="21">
        <v>14979</v>
      </c>
      <c r="O46" s="21">
        <v>5</v>
      </c>
      <c r="P46" s="12" t="s">
        <v>69</v>
      </c>
      <c r="Q46" s="12" t="s">
        <v>100</v>
      </c>
    </row>
    <row r="47" spans="1:17">
      <c r="A47" s="15">
        <v>46301</v>
      </c>
      <c r="B47" s="13" t="s">
        <v>70</v>
      </c>
      <c r="C47" s="13">
        <v>46</v>
      </c>
      <c r="D47" s="36">
        <v>46301.021307870367</v>
      </c>
      <c r="E47" s="36">
        <v>46301.675115740742</v>
      </c>
      <c r="F47" s="20">
        <f t="shared" si="0"/>
        <v>15.691388888983056</v>
      </c>
      <c r="G47" s="22">
        <v>1770</v>
      </c>
      <c r="H47" s="22">
        <v>1770</v>
      </c>
      <c r="I47" s="22">
        <v>1513</v>
      </c>
      <c r="J47" s="22">
        <v>0</v>
      </c>
      <c r="K47" s="22">
        <v>182</v>
      </c>
      <c r="L47" s="22">
        <v>50</v>
      </c>
      <c r="M47" s="22">
        <v>25</v>
      </c>
      <c r="N47" s="22">
        <v>14929</v>
      </c>
      <c r="O47" s="22">
        <v>5</v>
      </c>
      <c r="P47" s="13" t="s">
        <v>69</v>
      </c>
      <c r="Q47" s="13" t="s">
        <v>101</v>
      </c>
    </row>
    <row r="48" spans="1:17">
      <c r="A48" s="14">
        <v>46302</v>
      </c>
      <c r="B48" s="12" t="s">
        <v>70</v>
      </c>
      <c r="C48" s="12">
        <v>47</v>
      </c>
      <c r="D48" s="35">
        <v>46302.006956018522</v>
      </c>
      <c r="E48" s="35">
        <v>46302.676226851851</v>
      </c>
      <c r="F48" s="19">
        <f t="shared" si="0"/>
        <v>16.062499999883585</v>
      </c>
      <c r="G48" s="21">
        <v>1770</v>
      </c>
      <c r="H48" s="21">
        <v>1770</v>
      </c>
      <c r="I48" s="21">
        <v>1519</v>
      </c>
      <c r="J48" s="21">
        <v>0</v>
      </c>
      <c r="K48" s="21">
        <v>176</v>
      </c>
      <c r="L48" s="21">
        <v>50</v>
      </c>
      <c r="M48" s="21">
        <v>25</v>
      </c>
      <c r="N48" s="21">
        <v>14913</v>
      </c>
      <c r="O48" s="21">
        <v>5</v>
      </c>
      <c r="P48" s="12" t="s">
        <v>69</v>
      </c>
      <c r="Q48" s="12" t="s">
        <v>102</v>
      </c>
    </row>
    <row r="49" spans="1:17">
      <c r="A49" s="15">
        <v>46303</v>
      </c>
      <c r="B49" s="13" t="s">
        <v>70</v>
      </c>
      <c r="C49" s="13">
        <v>48</v>
      </c>
      <c r="D49" s="36">
        <v>46303.022094907406</v>
      </c>
      <c r="E49" s="36">
        <v>46303.717673611107</v>
      </c>
      <c r="F49" s="20">
        <f t="shared" si="0"/>
        <v>16.693888888810761</v>
      </c>
      <c r="G49" s="22">
        <v>1770</v>
      </c>
      <c r="H49" s="22">
        <v>1770</v>
      </c>
      <c r="I49" s="22">
        <v>1503</v>
      </c>
      <c r="J49" s="22">
        <v>0</v>
      </c>
      <c r="K49" s="22">
        <v>182</v>
      </c>
      <c r="L49" s="22">
        <v>60</v>
      </c>
      <c r="M49" s="22">
        <v>25</v>
      </c>
      <c r="N49" s="22">
        <v>14523</v>
      </c>
      <c r="O49" s="22">
        <v>5</v>
      </c>
      <c r="P49" s="13" t="s">
        <v>69</v>
      </c>
      <c r="Q49" s="13" t="s">
        <v>103</v>
      </c>
    </row>
    <row r="50" spans="1:17">
      <c r="A50" s="14">
        <v>46304</v>
      </c>
      <c r="B50" s="12" t="s">
        <v>21</v>
      </c>
      <c r="C50" s="12"/>
      <c r="D50" s="35"/>
      <c r="E50" s="35"/>
      <c r="F50" s="19" t="str">
        <f t="shared" si="0"/>
        <v/>
      </c>
      <c r="G50" s="21"/>
      <c r="H50" s="21"/>
      <c r="I50" s="21"/>
      <c r="J50" s="21"/>
      <c r="K50" s="21"/>
      <c r="L50" s="21"/>
      <c r="M50" s="21"/>
      <c r="N50" s="21"/>
      <c r="O50" s="21">
        <v>5</v>
      </c>
      <c r="P50" s="12" t="s">
        <v>69</v>
      </c>
      <c r="Q50" s="12"/>
    </row>
    <row r="51" spans="1:17">
      <c r="A51" s="15">
        <v>46305</v>
      </c>
      <c r="B51" s="13" t="s">
        <v>21</v>
      </c>
      <c r="C51" s="13"/>
      <c r="D51" s="36"/>
      <c r="E51" s="36"/>
      <c r="F51" s="20" t="str">
        <f t="shared" si="0"/>
        <v/>
      </c>
      <c r="G51" s="22"/>
      <c r="H51" s="22"/>
      <c r="I51" s="22"/>
      <c r="J51" s="22"/>
      <c r="K51" s="22"/>
      <c r="L51" s="22"/>
      <c r="M51" s="22"/>
      <c r="N51" s="22"/>
      <c r="O51" s="22">
        <v>5</v>
      </c>
      <c r="P51" s="13" t="s">
        <v>69</v>
      </c>
      <c r="Q51" s="13"/>
    </row>
    <row r="52" spans="1:17">
      <c r="A52" s="14">
        <v>46306</v>
      </c>
      <c r="B52" s="12" t="s">
        <v>21</v>
      </c>
      <c r="C52" s="12"/>
      <c r="D52" s="35"/>
      <c r="E52" s="35"/>
      <c r="F52" s="19" t="str">
        <f t="shared" si="0"/>
        <v/>
      </c>
      <c r="G52" s="21"/>
      <c r="H52" s="21"/>
      <c r="I52" s="21"/>
      <c r="J52" s="21"/>
      <c r="K52" s="21"/>
      <c r="L52" s="21"/>
      <c r="M52" s="21"/>
      <c r="N52" s="21"/>
      <c r="O52" s="21">
        <v>5</v>
      </c>
      <c r="P52" s="12" t="s">
        <v>69</v>
      </c>
      <c r="Q52" s="12"/>
    </row>
    <row r="53" spans="1:17">
      <c r="A53" s="15">
        <v>46307</v>
      </c>
      <c r="B53" s="13" t="s">
        <v>21</v>
      </c>
      <c r="C53" s="13"/>
      <c r="D53" s="36"/>
      <c r="E53" s="36"/>
      <c r="F53" s="20" t="str">
        <f t="shared" si="0"/>
        <v/>
      </c>
      <c r="G53" s="22"/>
      <c r="H53" s="22"/>
      <c r="I53" s="22"/>
      <c r="J53" s="22"/>
      <c r="K53" s="22"/>
      <c r="L53" s="22"/>
      <c r="M53" s="22"/>
      <c r="N53" s="22"/>
      <c r="O53" s="22">
        <v>5</v>
      </c>
      <c r="P53" s="13" t="s">
        <v>69</v>
      </c>
      <c r="Q53" s="13"/>
    </row>
    <row r="54" spans="1:17">
      <c r="A54" s="14">
        <v>46308</v>
      </c>
      <c r="B54" s="12" t="s">
        <v>21</v>
      </c>
      <c r="C54" s="12"/>
      <c r="D54" s="35"/>
      <c r="E54" s="35"/>
      <c r="F54" s="19" t="str">
        <f t="shared" si="0"/>
        <v/>
      </c>
      <c r="G54" s="21"/>
      <c r="H54" s="21"/>
      <c r="I54" s="21"/>
      <c r="J54" s="21"/>
      <c r="K54" s="21"/>
      <c r="L54" s="21"/>
      <c r="M54" s="21"/>
      <c r="N54" s="21"/>
      <c r="O54" s="21">
        <v>5</v>
      </c>
      <c r="P54" s="12" t="s">
        <v>69</v>
      </c>
      <c r="Q54" s="12"/>
    </row>
    <row r="55" spans="1:17">
      <c r="A55" s="15">
        <v>46309</v>
      </c>
      <c r="B55" s="13" t="s">
        <v>21</v>
      </c>
      <c r="C55" s="13"/>
      <c r="D55" s="36"/>
      <c r="E55" s="36"/>
      <c r="F55" s="20" t="str">
        <f t="shared" si="0"/>
        <v/>
      </c>
      <c r="G55" s="22"/>
      <c r="H55" s="22"/>
      <c r="I55" s="22"/>
      <c r="J55" s="22"/>
      <c r="K55" s="22"/>
      <c r="L55" s="22"/>
      <c r="M55" s="22"/>
      <c r="N55" s="22"/>
      <c r="O55" s="22">
        <v>5</v>
      </c>
      <c r="P55" s="13" t="s">
        <v>69</v>
      </c>
      <c r="Q55" s="13"/>
    </row>
    <row r="56" spans="1:17">
      <c r="A56" s="14">
        <v>46310</v>
      </c>
      <c r="B56" s="12" t="s">
        <v>21</v>
      </c>
      <c r="C56" s="12"/>
      <c r="D56" s="35"/>
      <c r="E56" s="35"/>
      <c r="F56" s="19" t="str">
        <f t="shared" ref="F56:F87" si="1">IF(OR(D56="",E56=""),"",24*(E56-D56))</f>
        <v/>
      </c>
      <c r="G56" s="21"/>
      <c r="H56" s="21"/>
      <c r="I56" s="21"/>
      <c r="J56" s="21"/>
      <c r="K56" s="21"/>
      <c r="L56" s="21"/>
      <c r="M56" s="21"/>
      <c r="N56" s="21"/>
      <c r="O56" s="21">
        <v>5</v>
      </c>
      <c r="P56" s="12" t="s">
        <v>69</v>
      </c>
      <c r="Q56" s="12"/>
    </row>
    <row r="57" spans="1:17">
      <c r="A57" s="15">
        <v>46311</v>
      </c>
      <c r="B57" s="13" t="s">
        <v>21</v>
      </c>
      <c r="C57" s="13"/>
      <c r="D57" s="36"/>
      <c r="E57" s="36"/>
      <c r="F57" s="20" t="str">
        <f t="shared" si="1"/>
        <v/>
      </c>
      <c r="G57" s="22"/>
      <c r="H57" s="22"/>
      <c r="I57" s="22"/>
      <c r="J57" s="22"/>
      <c r="K57" s="22"/>
      <c r="L57" s="22"/>
      <c r="M57" s="22"/>
      <c r="N57" s="22"/>
      <c r="O57" s="22">
        <v>5</v>
      </c>
      <c r="P57" s="13" t="s">
        <v>69</v>
      </c>
      <c r="Q57" s="13"/>
    </row>
    <row r="58" spans="1:17">
      <c r="A58" s="14">
        <v>46312</v>
      </c>
      <c r="B58" s="12" t="s">
        <v>21</v>
      </c>
      <c r="C58" s="12"/>
      <c r="D58" s="35"/>
      <c r="E58" s="35"/>
      <c r="F58" s="19" t="str">
        <f t="shared" si="1"/>
        <v/>
      </c>
      <c r="G58" s="21"/>
      <c r="H58" s="21"/>
      <c r="I58" s="21"/>
      <c r="J58" s="21"/>
      <c r="K58" s="21"/>
      <c r="L58" s="21"/>
      <c r="M58" s="21"/>
      <c r="N58" s="21"/>
      <c r="O58" s="21">
        <v>5</v>
      </c>
      <c r="P58" s="12" t="s">
        <v>69</v>
      </c>
      <c r="Q58" s="12"/>
    </row>
    <row r="59" spans="1:17">
      <c r="A59" s="15">
        <v>46313</v>
      </c>
      <c r="B59" s="13" t="s">
        <v>21</v>
      </c>
      <c r="C59" s="13"/>
      <c r="D59" s="36"/>
      <c r="E59" s="36"/>
      <c r="F59" s="20" t="str">
        <f t="shared" si="1"/>
        <v/>
      </c>
      <c r="G59" s="22"/>
      <c r="H59" s="22"/>
      <c r="I59" s="22"/>
      <c r="J59" s="22"/>
      <c r="K59" s="22"/>
      <c r="L59" s="22"/>
      <c r="M59" s="22"/>
      <c r="N59" s="22"/>
      <c r="O59" s="22">
        <v>5</v>
      </c>
      <c r="P59" s="13" t="s">
        <v>69</v>
      </c>
      <c r="Q59" s="13"/>
    </row>
    <row r="60" spans="1:17">
      <c r="A60" s="14">
        <v>46314</v>
      </c>
      <c r="B60" s="12" t="s">
        <v>21</v>
      </c>
      <c r="C60" s="12"/>
      <c r="D60" s="35"/>
      <c r="E60" s="35"/>
      <c r="F60" s="19" t="str">
        <f t="shared" si="1"/>
        <v/>
      </c>
      <c r="G60" s="21"/>
      <c r="H60" s="21"/>
      <c r="I60" s="21"/>
      <c r="J60" s="21"/>
      <c r="K60" s="21"/>
      <c r="L60" s="21"/>
      <c r="M60" s="21"/>
      <c r="N60" s="21"/>
      <c r="O60" s="21">
        <v>5</v>
      </c>
      <c r="P60" s="12" t="s">
        <v>69</v>
      </c>
      <c r="Q60" s="12"/>
    </row>
    <row r="61" spans="1:17">
      <c r="A61" s="15">
        <v>46315</v>
      </c>
      <c r="B61" s="13" t="s">
        <v>21</v>
      </c>
      <c r="C61" s="13"/>
      <c r="D61" s="36"/>
      <c r="E61" s="36"/>
      <c r="F61" s="20" t="str">
        <f t="shared" si="1"/>
        <v/>
      </c>
      <c r="G61" s="22"/>
      <c r="H61" s="22"/>
      <c r="I61" s="22"/>
      <c r="J61" s="22"/>
      <c r="K61" s="22"/>
      <c r="L61" s="22"/>
      <c r="M61" s="22"/>
      <c r="N61" s="22"/>
      <c r="O61" s="22">
        <v>5</v>
      </c>
      <c r="P61" s="13" t="s">
        <v>69</v>
      </c>
      <c r="Q61" s="13"/>
    </row>
    <row r="62" spans="1:17">
      <c r="A62" s="14">
        <v>46316</v>
      </c>
      <c r="B62" s="12" t="s">
        <v>21</v>
      </c>
      <c r="C62" s="12"/>
      <c r="D62" s="35"/>
      <c r="E62" s="35"/>
      <c r="F62" s="19" t="str">
        <f t="shared" si="1"/>
        <v/>
      </c>
      <c r="G62" s="21"/>
      <c r="H62" s="21"/>
      <c r="I62" s="21"/>
      <c r="J62" s="21"/>
      <c r="K62" s="21"/>
      <c r="L62" s="21"/>
      <c r="M62" s="21"/>
      <c r="N62" s="21"/>
      <c r="O62" s="21">
        <v>5</v>
      </c>
      <c r="P62" s="12" t="s">
        <v>69</v>
      </c>
      <c r="Q62" s="12"/>
    </row>
    <row r="63" spans="1:17">
      <c r="A63" s="15">
        <v>46317</v>
      </c>
      <c r="B63" s="13" t="s">
        <v>21</v>
      </c>
      <c r="C63" s="13"/>
      <c r="D63" s="36"/>
      <c r="E63" s="36"/>
      <c r="F63" s="20" t="str">
        <f t="shared" si="1"/>
        <v/>
      </c>
      <c r="G63" s="22"/>
      <c r="H63" s="22"/>
      <c r="I63" s="22"/>
      <c r="J63" s="22"/>
      <c r="K63" s="22"/>
      <c r="L63" s="22"/>
      <c r="M63" s="22"/>
      <c r="N63" s="22"/>
      <c r="O63" s="22">
        <v>5</v>
      </c>
      <c r="P63" s="13" t="s">
        <v>69</v>
      </c>
      <c r="Q63" s="13"/>
    </row>
    <row r="64" spans="1:17">
      <c r="A64" s="14">
        <v>46318</v>
      </c>
      <c r="B64" s="12" t="s">
        <v>21</v>
      </c>
      <c r="C64" s="12"/>
      <c r="D64" s="35"/>
      <c r="E64" s="35"/>
      <c r="F64" s="19" t="str">
        <f t="shared" si="1"/>
        <v/>
      </c>
      <c r="G64" s="21"/>
      <c r="H64" s="21"/>
      <c r="I64" s="21"/>
      <c r="J64" s="21"/>
      <c r="K64" s="21"/>
      <c r="L64" s="21"/>
      <c r="M64" s="21"/>
      <c r="N64" s="21"/>
      <c r="O64" s="21">
        <v>5</v>
      </c>
      <c r="P64" s="12" t="s">
        <v>69</v>
      </c>
      <c r="Q64" s="12"/>
    </row>
    <row r="65" spans="1:17">
      <c r="A65" s="15">
        <v>46319</v>
      </c>
      <c r="B65" s="13" t="s">
        <v>21</v>
      </c>
      <c r="C65" s="13"/>
      <c r="D65" s="36"/>
      <c r="E65" s="36"/>
      <c r="F65" s="20" t="str">
        <f t="shared" si="1"/>
        <v/>
      </c>
      <c r="G65" s="22"/>
      <c r="H65" s="22"/>
      <c r="I65" s="22"/>
      <c r="J65" s="22"/>
      <c r="K65" s="22"/>
      <c r="L65" s="22"/>
      <c r="M65" s="22"/>
      <c r="N65" s="22"/>
      <c r="O65" s="22">
        <v>5</v>
      </c>
      <c r="P65" s="13" t="s">
        <v>69</v>
      </c>
      <c r="Q65" s="13"/>
    </row>
    <row r="66" spans="1:17">
      <c r="A66" s="14">
        <v>46320</v>
      </c>
      <c r="B66" s="12" t="s">
        <v>21</v>
      </c>
      <c r="C66" s="12"/>
      <c r="D66" s="35"/>
      <c r="E66" s="35"/>
      <c r="F66" s="19" t="str">
        <f t="shared" si="1"/>
        <v/>
      </c>
      <c r="G66" s="21"/>
      <c r="H66" s="21"/>
      <c r="I66" s="21"/>
      <c r="J66" s="21"/>
      <c r="K66" s="21"/>
      <c r="L66" s="21"/>
      <c r="M66" s="21"/>
      <c r="N66" s="21"/>
      <c r="O66" s="21">
        <v>5</v>
      </c>
      <c r="P66" s="12" t="s">
        <v>69</v>
      </c>
      <c r="Q66" s="12"/>
    </row>
    <row r="67" spans="1:17">
      <c r="A67" s="15">
        <v>46321</v>
      </c>
      <c r="B67" s="13" t="s">
        <v>21</v>
      </c>
      <c r="C67" s="13"/>
      <c r="D67" s="36"/>
      <c r="E67" s="36"/>
      <c r="F67" s="20" t="str">
        <f t="shared" si="1"/>
        <v/>
      </c>
      <c r="G67" s="22"/>
      <c r="H67" s="22"/>
      <c r="I67" s="22"/>
      <c r="J67" s="22"/>
      <c r="K67" s="22"/>
      <c r="L67" s="22"/>
      <c r="M67" s="22"/>
      <c r="N67" s="22"/>
      <c r="O67" s="22">
        <v>5</v>
      </c>
      <c r="P67" s="13" t="s">
        <v>69</v>
      </c>
      <c r="Q67" s="13"/>
    </row>
    <row r="68" spans="1:17">
      <c r="A68" s="14">
        <v>46322</v>
      </c>
      <c r="B68" s="12" t="s">
        <v>21</v>
      </c>
      <c r="C68" s="12"/>
      <c r="D68" s="35"/>
      <c r="E68" s="35"/>
      <c r="F68" s="19" t="str">
        <f t="shared" si="1"/>
        <v/>
      </c>
      <c r="G68" s="21"/>
      <c r="H68" s="21"/>
      <c r="I68" s="21"/>
      <c r="J68" s="21"/>
      <c r="K68" s="21"/>
      <c r="L68" s="21"/>
      <c r="M68" s="21"/>
      <c r="N68" s="21"/>
      <c r="O68" s="21">
        <v>5</v>
      </c>
      <c r="P68" s="12" t="s">
        <v>69</v>
      </c>
      <c r="Q68" s="12"/>
    </row>
    <row r="69" spans="1:17">
      <c r="A69" s="15">
        <v>46323</v>
      </c>
      <c r="B69" s="13" t="s">
        <v>21</v>
      </c>
      <c r="C69" s="13"/>
      <c r="D69" s="36"/>
      <c r="E69" s="36"/>
      <c r="F69" s="20" t="str">
        <f t="shared" si="1"/>
        <v/>
      </c>
      <c r="G69" s="22"/>
      <c r="H69" s="22"/>
      <c r="I69" s="22"/>
      <c r="J69" s="22"/>
      <c r="K69" s="22"/>
      <c r="L69" s="22"/>
      <c r="M69" s="22"/>
      <c r="N69" s="22"/>
      <c r="O69" s="22">
        <v>5</v>
      </c>
      <c r="P69" s="13" t="s">
        <v>69</v>
      </c>
      <c r="Q69" s="13"/>
    </row>
    <row r="70" spans="1:17">
      <c r="A70" s="14">
        <v>46324</v>
      </c>
      <c r="B70" s="12" t="s">
        <v>21</v>
      </c>
      <c r="C70" s="12"/>
      <c r="D70" s="35"/>
      <c r="E70" s="35"/>
      <c r="F70" s="19" t="str">
        <f t="shared" si="1"/>
        <v/>
      </c>
      <c r="G70" s="21"/>
      <c r="H70" s="21"/>
      <c r="I70" s="21"/>
      <c r="J70" s="21"/>
      <c r="K70" s="21"/>
      <c r="L70" s="21"/>
      <c r="M70" s="21"/>
      <c r="N70" s="21"/>
      <c r="O70" s="21">
        <v>5</v>
      </c>
      <c r="P70" s="12" t="s">
        <v>69</v>
      </c>
      <c r="Q70" s="12"/>
    </row>
    <row r="71" spans="1:17">
      <c r="A71" s="15">
        <v>46325</v>
      </c>
      <c r="B71" s="13" t="s">
        <v>21</v>
      </c>
      <c r="C71" s="13"/>
      <c r="D71" s="36"/>
      <c r="E71" s="36"/>
      <c r="F71" s="20" t="str">
        <f t="shared" si="1"/>
        <v/>
      </c>
      <c r="G71" s="22"/>
      <c r="H71" s="22"/>
      <c r="I71" s="22"/>
      <c r="J71" s="22"/>
      <c r="K71" s="22"/>
      <c r="L71" s="22"/>
      <c r="M71" s="22"/>
      <c r="N71" s="22"/>
      <c r="O71" s="22">
        <v>5</v>
      </c>
      <c r="P71" s="13" t="s">
        <v>69</v>
      </c>
      <c r="Q71" s="13"/>
    </row>
    <row r="72" spans="1:17">
      <c r="A72" s="14">
        <v>46326</v>
      </c>
      <c r="B72" s="12" t="s">
        <v>21</v>
      </c>
      <c r="C72" s="12"/>
      <c r="D72" s="35"/>
      <c r="E72" s="35"/>
      <c r="F72" s="19" t="str">
        <f t="shared" si="1"/>
        <v/>
      </c>
      <c r="G72" s="21"/>
      <c r="H72" s="21"/>
      <c r="I72" s="21"/>
      <c r="J72" s="21"/>
      <c r="K72" s="21"/>
      <c r="L72" s="21"/>
      <c r="M72" s="21"/>
      <c r="N72" s="21"/>
      <c r="O72" s="21">
        <v>5</v>
      </c>
      <c r="P72" s="12" t="s">
        <v>69</v>
      </c>
      <c r="Q72" s="12"/>
    </row>
    <row r="73" spans="1:17">
      <c r="A73" s="15">
        <v>46327</v>
      </c>
      <c r="B73" s="13" t="s">
        <v>21</v>
      </c>
      <c r="C73" s="13"/>
      <c r="D73" s="36"/>
      <c r="E73" s="36"/>
      <c r="F73" s="20" t="str">
        <f t="shared" si="1"/>
        <v/>
      </c>
      <c r="G73" s="22"/>
      <c r="H73" s="22"/>
      <c r="I73" s="22"/>
      <c r="J73" s="22"/>
      <c r="K73" s="22"/>
      <c r="L73" s="22"/>
      <c r="M73" s="22"/>
      <c r="N73" s="22"/>
      <c r="O73" s="22">
        <v>5</v>
      </c>
      <c r="P73" s="13" t="s">
        <v>69</v>
      </c>
      <c r="Q73" s="13"/>
    </row>
    <row r="74" spans="1:17">
      <c r="A74" s="14">
        <v>46328</v>
      </c>
      <c r="B74" s="12" t="s">
        <v>21</v>
      </c>
      <c r="C74" s="12"/>
      <c r="D74" s="35"/>
      <c r="E74" s="35"/>
      <c r="F74" s="19" t="str">
        <f t="shared" si="1"/>
        <v/>
      </c>
      <c r="G74" s="21"/>
      <c r="H74" s="21"/>
      <c r="I74" s="21"/>
      <c r="J74" s="21"/>
      <c r="K74" s="21"/>
      <c r="L74" s="21"/>
      <c r="M74" s="21"/>
      <c r="N74" s="21"/>
      <c r="O74" s="21">
        <v>5</v>
      </c>
      <c r="P74" s="12" t="s">
        <v>69</v>
      </c>
      <c r="Q74" s="12"/>
    </row>
    <row r="75" spans="1:17">
      <c r="A75" s="15">
        <v>46329</v>
      </c>
      <c r="B75" s="13" t="s">
        <v>21</v>
      </c>
      <c r="C75" s="13"/>
      <c r="D75" s="36"/>
      <c r="E75" s="36"/>
      <c r="F75" s="20" t="str">
        <f t="shared" si="1"/>
        <v/>
      </c>
      <c r="G75" s="22"/>
      <c r="H75" s="22"/>
      <c r="I75" s="22"/>
      <c r="J75" s="22"/>
      <c r="K75" s="22"/>
      <c r="L75" s="22"/>
      <c r="M75" s="22"/>
      <c r="N75" s="22"/>
      <c r="O75" s="22">
        <v>5</v>
      </c>
      <c r="P75" s="13" t="s">
        <v>69</v>
      </c>
      <c r="Q75" s="13"/>
    </row>
    <row r="76" spans="1:17">
      <c r="A76" s="14">
        <v>46330</v>
      </c>
      <c r="B76" s="12" t="s">
        <v>21</v>
      </c>
      <c r="C76" s="12"/>
      <c r="D76" s="35"/>
      <c r="E76" s="35"/>
      <c r="F76" s="19" t="str">
        <f t="shared" si="1"/>
        <v/>
      </c>
      <c r="G76" s="21"/>
      <c r="H76" s="21"/>
      <c r="I76" s="21"/>
      <c r="J76" s="21"/>
      <c r="K76" s="21"/>
      <c r="L76" s="21"/>
      <c r="M76" s="21"/>
      <c r="N76" s="21"/>
      <c r="O76" s="21">
        <v>5</v>
      </c>
      <c r="P76" s="12" t="s">
        <v>69</v>
      </c>
      <c r="Q76" s="12"/>
    </row>
    <row r="77" spans="1:17">
      <c r="A77" s="15">
        <v>46331</v>
      </c>
      <c r="B77" s="13" t="s">
        <v>21</v>
      </c>
      <c r="C77" s="13"/>
      <c r="D77" s="36"/>
      <c r="E77" s="36"/>
      <c r="F77" s="20" t="str">
        <f t="shared" si="1"/>
        <v/>
      </c>
      <c r="G77" s="22"/>
      <c r="H77" s="22"/>
      <c r="I77" s="22"/>
      <c r="J77" s="22"/>
      <c r="K77" s="22"/>
      <c r="L77" s="22"/>
      <c r="M77" s="22"/>
      <c r="N77" s="22"/>
      <c r="O77" s="22">
        <v>5</v>
      </c>
      <c r="P77" s="13" t="s">
        <v>69</v>
      </c>
      <c r="Q77" s="13"/>
    </row>
    <row r="78" spans="1:17">
      <c r="A78" s="14">
        <v>46332</v>
      </c>
      <c r="B78" s="12" t="s">
        <v>21</v>
      </c>
      <c r="C78" s="12"/>
      <c r="D78" s="35"/>
      <c r="E78" s="35"/>
      <c r="F78" s="19" t="str">
        <f t="shared" si="1"/>
        <v/>
      </c>
      <c r="G78" s="21"/>
      <c r="H78" s="21"/>
      <c r="I78" s="21"/>
      <c r="J78" s="21"/>
      <c r="K78" s="21"/>
      <c r="L78" s="21"/>
      <c r="M78" s="21"/>
      <c r="N78" s="21"/>
      <c r="O78" s="21">
        <v>5</v>
      </c>
      <c r="P78" s="12" t="s">
        <v>69</v>
      </c>
      <c r="Q78" s="12"/>
    </row>
    <row r="79" spans="1:17">
      <c r="A79" s="15">
        <v>46333</v>
      </c>
      <c r="B79" s="13" t="s">
        <v>21</v>
      </c>
      <c r="C79" s="13"/>
      <c r="D79" s="36"/>
      <c r="E79" s="36"/>
      <c r="F79" s="20" t="str">
        <f t="shared" si="1"/>
        <v/>
      </c>
      <c r="G79" s="22"/>
      <c r="H79" s="22"/>
      <c r="I79" s="22"/>
      <c r="J79" s="22"/>
      <c r="K79" s="22"/>
      <c r="L79" s="22"/>
      <c r="M79" s="22"/>
      <c r="N79" s="22"/>
      <c r="O79" s="22">
        <v>5</v>
      </c>
      <c r="P79" s="13" t="s">
        <v>69</v>
      </c>
      <c r="Q79" s="13"/>
    </row>
    <row r="80" spans="1:17">
      <c r="A80" s="14">
        <v>46334</v>
      </c>
      <c r="B80" s="12" t="s">
        <v>21</v>
      </c>
      <c r="C80" s="12"/>
      <c r="D80" s="35"/>
      <c r="E80" s="35"/>
      <c r="F80" s="19" t="str">
        <f t="shared" si="1"/>
        <v/>
      </c>
      <c r="G80" s="21"/>
      <c r="H80" s="21"/>
      <c r="I80" s="21"/>
      <c r="J80" s="21"/>
      <c r="K80" s="21"/>
      <c r="L80" s="21"/>
      <c r="M80" s="21"/>
      <c r="N80" s="21"/>
      <c r="O80" s="21">
        <v>5</v>
      </c>
      <c r="P80" s="12" t="s">
        <v>69</v>
      </c>
      <c r="Q80" s="12"/>
    </row>
    <row r="81" spans="1:17">
      <c r="A81" s="15">
        <v>46335</v>
      </c>
      <c r="B81" s="13" t="s">
        <v>21</v>
      </c>
      <c r="C81" s="13"/>
      <c r="D81" s="36"/>
      <c r="E81" s="36"/>
      <c r="F81" s="20" t="str">
        <f t="shared" si="1"/>
        <v/>
      </c>
      <c r="G81" s="22"/>
      <c r="H81" s="22"/>
      <c r="I81" s="22"/>
      <c r="J81" s="22"/>
      <c r="K81" s="22"/>
      <c r="L81" s="22"/>
      <c r="M81" s="22"/>
      <c r="N81" s="22"/>
      <c r="O81" s="22">
        <v>5</v>
      </c>
      <c r="P81" s="13" t="s">
        <v>69</v>
      </c>
      <c r="Q81" s="13"/>
    </row>
    <row r="82" spans="1:17">
      <c r="A82" s="14">
        <v>46336</v>
      </c>
      <c r="B82" s="12" t="s">
        <v>21</v>
      </c>
      <c r="C82" s="12"/>
      <c r="D82" s="35"/>
      <c r="E82" s="35"/>
      <c r="F82" s="19" t="str">
        <f t="shared" si="1"/>
        <v/>
      </c>
      <c r="G82" s="21"/>
      <c r="H82" s="21"/>
      <c r="I82" s="21"/>
      <c r="J82" s="21"/>
      <c r="K82" s="21"/>
      <c r="L82" s="21"/>
      <c r="M82" s="21"/>
      <c r="N82" s="21"/>
      <c r="O82" s="21">
        <v>5</v>
      </c>
      <c r="P82" s="12" t="s">
        <v>69</v>
      </c>
      <c r="Q82" s="12"/>
    </row>
    <row r="83" spans="1:17">
      <c r="A83" s="15">
        <v>46337</v>
      </c>
      <c r="B83" s="13" t="s">
        <v>21</v>
      </c>
      <c r="C83" s="13"/>
      <c r="D83" s="36"/>
      <c r="E83" s="36"/>
      <c r="F83" s="20" t="str">
        <f t="shared" si="1"/>
        <v/>
      </c>
      <c r="G83" s="22"/>
      <c r="H83" s="22"/>
      <c r="I83" s="22"/>
      <c r="J83" s="22"/>
      <c r="K83" s="22"/>
      <c r="L83" s="22"/>
      <c r="M83" s="22"/>
      <c r="N83" s="22"/>
      <c r="O83" s="22">
        <v>5</v>
      </c>
      <c r="P83" s="13" t="s">
        <v>69</v>
      </c>
      <c r="Q83" s="13"/>
    </row>
    <row r="84" spans="1:17">
      <c r="A84" s="14">
        <v>46338</v>
      </c>
      <c r="B84" s="12" t="s">
        <v>21</v>
      </c>
      <c r="C84" s="12"/>
      <c r="D84" s="35"/>
      <c r="E84" s="35"/>
      <c r="F84" s="19" t="str">
        <f t="shared" si="1"/>
        <v/>
      </c>
      <c r="G84" s="21"/>
      <c r="H84" s="21"/>
      <c r="I84" s="21"/>
      <c r="J84" s="21"/>
      <c r="K84" s="21"/>
      <c r="L84" s="21"/>
      <c r="M84" s="21"/>
      <c r="N84" s="21"/>
      <c r="O84" s="21">
        <v>5</v>
      </c>
      <c r="P84" s="12" t="s">
        <v>69</v>
      </c>
      <c r="Q84" s="12"/>
    </row>
    <row r="85" spans="1:17">
      <c r="A85" s="15">
        <v>46339</v>
      </c>
      <c r="B85" s="13" t="s">
        <v>21</v>
      </c>
      <c r="C85" s="13"/>
      <c r="D85" s="36"/>
      <c r="E85" s="36"/>
      <c r="F85" s="20" t="str">
        <f t="shared" si="1"/>
        <v/>
      </c>
      <c r="G85" s="22"/>
      <c r="H85" s="22"/>
      <c r="I85" s="22"/>
      <c r="J85" s="22"/>
      <c r="K85" s="22"/>
      <c r="L85" s="22"/>
      <c r="M85" s="22"/>
      <c r="N85" s="22"/>
      <c r="O85" s="22">
        <v>5</v>
      </c>
      <c r="P85" s="13" t="s">
        <v>69</v>
      </c>
      <c r="Q85" s="13"/>
    </row>
    <row r="86" spans="1:17">
      <c r="A86" s="14">
        <v>46340</v>
      </c>
      <c r="B86" s="12" t="s">
        <v>21</v>
      </c>
      <c r="C86" s="12"/>
      <c r="D86" s="35"/>
      <c r="E86" s="35"/>
      <c r="F86" s="19" t="str">
        <f t="shared" si="1"/>
        <v/>
      </c>
      <c r="G86" s="21"/>
      <c r="H86" s="21"/>
      <c r="I86" s="21"/>
      <c r="J86" s="21"/>
      <c r="K86" s="21"/>
      <c r="L86" s="21"/>
      <c r="M86" s="21"/>
      <c r="N86" s="21"/>
      <c r="O86" s="21">
        <v>5</v>
      </c>
      <c r="P86" s="12" t="s">
        <v>69</v>
      </c>
      <c r="Q86" s="12"/>
    </row>
    <row r="87" spans="1:17">
      <c r="A87" s="15">
        <v>46341</v>
      </c>
      <c r="B87" s="13" t="s">
        <v>21</v>
      </c>
      <c r="C87" s="13"/>
      <c r="D87" s="36"/>
      <c r="E87" s="36"/>
      <c r="F87" s="20" t="str">
        <f t="shared" si="1"/>
        <v/>
      </c>
      <c r="G87" s="22"/>
      <c r="H87" s="22"/>
      <c r="I87" s="22"/>
      <c r="J87" s="22"/>
      <c r="K87" s="22"/>
      <c r="L87" s="22"/>
      <c r="M87" s="22"/>
      <c r="N87" s="22"/>
      <c r="O87" s="22">
        <v>5</v>
      </c>
      <c r="P87" s="13" t="s">
        <v>69</v>
      </c>
      <c r="Q87" s="13"/>
    </row>
    <row r="88" spans="1:17">
      <c r="A88" s="14">
        <v>46342</v>
      </c>
      <c r="B88" s="12" t="s">
        <v>21</v>
      </c>
      <c r="C88" s="12"/>
      <c r="D88" s="35"/>
      <c r="E88" s="35"/>
      <c r="F88" s="19" t="str">
        <f t="shared" ref="F88:F102" si="2">IF(OR(D88="",E88=""),"",24*(E88-D88))</f>
        <v/>
      </c>
      <c r="G88" s="21"/>
      <c r="H88" s="21"/>
      <c r="I88" s="21"/>
      <c r="J88" s="21"/>
      <c r="K88" s="21"/>
      <c r="L88" s="21"/>
      <c r="M88" s="21"/>
      <c r="N88" s="21"/>
      <c r="O88" s="21">
        <v>5</v>
      </c>
      <c r="P88" s="12" t="s">
        <v>69</v>
      </c>
      <c r="Q88" s="12"/>
    </row>
    <row r="89" spans="1:17">
      <c r="A89" s="15">
        <v>46343</v>
      </c>
      <c r="B89" s="13" t="s">
        <v>21</v>
      </c>
      <c r="C89" s="13"/>
      <c r="D89" s="36"/>
      <c r="E89" s="36"/>
      <c r="F89" s="20" t="str">
        <f t="shared" si="2"/>
        <v/>
      </c>
      <c r="G89" s="22"/>
      <c r="H89" s="22"/>
      <c r="I89" s="22"/>
      <c r="J89" s="22"/>
      <c r="K89" s="22"/>
      <c r="L89" s="22"/>
      <c r="M89" s="22"/>
      <c r="N89" s="22"/>
      <c r="O89" s="22">
        <v>5</v>
      </c>
      <c r="P89" s="13" t="s">
        <v>69</v>
      </c>
      <c r="Q89" s="13"/>
    </row>
    <row r="90" spans="1:17">
      <c r="A90" s="14">
        <v>46344</v>
      </c>
      <c r="B90" s="12" t="s">
        <v>21</v>
      </c>
      <c r="C90" s="12"/>
      <c r="D90" s="35"/>
      <c r="E90" s="35"/>
      <c r="F90" s="19" t="str">
        <f t="shared" si="2"/>
        <v/>
      </c>
      <c r="G90" s="21"/>
      <c r="H90" s="21"/>
      <c r="I90" s="21"/>
      <c r="J90" s="21"/>
      <c r="K90" s="21"/>
      <c r="L90" s="21"/>
      <c r="M90" s="21"/>
      <c r="N90" s="21"/>
      <c r="O90" s="21">
        <v>5</v>
      </c>
      <c r="P90" s="12" t="s">
        <v>69</v>
      </c>
      <c r="Q90" s="12"/>
    </row>
    <row r="91" spans="1:17">
      <c r="A91" s="15">
        <v>46345</v>
      </c>
      <c r="B91" s="13" t="s">
        <v>21</v>
      </c>
      <c r="C91" s="13"/>
      <c r="D91" s="36"/>
      <c r="E91" s="36"/>
      <c r="F91" s="20" t="str">
        <f t="shared" si="2"/>
        <v/>
      </c>
      <c r="G91" s="22"/>
      <c r="H91" s="22"/>
      <c r="I91" s="22"/>
      <c r="J91" s="22"/>
      <c r="K91" s="22"/>
      <c r="L91" s="22"/>
      <c r="M91" s="22"/>
      <c r="N91" s="22"/>
      <c r="O91" s="22">
        <v>5</v>
      </c>
      <c r="P91" s="13" t="s">
        <v>69</v>
      </c>
      <c r="Q91" s="13"/>
    </row>
    <row r="92" spans="1:17">
      <c r="A92" s="14">
        <v>46346</v>
      </c>
      <c r="B92" s="12" t="s">
        <v>21</v>
      </c>
      <c r="C92" s="12"/>
      <c r="D92" s="35"/>
      <c r="E92" s="35"/>
      <c r="F92" s="19" t="str">
        <f t="shared" si="2"/>
        <v/>
      </c>
      <c r="G92" s="21"/>
      <c r="H92" s="21"/>
      <c r="I92" s="21"/>
      <c r="J92" s="21"/>
      <c r="K92" s="21"/>
      <c r="L92" s="21"/>
      <c r="M92" s="21"/>
      <c r="N92" s="21"/>
      <c r="O92" s="21">
        <v>5</v>
      </c>
      <c r="P92" s="12" t="s">
        <v>69</v>
      </c>
      <c r="Q92" s="12"/>
    </row>
    <row r="93" spans="1:17">
      <c r="A93" s="15">
        <v>46347</v>
      </c>
      <c r="B93" s="13" t="s">
        <v>21</v>
      </c>
      <c r="C93" s="13"/>
      <c r="D93" s="36"/>
      <c r="E93" s="36"/>
      <c r="F93" s="20" t="str">
        <f t="shared" si="2"/>
        <v/>
      </c>
      <c r="G93" s="22"/>
      <c r="H93" s="22"/>
      <c r="I93" s="22"/>
      <c r="J93" s="22"/>
      <c r="K93" s="22"/>
      <c r="L93" s="22"/>
      <c r="M93" s="22"/>
      <c r="N93" s="22"/>
      <c r="O93" s="22">
        <v>5</v>
      </c>
      <c r="P93" s="13" t="s">
        <v>69</v>
      </c>
      <c r="Q93" s="13"/>
    </row>
    <row r="94" spans="1:17">
      <c r="A94" s="14">
        <v>46348</v>
      </c>
      <c r="B94" s="12" t="s">
        <v>21</v>
      </c>
      <c r="C94" s="12"/>
      <c r="D94" s="35"/>
      <c r="E94" s="35"/>
      <c r="F94" s="19" t="str">
        <f t="shared" si="2"/>
        <v/>
      </c>
      <c r="G94" s="21"/>
      <c r="H94" s="21"/>
      <c r="I94" s="21"/>
      <c r="J94" s="21"/>
      <c r="K94" s="21"/>
      <c r="L94" s="21"/>
      <c r="M94" s="21"/>
      <c r="N94" s="21"/>
      <c r="O94" s="21">
        <v>5</v>
      </c>
      <c r="P94" s="12" t="s">
        <v>69</v>
      </c>
      <c r="Q94" s="12"/>
    </row>
    <row r="95" spans="1:17">
      <c r="A95" s="15">
        <v>46349</v>
      </c>
      <c r="B95" s="13" t="s">
        <v>21</v>
      </c>
      <c r="C95" s="13"/>
      <c r="D95" s="36"/>
      <c r="E95" s="36"/>
      <c r="F95" s="20" t="str">
        <f t="shared" si="2"/>
        <v/>
      </c>
      <c r="G95" s="22"/>
      <c r="H95" s="22"/>
      <c r="I95" s="22"/>
      <c r="J95" s="22"/>
      <c r="K95" s="22"/>
      <c r="L95" s="22"/>
      <c r="M95" s="22"/>
      <c r="N95" s="22"/>
      <c r="O95" s="22">
        <v>5</v>
      </c>
      <c r="P95" s="13" t="s">
        <v>69</v>
      </c>
      <c r="Q95" s="13"/>
    </row>
    <row r="96" spans="1:17">
      <c r="A96" s="14">
        <v>46350</v>
      </c>
      <c r="B96" s="12" t="s">
        <v>21</v>
      </c>
      <c r="C96" s="12"/>
      <c r="D96" s="35"/>
      <c r="E96" s="35"/>
      <c r="F96" s="19" t="str">
        <f t="shared" si="2"/>
        <v/>
      </c>
      <c r="G96" s="21"/>
      <c r="H96" s="21"/>
      <c r="I96" s="21"/>
      <c r="J96" s="21"/>
      <c r="K96" s="21"/>
      <c r="L96" s="21"/>
      <c r="M96" s="21"/>
      <c r="N96" s="21"/>
      <c r="O96" s="21">
        <v>5</v>
      </c>
      <c r="P96" s="12" t="s">
        <v>69</v>
      </c>
      <c r="Q96" s="12"/>
    </row>
    <row r="97" spans="1:17">
      <c r="A97" s="15">
        <v>46351</v>
      </c>
      <c r="B97" s="13" t="s">
        <v>21</v>
      </c>
      <c r="C97" s="13"/>
      <c r="D97" s="36"/>
      <c r="E97" s="36"/>
      <c r="F97" s="20" t="str">
        <f t="shared" si="2"/>
        <v/>
      </c>
      <c r="G97" s="22"/>
      <c r="H97" s="22"/>
      <c r="I97" s="22"/>
      <c r="J97" s="22"/>
      <c r="K97" s="22"/>
      <c r="L97" s="22"/>
      <c r="M97" s="22"/>
      <c r="N97" s="22"/>
      <c r="O97" s="22">
        <v>5</v>
      </c>
      <c r="P97" s="13" t="s">
        <v>69</v>
      </c>
      <c r="Q97" s="13"/>
    </row>
    <row r="98" spans="1:17">
      <c r="A98" s="14">
        <v>46352</v>
      </c>
      <c r="B98" s="12" t="s">
        <v>21</v>
      </c>
      <c r="C98" s="12"/>
      <c r="D98" s="35"/>
      <c r="E98" s="35"/>
      <c r="F98" s="19" t="str">
        <f t="shared" si="2"/>
        <v/>
      </c>
      <c r="G98" s="21"/>
      <c r="H98" s="21"/>
      <c r="I98" s="21"/>
      <c r="J98" s="21"/>
      <c r="K98" s="21"/>
      <c r="L98" s="21"/>
      <c r="M98" s="21"/>
      <c r="N98" s="21"/>
      <c r="O98" s="21">
        <v>5</v>
      </c>
      <c r="P98" s="12" t="s">
        <v>69</v>
      </c>
      <c r="Q98" s="12"/>
    </row>
    <row r="99" spans="1:17">
      <c r="A99" s="15">
        <v>46353</v>
      </c>
      <c r="B99" s="13" t="s">
        <v>21</v>
      </c>
      <c r="C99" s="13"/>
      <c r="D99" s="36"/>
      <c r="E99" s="36"/>
      <c r="F99" s="20" t="str">
        <f t="shared" si="2"/>
        <v/>
      </c>
      <c r="G99" s="22"/>
      <c r="H99" s="22"/>
      <c r="I99" s="22"/>
      <c r="J99" s="22"/>
      <c r="K99" s="22"/>
      <c r="L99" s="22"/>
      <c r="M99" s="22"/>
      <c r="N99" s="22"/>
      <c r="O99" s="22">
        <v>5</v>
      </c>
      <c r="P99" s="13" t="s">
        <v>69</v>
      </c>
      <c r="Q99" s="13"/>
    </row>
    <row r="100" spans="1:17">
      <c r="A100" s="14">
        <v>46354</v>
      </c>
      <c r="B100" s="12" t="s">
        <v>21</v>
      </c>
      <c r="C100" s="12"/>
      <c r="D100" s="35"/>
      <c r="E100" s="35"/>
      <c r="F100" s="19" t="str">
        <f t="shared" si="2"/>
        <v/>
      </c>
      <c r="G100" s="21"/>
      <c r="H100" s="21"/>
      <c r="I100" s="21"/>
      <c r="J100" s="21"/>
      <c r="K100" s="21"/>
      <c r="L100" s="21"/>
      <c r="M100" s="21"/>
      <c r="N100" s="21"/>
      <c r="O100" s="21">
        <v>5</v>
      </c>
      <c r="P100" s="12" t="s">
        <v>69</v>
      </c>
      <c r="Q100" s="12"/>
    </row>
    <row r="101" spans="1:17">
      <c r="A101" s="15">
        <v>46355</v>
      </c>
      <c r="B101" s="13" t="s">
        <v>21</v>
      </c>
      <c r="C101" s="13"/>
      <c r="D101" s="36"/>
      <c r="E101" s="36"/>
      <c r="F101" s="20" t="str">
        <f t="shared" si="2"/>
        <v/>
      </c>
      <c r="G101" s="22"/>
      <c r="H101" s="22"/>
      <c r="I101" s="22"/>
      <c r="J101" s="22"/>
      <c r="K101" s="22"/>
      <c r="L101" s="22"/>
      <c r="M101" s="22"/>
      <c r="N101" s="22"/>
      <c r="O101" s="22">
        <v>5</v>
      </c>
      <c r="P101" s="13" t="s">
        <v>69</v>
      </c>
      <c r="Q101" s="13"/>
    </row>
    <row r="102" spans="1:17">
      <c r="A102" s="14">
        <v>46356</v>
      </c>
      <c r="B102" s="12" t="s">
        <v>21</v>
      </c>
      <c r="C102" s="12"/>
      <c r="D102" s="35"/>
      <c r="E102" s="35"/>
      <c r="F102" s="19" t="str">
        <f t="shared" si="2"/>
        <v/>
      </c>
      <c r="G102" s="21"/>
      <c r="H102" s="21"/>
      <c r="I102" s="21"/>
      <c r="J102" s="21"/>
      <c r="K102" s="21"/>
      <c r="L102" s="21"/>
      <c r="M102" s="21"/>
      <c r="N102" s="21"/>
      <c r="O102" s="21">
        <v>5</v>
      </c>
      <c r="P102" s="12" t="s">
        <v>69</v>
      </c>
      <c r="Q102" s="12"/>
    </row>
  </sheetData>
  <mergeCells count="2">
    <mergeCell ref="A2:Q2"/>
    <mergeCell ref="A1:Q1"/>
  </mergeCells>
  <conditionalFormatting sqref="B4:B102">
    <cfRule type="containsText" dxfId="4" priority="1" operator="containsText" text="Hoàn thành"/>
    <cfRule type="containsText" dxfId="3" priority="2" operator="containsText" text="Thất bại"/>
    <cfRule type="containsText" dxfId="2" priority="3" operator="containsText" text="Đang chạy"/>
  </conditionalFormatting>
  <dataValidations count="1">
    <dataValidation type="list" sqref="B4:B102" xr:uid="{00000000-0002-0000-0200-000000000000}">
      <formula1>"Chưa chạy,Đang chạy,Hoàn thành,Hoàn thành có lỗi,Thất bại"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2"/>
  <sheetViews>
    <sheetView showGridLines="0" workbookViewId="0">
      <selection sqref="A1:P1"/>
    </sheetView>
  </sheetViews>
  <sheetFormatPr defaultRowHeight="14"/>
  <cols>
    <col min="1" max="1" width="14" customWidth="1"/>
    <col min="2" max="2" width="13" customWidth="1"/>
    <col min="3" max="3" width="12" customWidth="1"/>
    <col min="4" max="15" width="13" customWidth="1"/>
    <col min="16" max="16" width="27" customWidth="1"/>
  </cols>
  <sheetData>
    <row r="1" spans="1:16" ht="28" customHeight="1">
      <c r="A1" s="39" t="s">
        <v>104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>
      <c r="A2" s="42" t="s">
        <v>105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ht="28" customHeight="1">
      <c r="A3" s="1" t="s">
        <v>25</v>
      </c>
      <c r="B3" s="1" t="s">
        <v>26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112</v>
      </c>
      <c r="J3" s="1" t="s">
        <v>113</v>
      </c>
      <c r="K3" s="1" t="s">
        <v>114</v>
      </c>
      <c r="L3" s="1" t="s">
        <v>115</v>
      </c>
      <c r="M3" s="1" t="s">
        <v>116</v>
      </c>
      <c r="N3" s="1" t="s">
        <v>117</v>
      </c>
      <c r="O3" s="1" t="s">
        <v>118</v>
      </c>
      <c r="P3" s="1" t="s">
        <v>119</v>
      </c>
    </row>
    <row r="4" spans="1:16">
      <c r="A4" s="14">
        <v>46258</v>
      </c>
      <c r="B4" s="12" t="s">
        <v>40</v>
      </c>
      <c r="C4" s="12" t="s">
        <v>10</v>
      </c>
      <c r="D4" s="14">
        <v>46282</v>
      </c>
      <c r="E4" s="14">
        <v>46284</v>
      </c>
      <c r="F4" s="14">
        <v>46259</v>
      </c>
      <c r="G4" s="14">
        <v>46263</v>
      </c>
      <c r="H4" s="14">
        <v>46267</v>
      </c>
      <c r="I4" s="14">
        <v>46271</v>
      </c>
      <c r="J4" s="14">
        <v>46274</v>
      </c>
      <c r="K4" s="14">
        <v>46277</v>
      </c>
      <c r="L4" s="14">
        <v>46279</v>
      </c>
      <c r="M4" s="14">
        <v>46306</v>
      </c>
      <c r="N4" s="14">
        <v>46344</v>
      </c>
      <c r="O4" s="14">
        <v>46388</v>
      </c>
      <c r="P4" s="12" t="s">
        <v>120</v>
      </c>
    </row>
    <row r="5" spans="1:16">
      <c r="A5" s="15">
        <v>46259</v>
      </c>
      <c r="B5" s="13" t="s">
        <v>43</v>
      </c>
      <c r="C5" s="13" t="s">
        <v>10</v>
      </c>
      <c r="D5" s="15">
        <v>46282</v>
      </c>
      <c r="E5" s="15">
        <v>46284</v>
      </c>
      <c r="F5" s="15">
        <v>46259</v>
      </c>
      <c r="G5" s="15">
        <v>46263</v>
      </c>
      <c r="H5" s="15">
        <v>46267</v>
      </c>
      <c r="I5" s="15">
        <v>46271</v>
      </c>
      <c r="J5" s="15">
        <v>46274</v>
      </c>
      <c r="K5" s="15">
        <v>46277</v>
      </c>
      <c r="L5" s="15">
        <v>46279</v>
      </c>
      <c r="M5" s="15">
        <v>46306</v>
      </c>
      <c r="N5" s="15">
        <v>46344</v>
      </c>
      <c r="O5" s="15">
        <v>46388</v>
      </c>
      <c r="P5" s="13" t="s">
        <v>120</v>
      </c>
    </row>
    <row r="6" spans="1:16">
      <c r="A6" s="14">
        <v>46260</v>
      </c>
      <c r="B6" s="12" t="s">
        <v>44</v>
      </c>
      <c r="C6" s="12" t="s">
        <v>10</v>
      </c>
      <c r="D6" s="14">
        <v>46282</v>
      </c>
      <c r="E6" s="14">
        <v>46284</v>
      </c>
      <c r="F6" s="14">
        <v>46287</v>
      </c>
      <c r="G6" s="14">
        <v>46263</v>
      </c>
      <c r="H6" s="14">
        <v>46267</v>
      </c>
      <c r="I6" s="14">
        <v>46271</v>
      </c>
      <c r="J6" s="14">
        <v>46274</v>
      </c>
      <c r="K6" s="14">
        <v>46277</v>
      </c>
      <c r="L6" s="14">
        <v>46279</v>
      </c>
      <c r="M6" s="14">
        <v>46306</v>
      </c>
      <c r="N6" s="14">
        <v>46344</v>
      </c>
      <c r="O6" s="14">
        <v>46388</v>
      </c>
      <c r="P6" s="12" t="s">
        <v>120</v>
      </c>
    </row>
    <row r="7" spans="1:16">
      <c r="A7" s="15">
        <v>46261</v>
      </c>
      <c r="B7" s="13" t="s">
        <v>45</v>
      </c>
      <c r="C7" s="13" t="s">
        <v>10</v>
      </c>
      <c r="D7" s="15">
        <v>46282</v>
      </c>
      <c r="E7" s="15">
        <v>46284</v>
      </c>
      <c r="F7" s="15">
        <v>46287</v>
      </c>
      <c r="G7" s="15">
        <v>46263</v>
      </c>
      <c r="H7" s="15">
        <v>46267</v>
      </c>
      <c r="I7" s="15">
        <v>46271</v>
      </c>
      <c r="J7" s="15">
        <v>46274</v>
      </c>
      <c r="K7" s="15">
        <v>46277</v>
      </c>
      <c r="L7" s="15">
        <v>46279</v>
      </c>
      <c r="M7" s="15">
        <v>46306</v>
      </c>
      <c r="N7" s="15">
        <v>46344</v>
      </c>
      <c r="O7" s="15">
        <v>46388</v>
      </c>
      <c r="P7" s="13" t="s">
        <v>120</v>
      </c>
    </row>
    <row r="8" spans="1:16">
      <c r="A8" s="14">
        <v>46262</v>
      </c>
      <c r="B8" s="12" t="s">
        <v>46</v>
      </c>
      <c r="C8" s="12" t="s">
        <v>10</v>
      </c>
      <c r="D8" s="14">
        <v>46282</v>
      </c>
      <c r="E8" s="14">
        <v>46284</v>
      </c>
      <c r="F8" s="14">
        <v>46287</v>
      </c>
      <c r="G8" s="14">
        <v>46263</v>
      </c>
      <c r="H8" s="14">
        <v>46267</v>
      </c>
      <c r="I8" s="14">
        <v>46271</v>
      </c>
      <c r="J8" s="14">
        <v>46274</v>
      </c>
      <c r="K8" s="14">
        <v>46277</v>
      </c>
      <c r="L8" s="14">
        <v>46279</v>
      </c>
      <c r="M8" s="14">
        <v>46306</v>
      </c>
      <c r="N8" s="14">
        <v>46344</v>
      </c>
      <c r="O8" s="14">
        <v>46388</v>
      </c>
      <c r="P8" s="12" t="s">
        <v>120</v>
      </c>
    </row>
    <row r="9" spans="1:16">
      <c r="A9" s="15">
        <v>46263</v>
      </c>
      <c r="B9" s="13" t="s">
        <v>47</v>
      </c>
      <c r="C9" s="13" t="s">
        <v>10</v>
      </c>
      <c r="D9" s="15">
        <v>46282</v>
      </c>
      <c r="E9" s="15">
        <v>46284</v>
      </c>
      <c r="F9" s="15">
        <v>46287</v>
      </c>
      <c r="G9" s="15">
        <v>46263</v>
      </c>
      <c r="H9" s="15">
        <v>46267</v>
      </c>
      <c r="I9" s="15">
        <v>46271</v>
      </c>
      <c r="J9" s="15">
        <v>46274</v>
      </c>
      <c r="K9" s="15">
        <v>46277</v>
      </c>
      <c r="L9" s="15">
        <v>46279</v>
      </c>
      <c r="M9" s="15">
        <v>46306</v>
      </c>
      <c r="N9" s="15">
        <v>46344</v>
      </c>
      <c r="O9" s="15">
        <v>46388</v>
      </c>
      <c r="P9" s="13" t="s">
        <v>120</v>
      </c>
    </row>
    <row r="10" spans="1:16">
      <c r="A10" s="14">
        <v>46264</v>
      </c>
      <c r="B10" s="12" t="s">
        <v>48</v>
      </c>
      <c r="C10" s="12" t="s">
        <v>10</v>
      </c>
      <c r="D10" s="14">
        <v>46282</v>
      </c>
      <c r="E10" s="14">
        <v>46284</v>
      </c>
      <c r="F10" s="14">
        <v>46287</v>
      </c>
      <c r="G10" s="14">
        <v>46291</v>
      </c>
      <c r="H10" s="14">
        <v>46267</v>
      </c>
      <c r="I10" s="14">
        <v>46271</v>
      </c>
      <c r="J10" s="14">
        <v>46274</v>
      </c>
      <c r="K10" s="14">
        <v>46277</v>
      </c>
      <c r="L10" s="14">
        <v>46279</v>
      </c>
      <c r="M10" s="14">
        <v>46306</v>
      </c>
      <c r="N10" s="14">
        <v>46344</v>
      </c>
      <c r="O10" s="14">
        <v>46388</v>
      </c>
      <c r="P10" s="12" t="s">
        <v>120</v>
      </c>
    </row>
    <row r="11" spans="1:16">
      <c r="A11" s="15">
        <v>46265</v>
      </c>
      <c r="B11" s="13" t="s">
        <v>40</v>
      </c>
      <c r="C11" s="13" t="s">
        <v>10</v>
      </c>
      <c r="D11" s="15">
        <v>46282</v>
      </c>
      <c r="E11" s="15">
        <v>46284</v>
      </c>
      <c r="F11" s="15">
        <v>46287</v>
      </c>
      <c r="G11" s="15">
        <v>46291</v>
      </c>
      <c r="H11" s="15">
        <v>46267</v>
      </c>
      <c r="I11" s="15">
        <v>46271</v>
      </c>
      <c r="J11" s="15">
        <v>46274</v>
      </c>
      <c r="K11" s="15">
        <v>46277</v>
      </c>
      <c r="L11" s="15">
        <v>46279</v>
      </c>
      <c r="M11" s="15">
        <v>46306</v>
      </c>
      <c r="N11" s="15">
        <v>46344</v>
      </c>
      <c r="O11" s="15">
        <v>46388</v>
      </c>
      <c r="P11" s="13" t="s">
        <v>120</v>
      </c>
    </row>
    <row r="12" spans="1:16">
      <c r="A12" s="14">
        <v>46266</v>
      </c>
      <c r="B12" s="12" t="s">
        <v>43</v>
      </c>
      <c r="C12" s="12" t="s">
        <v>10</v>
      </c>
      <c r="D12" s="14">
        <v>46282</v>
      </c>
      <c r="E12" s="14">
        <v>46284</v>
      </c>
      <c r="F12" s="14">
        <v>46287</v>
      </c>
      <c r="G12" s="14">
        <v>46291</v>
      </c>
      <c r="H12" s="14">
        <v>46267</v>
      </c>
      <c r="I12" s="14">
        <v>46271</v>
      </c>
      <c r="J12" s="14">
        <v>46274</v>
      </c>
      <c r="K12" s="14">
        <v>46277</v>
      </c>
      <c r="L12" s="14">
        <v>46279</v>
      </c>
      <c r="M12" s="14">
        <v>46306</v>
      </c>
      <c r="N12" s="14">
        <v>46344</v>
      </c>
      <c r="O12" s="14">
        <v>46388</v>
      </c>
      <c r="P12" s="12" t="s">
        <v>120</v>
      </c>
    </row>
    <row r="13" spans="1:16">
      <c r="A13" s="15">
        <v>46267</v>
      </c>
      <c r="B13" s="13" t="s">
        <v>44</v>
      </c>
      <c r="C13" s="13" t="s">
        <v>10</v>
      </c>
      <c r="D13" s="15">
        <v>46282</v>
      </c>
      <c r="E13" s="15">
        <v>46284</v>
      </c>
      <c r="F13" s="15">
        <v>46287</v>
      </c>
      <c r="G13" s="15">
        <v>46291</v>
      </c>
      <c r="H13" s="15">
        <v>46267</v>
      </c>
      <c r="I13" s="15">
        <v>46271</v>
      </c>
      <c r="J13" s="15">
        <v>46274</v>
      </c>
      <c r="K13" s="15">
        <v>46277</v>
      </c>
      <c r="L13" s="15">
        <v>46279</v>
      </c>
      <c r="M13" s="15">
        <v>46306</v>
      </c>
      <c r="N13" s="15">
        <v>46344</v>
      </c>
      <c r="O13" s="15">
        <v>46388</v>
      </c>
      <c r="P13" s="13" t="s">
        <v>120</v>
      </c>
    </row>
    <row r="14" spans="1:16">
      <c r="A14" s="14">
        <v>46268</v>
      </c>
      <c r="B14" s="12" t="s">
        <v>45</v>
      </c>
      <c r="C14" s="12" t="s">
        <v>10</v>
      </c>
      <c r="D14" s="14">
        <v>46282</v>
      </c>
      <c r="E14" s="14">
        <v>46284</v>
      </c>
      <c r="F14" s="14">
        <v>46287</v>
      </c>
      <c r="G14" s="14">
        <v>46291</v>
      </c>
      <c r="H14" s="14">
        <v>46295</v>
      </c>
      <c r="I14" s="14">
        <v>46271</v>
      </c>
      <c r="J14" s="14">
        <v>46274</v>
      </c>
      <c r="K14" s="14">
        <v>46277</v>
      </c>
      <c r="L14" s="14">
        <v>46279</v>
      </c>
      <c r="M14" s="14">
        <v>46306</v>
      </c>
      <c r="N14" s="14">
        <v>46344</v>
      </c>
      <c r="O14" s="14">
        <v>46388</v>
      </c>
      <c r="P14" s="12" t="s">
        <v>120</v>
      </c>
    </row>
    <row r="15" spans="1:16">
      <c r="A15" s="15">
        <v>46269</v>
      </c>
      <c r="B15" s="13" t="s">
        <v>46</v>
      </c>
      <c r="C15" s="13" t="s">
        <v>10</v>
      </c>
      <c r="D15" s="15">
        <v>46282</v>
      </c>
      <c r="E15" s="15">
        <v>46284</v>
      </c>
      <c r="F15" s="15">
        <v>46287</v>
      </c>
      <c r="G15" s="15">
        <v>46291</v>
      </c>
      <c r="H15" s="15">
        <v>46295</v>
      </c>
      <c r="I15" s="15">
        <v>46271</v>
      </c>
      <c r="J15" s="15">
        <v>46274</v>
      </c>
      <c r="K15" s="15">
        <v>46277</v>
      </c>
      <c r="L15" s="15">
        <v>46279</v>
      </c>
      <c r="M15" s="15">
        <v>46306</v>
      </c>
      <c r="N15" s="15">
        <v>46344</v>
      </c>
      <c r="O15" s="15">
        <v>46388</v>
      </c>
      <c r="P15" s="13" t="s">
        <v>120</v>
      </c>
    </row>
    <row r="16" spans="1:16">
      <c r="A16" s="14">
        <v>46270</v>
      </c>
      <c r="B16" s="12" t="s">
        <v>47</v>
      </c>
      <c r="C16" s="12" t="s">
        <v>10</v>
      </c>
      <c r="D16" s="14">
        <v>46282</v>
      </c>
      <c r="E16" s="14">
        <v>46284</v>
      </c>
      <c r="F16" s="14">
        <v>46287</v>
      </c>
      <c r="G16" s="14">
        <v>46291</v>
      </c>
      <c r="H16" s="14">
        <v>46295</v>
      </c>
      <c r="I16" s="14">
        <v>46271</v>
      </c>
      <c r="J16" s="14">
        <v>46274</v>
      </c>
      <c r="K16" s="14">
        <v>46277</v>
      </c>
      <c r="L16" s="14">
        <v>46279</v>
      </c>
      <c r="M16" s="14">
        <v>46306</v>
      </c>
      <c r="N16" s="14">
        <v>46344</v>
      </c>
      <c r="O16" s="14">
        <v>46388</v>
      </c>
      <c r="P16" s="12" t="s">
        <v>120</v>
      </c>
    </row>
    <row r="17" spans="1:16">
      <c r="A17" s="15">
        <v>46271</v>
      </c>
      <c r="B17" s="13" t="s">
        <v>48</v>
      </c>
      <c r="C17" s="13" t="s">
        <v>10</v>
      </c>
      <c r="D17" s="15">
        <v>46282</v>
      </c>
      <c r="E17" s="15">
        <v>46284</v>
      </c>
      <c r="F17" s="15">
        <v>46287</v>
      </c>
      <c r="G17" s="15">
        <v>46291</v>
      </c>
      <c r="H17" s="15">
        <v>46295</v>
      </c>
      <c r="I17" s="15">
        <v>46271</v>
      </c>
      <c r="J17" s="15">
        <v>46274</v>
      </c>
      <c r="K17" s="15">
        <v>46277</v>
      </c>
      <c r="L17" s="15">
        <v>46279</v>
      </c>
      <c r="M17" s="15">
        <v>46306</v>
      </c>
      <c r="N17" s="15">
        <v>46344</v>
      </c>
      <c r="O17" s="15">
        <v>46388</v>
      </c>
      <c r="P17" s="13" t="s">
        <v>120</v>
      </c>
    </row>
    <row r="18" spans="1:16">
      <c r="A18" s="14">
        <v>46272</v>
      </c>
      <c r="B18" s="12" t="s">
        <v>40</v>
      </c>
      <c r="C18" s="12" t="s">
        <v>10</v>
      </c>
      <c r="D18" s="14">
        <v>46282</v>
      </c>
      <c r="E18" s="14">
        <v>46284</v>
      </c>
      <c r="F18" s="14">
        <v>46287</v>
      </c>
      <c r="G18" s="14">
        <v>46291</v>
      </c>
      <c r="H18" s="14">
        <v>46295</v>
      </c>
      <c r="I18" s="14">
        <v>46299</v>
      </c>
      <c r="J18" s="14">
        <v>46274</v>
      </c>
      <c r="K18" s="14">
        <v>46277</v>
      </c>
      <c r="L18" s="14">
        <v>46279</v>
      </c>
      <c r="M18" s="14">
        <v>46306</v>
      </c>
      <c r="N18" s="14">
        <v>46344</v>
      </c>
      <c r="O18" s="14">
        <v>46388</v>
      </c>
      <c r="P18" s="12" t="s">
        <v>120</v>
      </c>
    </row>
    <row r="19" spans="1:16">
      <c r="A19" s="15">
        <v>46273</v>
      </c>
      <c r="B19" s="13" t="s">
        <v>43</v>
      </c>
      <c r="C19" s="13" t="s">
        <v>10</v>
      </c>
      <c r="D19" s="15">
        <v>46282</v>
      </c>
      <c r="E19" s="15">
        <v>46284</v>
      </c>
      <c r="F19" s="15">
        <v>46287</v>
      </c>
      <c r="G19" s="15">
        <v>46291</v>
      </c>
      <c r="H19" s="15">
        <v>46295</v>
      </c>
      <c r="I19" s="15">
        <v>46299</v>
      </c>
      <c r="J19" s="15">
        <v>46274</v>
      </c>
      <c r="K19" s="15">
        <v>46277</v>
      </c>
      <c r="L19" s="15">
        <v>46279</v>
      </c>
      <c r="M19" s="15">
        <v>46306</v>
      </c>
      <c r="N19" s="15">
        <v>46344</v>
      </c>
      <c r="O19" s="15">
        <v>46388</v>
      </c>
      <c r="P19" s="13" t="s">
        <v>120</v>
      </c>
    </row>
    <row r="20" spans="1:16">
      <c r="A20" s="14">
        <v>46274</v>
      </c>
      <c r="B20" s="12" t="s">
        <v>44</v>
      </c>
      <c r="C20" s="12" t="s">
        <v>10</v>
      </c>
      <c r="D20" s="14">
        <v>46282</v>
      </c>
      <c r="E20" s="14">
        <v>46284</v>
      </c>
      <c r="F20" s="14">
        <v>46287</v>
      </c>
      <c r="G20" s="14">
        <v>46291</v>
      </c>
      <c r="H20" s="14">
        <v>46295</v>
      </c>
      <c r="I20" s="14">
        <v>46299</v>
      </c>
      <c r="J20" s="14">
        <v>46274</v>
      </c>
      <c r="K20" s="14">
        <v>46277</v>
      </c>
      <c r="L20" s="14">
        <v>46279</v>
      </c>
      <c r="M20" s="14">
        <v>46306</v>
      </c>
      <c r="N20" s="14">
        <v>46344</v>
      </c>
      <c r="O20" s="14">
        <v>46388</v>
      </c>
      <c r="P20" s="12" t="s">
        <v>120</v>
      </c>
    </row>
    <row r="21" spans="1:16">
      <c r="A21" s="15">
        <v>46275</v>
      </c>
      <c r="B21" s="13" t="s">
        <v>45</v>
      </c>
      <c r="C21" s="13" t="s">
        <v>10</v>
      </c>
      <c r="D21" s="15">
        <v>46282</v>
      </c>
      <c r="E21" s="15">
        <v>46284</v>
      </c>
      <c r="F21" s="15">
        <v>46287</v>
      </c>
      <c r="G21" s="15">
        <v>46291</v>
      </c>
      <c r="H21" s="15">
        <v>46295</v>
      </c>
      <c r="I21" s="15">
        <v>46299</v>
      </c>
      <c r="J21" s="15">
        <v>46302</v>
      </c>
      <c r="K21" s="15">
        <v>46277</v>
      </c>
      <c r="L21" s="15">
        <v>46279</v>
      </c>
      <c r="M21" s="15">
        <v>46306</v>
      </c>
      <c r="N21" s="15">
        <v>46344</v>
      </c>
      <c r="O21" s="15">
        <v>46388</v>
      </c>
      <c r="P21" s="13" t="s">
        <v>120</v>
      </c>
    </row>
    <row r="22" spans="1:16">
      <c r="A22" s="14">
        <v>46276</v>
      </c>
      <c r="B22" s="12" t="s">
        <v>46</v>
      </c>
      <c r="C22" s="12" t="s">
        <v>10</v>
      </c>
      <c r="D22" s="14">
        <v>46282</v>
      </c>
      <c r="E22" s="14">
        <v>46284</v>
      </c>
      <c r="F22" s="14">
        <v>46287</v>
      </c>
      <c r="G22" s="14">
        <v>46291</v>
      </c>
      <c r="H22" s="14">
        <v>46295</v>
      </c>
      <c r="I22" s="14">
        <v>46299</v>
      </c>
      <c r="J22" s="14">
        <v>46302</v>
      </c>
      <c r="K22" s="14">
        <v>46277</v>
      </c>
      <c r="L22" s="14">
        <v>46279</v>
      </c>
      <c r="M22" s="14">
        <v>46306</v>
      </c>
      <c r="N22" s="14">
        <v>46344</v>
      </c>
      <c r="O22" s="14">
        <v>46388</v>
      </c>
      <c r="P22" s="12" t="s">
        <v>120</v>
      </c>
    </row>
    <row r="23" spans="1:16">
      <c r="A23" s="15">
        <v>46277</v>
      </c>
      <c r="B23" s="13" t="s">
        <v>47</v>
      </c>
      <c r="C23" s="13" t="s">
        <v>10</v>
      </c>
      <c r="D23" s="15">
        <v>46282</v>
      </c>
      <c r="E23" s="15">
        <v>46284</v>
      </c>
      <c r="F23" s="15">
        <v>46287</v>
      </c>
      <c r="G23" s="15">
        <v>46291</v>
      </c>
      <c r="H23" s="15">
        <v>46295</v>
      </c>
      <c r="I23" s="15">
        <v>46299</v>
      </c>
      <c r="J23" s="15">
        <v>46302</v>
      </c>
      <c r="K23" s="15">
        <v>46277</v>
      </c>
      <c r="L23" s="15">
        <v>46279</v>
      </c>
      <c r="M23" s="15">
        <v>46306</v>
      </c>
      <c r="N23" s="15">
        <v>46344</v>
      </c>
      <c r="O23" s="15">
        <v>46388</v>
      </c>
      <c r="P23" s="13" t="s">
        <v>120</v>
      </c>
    </row>
    <row r="24" spans="1:16">
      <c r="A24" s="14">
        <v>46278</v>
      </c>
      <c r="B24" s="12" t="s">
        <v>48</v>
      </c>
      <c r="C24" s="12" t="s">
        <v>10</v>
      </c>
      <c r="D24" s="14">
        <v>46282</v>
      </c>
      <c r="E24" s="14">
        <v>46284</v>
      </c>
      <c r="F24" s="14">
        <v>46287</v>
      </c>
      <c r="G24" s="14">
        <v>46291</v>
      </c>
      <c r="H24" s="14">
        <v>46295</v>
      </c>
      <c r="I24" s="14">
        <v>46299</v>
      </c>
      <c r="J24" s="14">
        <v>46302</v>
      </c>
      <c r="K24" s="14">
        <v>46305</v>
      </c>
      <c r="L24" s="14">
        <v>46279</v>
      </c>
      <c r="M24" s="14">
        <v>46306</v>
      </c>
      <c r="N24" s="14">
        <v>46344</v>
      </c>
      <c r="O24" s="14">
        <v>46388</v>
      </c>
      <c r="P24" s="12" t="s">
        <v>120</v>
      </c>
    </row>
    <row r="25" spans="1:16">
      <c r="A25" s="15">
        <v>46279</v>
      </c>
      <c r="B25" s="13" t="s">
        <v>40</v>
      </c>
      <c r="C25" s="13" t="s">
        <v>10</v>
      </c>
      <c r="D25" s="15">
        <v>46282</v>
      </c>
      <c r="E25" s="15">
        <v>46284</v>
      </c>
      <c r="F25" s="15">
        <v>46287</v>
      </c>
      <c r="G25" s="15">
        <v>46291</v>
      </c>
      <c r="H25" s="15">
        <v>46295</v>
      </c>
      <c r="I25" s="15">
        <v>46299</v>
      </c>
      <c r="J25" s="15">
        <v>46302</v>
      </c>
      <c r="K25" s="15">
        <v>46305</v>
      </c>
      <c r="L25" s="15">
        <v>46279</v>
      </c>
      <c r="M25" s="15">
        <v>46306</v>
      </c>
      <c r="N25" s="15">
        <v>46344</v>
      </c>
      <c r="O25" s="15">
        <v>46388</v>
      </c>
      <c r="P25" s="13" t="s">
        <v>120</v>
      </c>
    </row>
    <row r="26" spans="1:16">
      <c r="A26" s="14">
        <v>46280</v>
      </c>
      <c r="B26" s="12" t="s">
        <v>43</v>
      </c>
      <c r="C26" s="12" t="s">
        <v>10</v>
      </c>
      <c r="D26" s="14">
        <v>46282</v>
      </c>
      <c r="E26" s="14">
        <v>46284</v>
      </c>
      <c r="F26" s="14">
        <v>46287</v>
      </c>
      <c r="G26" s="14">
        <v>46291</v>
      </c>
      <c r="H26" s="14">
        <v>46295</v>
      </c>
      <c r="I26" s="14">
        <v>46299</v>
      </c>
      <c r="J26" s="14">
        <v>46302</v>
      </c>
      <c r="K26" s="14">
        <v>46305</v>
      </c>
      <c r="L26" s="14">
        <v>46307</v>
      </c>
      <c r="M26" s="14">
        <v>46306</v>
      </c>
      <c r="N26" s="14">
        <v>46344</v>
      </c>
      <c r="O26" s="14">
        <v>46388</v>
      </c>
      <c r="P26" s="12" t="s">
        <v>120</v>
      </c>
    </row>
    <row r="27" spans="1:16">
      <c r="A27" s="15">
        <v>46281</v>
      </c>
      <c r="B27" s="13" t="s">
        <v>44</v>
      </c>
      <c r="C27" s="13" t="s">
        <v>10</v>
      </c>
      <c r="D27" s="15">
        <v>46282</v>
      </c>
      <c r="E27" s="15">
        <v>46284</v>
      </c>
      <c r="F27" s="15">
        <v>46287</v>
      </c>
      <c r="G27" s="15">
        <v>46291</v>
      </c>
      <c r="H27" s="15">
        <v>46295</v>
      </c>
      <c r="I27" s="15">
        <v>46299</v>
      </c>
      <c r="J27" s="15">
        <v>46302</v>
      </c>
      <c r="K27" s="15">
        <v>46305</v>
      </c>
      <c r="L27" s="15">
        <v>46307</v>
      </c>
      <c r="M27" s="15">
        <v>46306</v>
      </c>
      <c r="N27" s="15">
        <v>46344</v>
      </c>
      <c r="O27" s="15">
        <v>46388</v>
      </c>
      <c r="P27" s="13" t="s">
        <v>120</v>
      </c>
    </row>
    <row r="28" spans="1:16">
      <c r="A28" s="14">
        <v>46282</v>
      </c>
      <c r="B28" s="12" t="s">
        <v>45</v>
      </c>
      <c r="C28" s="12" t="s">
        <v>10</v>
      </c>
      <c r="D28" s="14">
        <v>46282</v>
      </c>
      <c r="E28" s="14">
        <v>46284</v>
      </c>
      <c r="F28" s="14">
        <v>46287</v>
      </c>
      <c r="G28" s="14">
        <v>46291</v>
      </c>
      <c r="H28" s="14">
        <v>46295</v>
      </c>
      <c r="I28" s="14">
        <v>46299</v>
      </c>
      <c r="J28" s="14">
        <v>46302</v>
      </c>
      <c r="K28" s="14">
        <v>46305</v>
      </c>
      <c r="L28" s="14">
        <v>46307</v>
      </c>
      <c r="M28" s="14">
        <v>46306</v>
      </c>
      <c r="N28" s="14">
        <v>46344</v>
      </c>
      <c r="O28" s="14">
        <v>46388</v>
      </c>
      <c r="P28" s="12" t="s">
        <v>120</v>
      </c>
    </row>
    <row r="29" spans="1:16">
      <c r="A29" s="15">
        <v>46283</v>
      </c>
      <c r="B29" s="13" t="s">
        <v>46</v>
      </c>
      <c r="C29" s="13" t="s">
        <v>10</v>
      </c>
      <c r="D29" s="15">
        <v>46310</v>
      </c>
      <c r="E29" s="15">
        <v>46284</v>
      </c>
      <c r="F29" s="15">
        <v>46287</v>
      </c>
      <c r="G29" s="15">
        <v>46291</v>
      </c>
      <c r="H29" s="15">
        <v>46295</v>
      </c>
      <c r="I29" s="15">
        <v>46299</v>
      </c>
      <c r="J29" s="15">
        <v>46302</v>
      </c>
      <c r="K29" s="15">
        <v>46305</v>
      </c>
      <c r="L29" s="15">
        <v>46307</v>
      </c>
      <c r="M29" s="15">
        <v>46306</v>
      </c>
      <c r="N29" s="15">
        <v>46344</v>
      </c>
      <c r="O29" s="15">
        <v>46388</v>
      </c>
      <c r="P29" s="13" t="s">
        <v>120</v>
      </c>
    </row>
    <row r="30" spans="1:16">
      <c r="A30" s="14">
        <v>46284</v>
      </c>
      <c r="B30" s="12" t="s">
        <v>47</v>
      </c>
      <c r="C30" s="12" t="s">
        <v>10</v>
      </c>
      <c r="D30" s="14">
        <v>46310</v>
      </c>
      <c r="E30" s="14">
        <v>46284</v>
      </c>
      <c r="F30" s="14">
        <v>46287</v>
      </c>
      <c r="G30" s="14">
        <v>46291</v>
      </c>
      <c r="H30" s="14">
        <v>46295</v>
      </c>
      <c r="I30" s="14">
        <v>46299</v>
      </c>
      <c r="J30" s="14">
        <v>46302</v>
      </c>
      <c r="K30" s="14">
        <v>46305</v>
      </c>
      <c r="L30" s="14">
        <v>46307</v>
      </c>
      <c r="M30" s="14">
        <v>46306</v>
      </c>
      <c r="N30" s="14">
        <v>46344</v>
      </c>
      <c r="O30" s="14">
        <v>46388</v>
      </c>
      <c r="P30" s="12" t="s">
        <v>120</v>
      </c>
    </row>
    <row r="31" spans="1:16">
      <c r="A31" s="15">
        <v>46285</v>
      </c>
      <c r="B31" s="13" t="s">
        <v>48</v>
      </c>
      <c r="C31" s="13" t="s">
        <v>10</v>
      </c>
      <c r="D31" s="15">
        <v>46310</v>
      </c>
      <c r="E31" s="15">
        <v>46312</v>
      </c>
      <c r="F31" s="15">
        <v>46287</v>
      </c>
      <c r="G31" s="15">
        <v>46291</v>
      </c>
      <c r="H31" s="15">
        <v>46295</v>
      </c>
      <c r="I31" s="15">
        <v>46299</v>
      </c>
      <c r="J31" s="15">
        <v>46302</v>
      </c>
      <c r="K31" s="15">
        <v>46305</v>
      </c>
      <c r="L31" s="15">
        <v>46307</v>
      </c>
      <c r="M31" s="15">
        <v>46306</v>
      </c>
      <c r="N31" s="15">
        <v>46344</v>
      </c>
      <c r="O31" s="15">
        <v>46388</v>
      </c>
      <c r="P31" s="13" t="s">
        <v>120</v>
      </c>
    </row>
    <row r="32" spans="1:16">
      <c r="A32" s="14">
        <v>46286</v>
      </c>
      <c r="B32" s="12" t="s">
        <v>40</v>
      </c>
      <c r="C32" s="12" t="s">
        <v>10</v>
      </c>
      <c r="D32" s="14">
        <v>46310</v>
      </c>
      <c r="E32" s="14">
        <v>46312</v>
      </c>
      <c r="F32" s="14">
        <v>46287</v>
      </c>
      <c r="G32" s="14">
        <v>46291</v>
      </c>
      <c r="H32" s="14">
        <v>46295</v>
      </c>
      <c r="I32" s="14">
        <v>46299</v>
      </c>
      <c r="J32" s="14">
        <v>46302</v>
      </c>
      <c r="K32" s="14">
        <v>46305</v>
      </c>
      <c r="L32" s="14">
        <v>46307</v>
      </c>
      <c r="M32" s="14">
        <v>46306</v>
      </c>
      <c r="N32" s="14">
        <v>46344</v>
      </c>
      <c r="O32" s="14">
        <v>46388</v>
      </c>
      <c r="P32" s="12" t="s">
        <v>120</v>
      </c>
    </row>
    <row r="33" spans="1:16">
      <c r="A33" s="15">
        <v>46287</v>
      </c>
      <c r="B33" s="13" t="s">
        <v>43</v>
      </c>
      <c r="C33" s="13" t="s">
        <v>10</v>
      </c>
      <c r="D33" s="15">
        <v>46310</v>
      </c>
      <c r="E33" s="15">
        <v>46312</v>
      </c>
      <c r="F33" s="15">
        <v>46287</v>
      </c>
      <c r="G33" s="15">
        <v>46291</v>
      </c>
      <c r="H33" s="15">
        <v>46295</v>
      </c>
      <c r="I33" s="15">
        <v>46299</v>
      </c>
      <c r="J33" s="15">
        <v>46302</v>
      </c>
      <c r="K33" s="15">
        <v>46305</v>
      </c>
      <c r="L33" s="15">
        <v>46307</v>
      </c>
      <c r="M33" s="15">
        <v>46306</v>
      </c>
      <c r="N33" s="15">
        <v>46344</v>
      </c>
      <c r="O33" s="15">
        <v>46388</v>
      </c>
      <c r="P33" s="13" t="s">
        <v>120</v>
      </c>
    </row>
    <row r="34" spans="1:16">
      <c r="A34" s="14">
        <v>46288</v>
      </c>
      <c r="B34" s="12" t="s">
        <v>44</v>
      </c>
      <c r="C34" s="12" t="s">
        <v>10</v>
      </c>
      <c r="D34" s="14">
        <v>46310</v>
      </c>
      <c r="E34" s="14">
        <v>46312</v>
      </c>
      <c r="F34" s="14">
        <v>46315</v>
      </c>
      <c r="G34" s="14">
        <v>46291</v>
      </c>
      <c r="H34" s="14">
        <v>46295</v>
      </c>
      <c r="I34" s="14">
        <v>46299</v>
      </c>
      <c r="J34" s="14">
        <v>46302</v>
      </c>
      <c r="K34" s="14">
        <v>46305</v>
      </c>
      <c r="L34" s="14">
        <v>46307</v>
      </c>
      <c r="M34" s="14">
        <v>46306</v>
      </c>
      <c r="N34" s="14">
        <v>46344</v>
      </c>
      <c r="O34" s="14">
        <v>46388</v>
      </c>
      <c r="P34" s="12" t="s">
        <v>120</v>
      </c>
    </row>
    <row r="35" spans="1:16">
      <c r="A35" s="15">
        <v>46289</v>
      </c>
      <c r="B35" s="13" t="s">
        <v>45</v>
      </c>
      <c r="C35" s="13" t="s">
        <v>10</v>
      </c>
      <c r="D35" s="15">
        <v>46310</v>
      </c>
      <c r="E35" s="15">
        <v>46312</v>
      </c>
      <c r="F35" s="15">
        <v>46315</v>
      </c>
      <c r="G35" s="15">
        <v>46291</v>
      </c>
      <c r="H35" s="15">
        <v>46295</v>
      </c>
      <c r="I35" s="15">
        <v>46299</v>
      </c>
      <c r="J35" s="15">
        <v>46302</v>
      </c>
      <c r="K35" s="15">
        <v>46305</v>
      </c>
      <c r="L35" s="15">
        <v>46307</v>
      </c>
      <c r="M35" s="15">
        <v>46306</v>
      </c>
      <c r="N35" s="15">
        <v>46344</v>
      </c>
      <c r="O35" s="15">
        <v>46388</v>
      </c>
      <c r="P35" s="13" t="s">
        <v>120</v>
      </c>
    </row>
    <row r="36" spans="1:16">
      <c r="A36" s="14">
        <v>46290</v>
      </c>
      <c r="B36" s="12" t="s">
        <v>46</v>
      </c>
      <c r="C36" s="12" t="s">
        <v>10</v>
      </c>
      <c r="D36" s="14">
        <v>46310</v>
      </c>
      <c r="E36" s="14">
        <v>46312</v>
      </c>
      <c r="F36" s="14">
        <v>46315</v>
      </c>
      <c r="G36" s="14">
        <v>46291</v>
      </c>
      <c r="H36" s="14">
        <v>46295</v>
      </c>
      <c r="I36" s="14">
        <v>46299</v>
      </c>
      <c r="J36" s="14">
        <v>46302</v>
      </c>
      <c r="K36" s="14">
        <v>46305</v>
      </c>
      <c r="L36" s="14">
        <v>46307</v>
      </c>
      <c r="M36" s="14">
        <v>46306</v>
      </c>
      <c r="N36" s="14">
        <v>46344</v>
      </c>
      <c r="O36" s="14">
        <v>46388</v>
      </c>
      <c r="P36" s="12" t="s">
        <v>120</v>
      </c>
    </row>
    <row r="37" spans="1:16">
      <c r="A37" s="15">
        <v>46291</v>
      </c>
      <c r="B37" s="13" t="s">
        <v>47</v>
      </c>
      <c r="C37" s="13" t="s">
        <v>10</v>
      </c>
      <c r="D37" s="15">
        <v>46310</v>
      </c>
      <c r="E37" s="15">
        <v>46312</v>
      </c>
      <c r="F37" s="15">
        <v>46315</v>
      </c>
      <c r="G37" s="15">
        <v>46291</v>
      </c>
      <c r="H37" s="15">
        <v>46295</v>
      </c>
      <c r="I37" s="15">
        <v>46299</v>
      </c>
      <c r="J37" s="15">
        <v>46302</v>
      </c>
      <c r="K37" s="15">
        <v>46305</v>
      </c>
      <c r="L37" s="15">
        <v>46307</v>
      </c>
      <c r="M37" s="15">
        <v>46306</v>
      </c>
      <c r="N37" s="15">
        <v>46344</v>
      </c>
      <c r="O37" s="15">
        <v>46388</v>
      </c>
      <c r="P37" s="13" t="s">
        <v>120</v>
      </c>
    </row>
    <row r="38" spans="1:16">
      <c r="A38" s="14">
        <v>46292</v>
      </c>
      <c r="B38" s="12" t="s">
        <v>48</v>
      </c>
      <c r="C38" s="12" t="s">
        <v>10</v>
      </c>
      <c r="D38" s="14">
        <v>46310</v>
      </c>
      <c r="E38" s="14">
        <v>46312</v>
      </c>
      <c r="F38" s="14">
        <v>46315</v>
      </c>
      <c r="G38" s="14">
        <v>46319</v>
      </c>
      <c r="H38" s="14">
        <v>46295</v>
      </c>
      <c r="I38" s="14">
        <v>46299</v>
      </c>
      <c r="J38" s="14">
        <v>46302</v>
      </c>
      <c r="K38" s="14">
        <v>46305</v>
      </c>
      <c r="L38" s="14">
        <v>46307</v>
      </c>
      <c r="M38" s="14">
        <v>46306</v>
      </c>
      <c r="N38" s="14">
        <v>46344</v>
      </c>
      <c r="O38" s="14">
        <v>46388</v>
      </c>
      <c r="P38" s="12" t="s">
        <v>120</v>
      </c>
    </row>
    <row r="39" spans="1:16">
      <c r="A39" s="15">
        <v>46293</v>
      </c>
      <c r="B39" s="13" t="s">
        <v>40</v>
      </c>
      <c r="C39" s="13" t="s">
        <v>10</v>
      </c>
      <c r="D39" s="15">
        <v>46310</v>
      </c>
      <c r="E39" s="15">
        <v>46312</v>
      </c>
      <c r="F39" s="15">
        <v>46315</v>
      </c>
      <c r="G39" s="15">
        <v>46319</v>
      </c>
      <c r="H39" s="15">
        <v>46295</v>
      </c>
      <c r="I39" s="15">
        <v>46299</v>
      </c>
      <c r="J39" s="15">
        <v>46302</v>
      </c>
      <c r="K39" s="15">
        <v>46305</v>
      </c>
      <c r="L39" s="15">
        <v>46307</v>
      </c>
      <c r="M39" s="15">
        <v>46306</v>
      </c>
      <c r="N39" s="15">
        <v>46344</v>
      </c>
      <c r="O39" s="15">
        <v>46388</v>
      </c>
      <c r="P39" s="13" t="s">
        <v>120</v>
      </c>
    </row>
    <row r="40" spans="1:16">
      <c r="A40" s="14">
        <v>46294</v>
      </c>
      <c r="B40" s="12" t="s">
        <v>43</v>
      </c>
      <c r="C40" s="12" t="s">
        <v>10</v>
      </c>
      <c r="D40" s="14">
        <v>46310</v>
      </c>
      <c r="E40" s="14">
        <v>46312</v>
      </c>
      <c r="F40" s="14">
        <v>46315</v>
      </c>
      <c r="G40" s="14">
        <v>46319</v>
      </c>
      <c r="H40" s="14">
        <v>46295</v>
      </c>
      <c r="I40" s="14">
        <v>46299</v>
      </c>
      <c r="J40" s="14">
        <v>46302</v>
      </c>
      <c r="K40" s="14">
        <v>46305</v>
      </c>
      <c r="L40" s="14">
        <v>46307</v>
      </c>
      <c r="M40" s="14">
        <v>46306</v>
      </c>
      <c r="N40" s="14">
        <v>46344</v>
      </c>
      <c r="O40" s="14">
        <v>46388</v>
      </c>
      <c r="P40" s="12" t="s">
        <v>120</v>
      </c>
    </row>
    <row r="41" spans="1:16">
      <c r="A41" s="15">
        <v>46295</v>
      </c>
      <c r="B41" s="13" t="s">
        <v>44</v>
      </c>
      <c r="C41" s="13" t="s">
        <v>10</v>
      </c>
      <c r="D41" s="15">
        <v>46310</v>
      </c>
      <c r="E41" s="15">
        <v>46312</v>
      </c>
      <c r="F41" s="15">
        <v>46315</v>
      </c>
      <c r="G41" s="15">
        <v>46319</v>
      </c>
      <c r="H41" s="15">
        <v>46295</v>
      </c>
      <c r="I41" s="15">
        <v>46299</v>
      </c>
      <c r="J41" s="15">
        <v>46302</v>
      </c>
      <c r="K41" s="15">
        <v>46305</v>
      </c>
      <c r="L41" s="15">
        <v>46307</v>
      </c>
      <c r="M41" s="15">
        <v>46306</v>
      </c>
      <c r="N41" s="15">
        <v>46344</v>
      </c>
      <c r="O41" s="15">
        <v>46388</v>
      </c>
      <c r="P41" s="13" t="s">
        <v>120</v>
      </c>
    </row>
    <row r="42" spans="1:16">
      <c r="A42" s="14">
        <v>46296</v>
      </c>
      <c r="B42" s="12" t="s">
        <v>45</v>
      </c>
      <c r="C42" s="12" t="s">
        <v>10</v>
      </c>
      <c r="D42" s="14">
        <v>46310</v>
      </c>
      <c r="E42" s="14">
        <v>46312</v>
      </c>
      <c r="F42" s="14">
        <v>46315</v>
      </c>
      <c r="G42" s="14">
        <v>46319</v>
      </c>
      <c r="H42" s="14">
        <v>46323</v>
      </c>
      <c r="I42" s="14">
        <v>46299</v>
      </c>
      <c r="J42" s="14">
        <v>46302</v>
      </c>
      <c r="K42" s="14">
        <v>46305</v>
      </c>
      <c r="L42" s="14">
        <v>46307</v>
      </c>
      <c r="M42" s="14">
        <v>46306</v>
      </c>
      <c r="N42" s="14">
        <v>46344</v>
      </c>
      <c r="O42" s="14">
        <v>46388</v>
      </c>
      <c r="P42" s="12" t="s">
        <v>120</v>
      </c>
    </row>
    <row r="43" spans="1:16">
      <c r="A43" s="15">
        <v>46297</v>
      </c>
      <c r="B43" s="13" t="s">
        <v>46</v>
      </c>
      <c r="C43" s="13" t="s">
        <v>10</v>
      </c>
      <c r="D43" s="15">
        <v>46310</v>
      </c>
      <c r="E43" s="15">
        <v>46312</v>
      </c>
      <c r="F43" s="15">
        <v>46315</v>
      </c>
      <c r="G43" s="15">
        <v>46319</v>
      </c>
      <c r="H43" s="15">
        <v>46323</v>
      </c>
      <c r="I43" s="15">
        <v>46299</v>
      </c>
      <c r="J43" s="15">
        <v>46302</v>
      </c>
      <c r="K43" s="15">
        <v>46305</v>
      </c>
      <c r="L43" s="15">
        <v>46307</v>
      </c>
      <c r="M43" s="15">
        <v>46306</v>
      </c>
      <c r="N43" s="15">
        <v>46344</v>
      </c>
      <c r="O43" s="15">
        <v>46388</v>
      </c>
      <c r="P43" s="13" t="s">
        <v>120</v>
      </c>
    </row>
    <row r="44" spans="1:16">
      <c r="A44" s="14">
        <v>46298</v>
      </c>
      <c r="B44" s="12" t="s">
        <v>47</v>
      </c>
      <c r="C44" s="12" t="s">
        <v>10</v>
      </c>
      <c r="D44" s="14">
        <v>46310</v>
      </c>
      <c r="E44" s="14">
        <v>46312</v>
      </c>
      <c r="F44" s="14">
        <v>46315</v>
      </c>
      <c r="G44" s="14">
        <v>46319</v>
      </c>
      <c r="H44" s="14">
        <v>46323</v>
      </c>
      <c r="I44" s="14">
        <v>46299</v>
      </c>
      <c r="J44" s="14">
        <v>46302</v>
      </c>
      <c r="K44" s="14">
        <v>46305</v>
      </c>
      <c r="L44" s="14">
        <v>46307</v>
      </c>
      <c r="M44" s="14">
        <v>46306</v>
      </c>
      <c r="N44" s="14">
        <v>46344</v>
      </c>
      <c r="O44" s="14">
        <v>46388</v>
      </c>
      <c r="P44" s="12" t="s">
        <v>120</v>
      </c>
    </row>
    <row r="45" spans="1:16">
      <c r="A45" s="15">
        <v>46299</v>
      </c>
      <c r="B45" s="13" t="s">
        <v>48</v>
      </c>
      <c r="C45" s="13" t="s">
        <v>10</v>
      </c>
      <c r="D45" s="15">
        <v>46310</v>
      </c>
      <c r="E45" s="15">
        <v>46312</v>
      </c>
      <c r="F45" s="15">
        <v>46315</v>
      </c>
      <c r="G45" s="15">
        <v>46319</v>
      </c>
      <c r="H45" s="15">
        <v>46323</v>
      </c>
      <c r="I45" s="15">
        <v>46299</v>
      </c>
      <c r="J45" s="15">
        <v>46302</v>
      </c>
      <c r="K45" s="15">
        <v>46305</v>
      </c>
      <c r="L45" s="15">
        <v>46307</v>
      </c>
      <c r="M45" s="15">
        <v>46306</v>
      </c>
      <c r="N45" s="15">
        <v>46344</v>
      </c>
      <c r="O45" s="15">
        <v>46388</v>
      </c>
      <c r="P45" s="13" t="s">
        <v>120</v>
      </c>
    </row>
    <row r="46" spans="1:16">
      <c r="A46" s="14">
        <v>46300</v>
      </c>
      <c r="B46" s="12" t="s">
        <v>40</v>
      </c>
      <c r="C46" s="12" t="s">
        <v>10</v>
      </c>
      <c r="D46" s="14">
        <v>46310</v>
      </c>
      <c r="E46" s="14">
        <v>46312</v>
      </c>
      <c r="F46" s="14">
        <v>46315</v>
      </c>
      <c r="G46" s="14">
        <v>46319</v>
      </c>
      <c r="H46" s="14">
        <v>46323</v>
      </c>
      <c r="I46" s="14">
        <v>46327</v>
      </c>
      <c r="J46" s="14">
        <v>46302</v>
      </c>
      <c r="K46" s="14">
        <v>46305</v>
      </c>
      <c r="L46" s="14">
        <v>46307</v>
      </c>
      <c r="M46" s="14">
        <v>46306</v>
      </c>
      <c r="N46" s="14">
        <v>46344</v>
      </c>
      <c r="O46" s="14">
        <v>46388</v>
      </c>
      <c r="P46" s="12" t="s">
        <v>120</v>
      </c>
    </row>
    <row r="47" spans="1:16">
      <c r="A47" s="15">
        <v>46301</v>
      </c>
      <c r="B47" s="13" t="s">
        <v>43</v>
      </c>
      <c r="C47" s="13" t="s">
        <v>10</v>
      </c>
      <c r="D47" s="15">
        <v>46310</v>
      </c>
      <c r="E47" s="15">
        <v>46312</v>
      </c>
      <c r="F47" s="15">
        <v>46315</v>
      </c>
      <c r="G47" s="15">
        <v>46319</v>
      </c>
      <c r="H47" s="15">
        <v>46323</v>
      </c>
      <c r="I47" s="15">
        <v>46327</v>
      </c>
      <c r="J47" s="15">
        <v>46302</v>
      </c>
      <c r="K47" s="15">
        <v>46305</v>
      </c>
      <c r="L47" s="15">
        <v>46307</v>
      </c>
      <c r="M47" s="15">
        <v>46306</v>
      </c>
      <c r="N47" s="15">
        <v>46344</v>
      </c>
      <c r="O47" s="15">
        <v>46388</v>
      </c>
      <c r="P47" s="13" t="s">
        <v>120</v>
      </c>
    </row>
    <row r="48" spans="1:16">
      <c r="A48" s="14">
        <v>46302</v>
      </c>
      <c r="B48" s="12" t="s">
        <v>44</v>
      </c>
      <c r="C48" s="12" t="s">
        <v>10</v>
      </c>
      <c r="D48" s="14">
        <v>46310</v>
      </c>
      <c r="E48" s="14">
        <v>46312</v>
      </c>
      <c r="F48" s="14">
        <v>46315</v>
      </c>
      <c r="G48" s="14">
        <v>46319</v>
      </c>
      <c r="H48" s="14">
        <v>46323</v>
      </c>
      <c r="I48" s="14">
        <v>46327</v>
      </c>
      <c r="J48" s="14">
        <v>46302</v>
      </c>
      <c r="K48" s="14">
        <v>46305</v>
      </c>
      <c r="L48" s="14">
        <v>46307</v>
      </c>
      <c r="M48" s="14">
        <v>46306</v>
      </c>
      <c r="N48" s="14">
        <v>46344</v>
      </c>
      <c r="O48" s="14">
        <v>46388</v>
      </c>
      <c r="P48" s="12" t="s">
        <v>120</v>
      </c>
    </row>
    <row r="49" spans="1:16">
      <c r="A49" s="15">
        <v>46303</v>
      </c>
      <c r="B49" s="13" t="s">
        <v>45</v>
      </c>
      <c r="C49" s="13" t="s">
        <v>10</v>
      </c>
      <c r="D49" s="15">
        <v>46310</v>
      </c>
      <c r="E49" s="15">
        <v>46312</v>
      </c>
      <c r="F49" s="15">
        <v>46315</v>
      </c>
      <c r="G49" s="15">
        <v>46319</v>
      </c>
      <c r="H49" s="15">
        <v>46323</v>
      </c>
      <c r="I49" s="15">
        <v>46327</v>
      </c>
      <c r="J49" s="15">
        <v>46330</v>
      </c>
      <c r="K49" s="15">
        <v>46305</v>
      </c>
      <c r="L49" s="15">
        <v>46307</v>
      </c>
      <c r="M49" s="15">
        <v>46306</v>
      </c>
      <c r="N49" s="15">
        <v>46344</v>
      </c>
      <c r="O49" s="15">
        <v>46388</v>
      </c>
      <c r="P49" s="13" t="s">
        <v>120</v>
      </c>
    </row>
    <row r="50" spans="1:16">
      <c r="A50" s="14">
        <v>46304</v>
      </c>
      <c r="B50" s="12" t="s">
        <v>46</v>
      </c>
      <c r="C50" s="12" t="s">
        <v>10</v>
      </c>
      <c r="D50" s="14">
        <v>46310</v>
      </c>
      <c r="E50" s="14">
        <v>46312</v>
      </c>
      <c r="F50" s="14">
        <v>46315</v>
      </c>
      <c r="G50" s="14">
        <v>46319</v>
      </c>
      <c r="H50" s="14">
        <v>46323</v>
      </c>
      <c r="I50" s="14">
        <v>46327</v>
      </c>
      <c r="J50" s="14">
        <v>46330</v>
      </c>
      <c r="K50" s="14">
        <v>46305</v>
      </c>
      <c r="L50" s="14">
        <v>46307</v>
      </c>
      <c r="M50" s="14">
        <v>46306</v>
      </c>
      <c r="N50" s="14">
        <v>46344</v>
      </c>
      <c r="O50" s="14">
        <v>46388</v>
      </c>
      <c r="P50" s="12" t="s">
        <v>120</v>
      </c>
    </row>
    <row r="51" spans="1:16">
      <c r="A51" s="15">
        <v>46305</v>
      </c>
      <c r="B51" s="13" t="s">
        <v>47</v>
      </c>
      <c r="C51" s="13" t="s">
        <v>10</v>
      </c>
      <c r="D51" s="15">
        <v>46310</v>
      </c>
      <c r="E51" s="15">
        <v>46312</v>
      </c>
      <c r="F51" s="15">
        <v>46315</v>
      </c>
      <c r="G51" s="15">
        <v>46319</v>
      </c>
      <c r="H51" s="15">
        <v>46323</v>
      </c>
      <c r="I51" s="15">
        <v>46327</v>
      </c>
      <c r="J51" s="15">
        <v>46330</v>
      </c>
      <c r="K51" s="15">
        <v>46305</v>
      </c>
      <c r="L51" s="15">
        <v>46307</v>
      </c>
      <c r="M51" s="15">
        <v>46306</v>
      </c>
      <c r="N51" s="15">
        <v>46344</v>
      </c>
      <c r="O51" s="15">
        <v>46388</v>
      </c>
      <c r="P51" s="13" t="s">
        <v>120</v>
      </c>
    </row>
    <row r="52" spans="1:16">
      <c r="A52" s="14">
        <v>46306</v>
      </c>
      <c r="B52" s="12" t="s">
        <v>48</v>
      </c>
      <c r="C52" s="12" t="s">
        <v>10</v>
      </c>
      <c r="D52" s="14">
        <v>46310</v>
      </c>
      <c r="E52" s="14">
        <v>46312</v>
      </c>
      <c r="F52" s="14">
        <v>46315</v>
      </c>
      <c r="G52" s="14">
        <v>46319</v>
      </c>
      <c r="H52" s="14">
        <v>46323</v>
      </c>
      <c r="I52" s="14">
        <v>46327</v>
      </c>
      <c r="J52" s="14">
        <v>46330</v>
      </c>
      <c r="K52" s="14">
        <v>46333</v>
      </c>
      <c r="L52" s="14">
        <v>46307</v>
      </c>
      <c r="M52" s="14">
        <v>46306</v>
      </c>
      <c r="N52" s="14">
        <v>46344</v>
      </c>
      <c r="O52" s="14">
        <v>46388</v>
      </c>
      <c r="P52" s="12" t="s">
        <v>120</v>
      </c>
    </row>
    <row r="53" spans="1:16">
      <c r="A53" s="15">
        <v>46307</v>
      </c>
      <c r="B53" s="13" t="s">
        <v>40</v>
      </c>
      <c r="C53" s="13" t="s">
        <v>10</v>
      </c>
      <c r="D53" s="15">
        <v>46310</v>
      </c>
      <c r="E53" s="15">
        <v>46312</v>
      </c>
      <c r="F53" s="15">
        <v>46315</v>
      </c>
      <c r="G53" s="15">
        <v>46319</v>
      </c>
      <c r="H53" s="15">
        <v>46323</v>
      </c>
      <c r="I53" s="15">
        <v>46327</v>
      </c>
      <c r="J53" s="15">
        <v>46330</v>
      </c>
      <c r="K53" s="15">
        <v>46333</v>
      </c>
      <c r="L53" s="15">
        <v>46307</v>
      </c>
      <c r="M53" s="15">
        <v>46362</v>
      </c>
      <c r="N53" s="15">
        <v>46344</v>
      </c>
      <c r="O53" s="15">
        <v>46388</v>
      </c>
      <c r="P53" s="13" t="s">
        <v>120</v>
      </c>
    </row>
    <row r="54" spans="1:16">
      <c r="A54" s="14">
        <v>46308</v>
      </c>
      <c r="B54" s="12" t="s">
        <v>43</v>
      </c>
      <c r="C54" s="12" t="s">
        <v>10</v>
      </c>
      <c r="D54" s="14">
        <v>46310</v>
      </c>
      <c r="E54" s="14">
        <v>46312</v>
      </c>
      <c r="F54" s="14">
        <v>46315</v>
      </c>
      <c r="G54" s="14">
        <v>46319</v>
      </c>
      <c r="H54" s="14">
        <v>46323</v>
      </c>
      <c r="I54" s="14">
        <v>46327</v>
      </c>
      <c r="J54" s="14">
        <v>46330</v>
      </c>
      <c r="K54" s="14">
        <v>46333</v>
      </c>
      <c r="L54" s="14">
        <v>46335</v>
      </c>
      <c r="M54" s="14">
        <v>46362</v>
      </c>
      <c r="N54" s="14">
        <v>46344</v>
      </c>
      <c r="O54" s="14">
        <v>46388</v>
      </c>
      <c r="P54" s="12" t="s">
        <v>120</v>
      </c>
    </row>
    <row r="55" spans="1:16">
      <c r="A55" s="15">
        <v>46309</v>
      </c>
      <c r="B55" s="13" t="s">
        <v>44</v>
      </c>
      <c r="C55" s="13" t="s">
        <v>10</v>
      </c>
      <c r="D55" s="15">
        <v>46310</v>
      </c>
      <c r="E55" s="15">
        <v>46312</v>
      </c>
      <c r="F55" s="15">
        <v>46315</v>
      </c>
      <c r="G55" s="15">
        <v>46319</v>
      </c>
      <c r="H55" s="15">
        <v>46323</v>
      </c>
      <c r="I55" s="15">
        <v>46327</v>
      </c>
      <c r="J55" s="15">
        <v>46330</v>
      </c>
      <c r="K55" s="15">
        <v>46333</v>
      </c>
      <c r="L55" s="15">
        <v>46335</v>
      </c>
      <c r="M55" s="15">
        <v>46362</v>
      </c>
      <c r="N55" s="15">
        <v>46344</v>
      </c>
      <c r="O55" s="15">
        <v>46388</v>
      </c>
      <c r="P55" s="13" t="s">
        <v>120</v>
      </c>
    </row>
    <row r="56" spans="1:16">
      <c r="A56" s="14">
        <v>46310</v>
      </c>
      <c r="B56" s="12" t="s">
        <v>45</v>
      </c>
      <c r="C56" s="12" t="s">
        <v>10</v>
      </c>
      <c r="D56" s="14">
        <v>46310</v>
      </c>
      <c r="E56" s="14">
        <v>46312</v>
      </c>
      <c r="F56" s="14">
        <v>46315</v>
      </c>
      <c r="G56" s="14">
        <v>46319</v>
      </c>
      <c r="H56" s="14">
        <v>46323</v>
      </c>
      <c r="I56" s="14">
        <v>46327</v>
      </c>
      <c r="J56" s="14">
        <v>46330</v>
      </c>
      <c r="K56" s="14">
        <v>46333</v>
      </c>
      <c r="L56" s="14">
        <v>46335</v>
      </c>
      <c r="M56" s="14">
        <v>46362</v>
      </c>
      <c r="N56" s="14">
        <v>46344</v>
      </c>
      <c r="O56" s="14">
        <v>46388</v>
      </c>
      <c r="P56" s="12" t="s">
        <v>120</v>
      </c>
    </row>
    <row r="57" spans="1:16">
      <c r="A57" s="15">
        <v>46311</v>
      </c>
      <c r="B57" s="13" t="s">
        <v>46</v>
      </c>
      <c r="C57" s="13" t="s">
        <v>10</v>
      </c>
      <c r="D57" s="15">
        <v>46338</v>
      </c>
      <c r="E57" s="15">
        <v>46312</v>
      </c>
      <c r="F57" s="15">
        <v>46315</v>
      </c>
      <c r="G57" s="15">
        <v>46319</v>
      </c>
      <c r="H57" s="15">
        <v>46323</v>
      </c>
      <c r="I57" s="15">
        <v>46327</v>
      </c>
      <c r="J57" s="15">
        <v>46330</v>
      </c>
      <c r="K57" s="15">
        <v>46333</v>
      </c>
      <c r="L57" s="15">
        <v>46335</v>
      </c>
      <c r="M57" s="15">
        <v>46362</v>
      </c>
      <c r="N57" s="15">
        <v>46344</v>
      </c>
      <c r="O57" s="15">
        <v>46388</v>
      </c>
      <c r="P57" s="13" t="s">
        <v>120</v>
      </c>
    </row>
    <row r="58" spans="1:16">
      <c r="A58" s="14">
        <v>46312</v>
      </c>
      <c r="B58" s="12" t="s">
        <v>47</v>
      </c>
      <c r="C58" s="12" t="s">
        <v>10</v>
      </c>
      <c r="D58" s="14">
        <v>46338</v>
      </c>
      <c r="E58" s="14">
        <v>46312</v>
      </c>
      <c r="F58" s="14">
        <v>46315</v>
      </c>
      <c r="G58" s="14">
        <v>46319</v>
      </c>
      <c r="H58" s="14">
        <v>46323</v>
      </c>
      <c r="I58" s="14">
        <v>46327</v>
      </c>
      <c r="J58" s="14">
        <v>46330</v>
      </c>
      <c r="K58" s="14">
        <v>46333</v>
      </c>
      <c r="L58" s="14">
        <v>46335</v>
      </c>
      <c r="M58" s="14">
        <v>46362</v>
      </c>
      <c r="N58" s="14">
        <v>46344</v>
      </c>
      <c r="O58" s="14">
        <v>46388</v>
      </c>
      <c r="P58" s="12" t="s">
        <v>120</v>
      </c>
    </row>
    <row r="59" spans="1:16">
      <c r="A59" s="15">
        <v>46313</v>
      </c>
      <c r="B59" s="13" t="s">
        <v>48</v>
      </c>
      <c r="C59" s="13" t="s">
        <v>10</v>
      </c>
      <c r="D59" s="15">
        <v>46338</v>
      </c>
      <c r="E59" s="15">
        <v>46340</v>
      </c>
      <c r="F59" s="15">
        <v>46315</v>
      </c>
      <c r="G59" s="15">
        <v>46319</v>
      </c>
      <c r="H59" s="15">
        <v>46323</v>
      </c>
      <c r="I59" s="15">
        <v>46327</v>
      </c>
      <c r="J59" s="15">
        <v>46330</v>
      </c>
      <c r="K59" s="15">
        <v>46333</v>
      </c>
      <c r="L59" s="15">
        <v>46335</v>
      </c>
      <c r="M59" s="15">
        <v>46362</v>
      </c>
      <c r="N59" s="15">
        <v>46344</v>
      </c>
      <c r="O59" s="15">
        <v>46388</v>
      </c>
      <c r="P59" s="13" t="s">
        <v>120</v>
      </c>
    </row>
    <row r="60" spans="1:16">
      <c r="A60" s="14">
        <v>46314</v>
      </c>
      <c r="B60" s="12" t="s">
        <v>40</v>
      </c>
      <c r="C60" s="12" t="s">
        <v>10</v>
      </c>
      <c r="D60" s="14">
        <v>46338</v>
      </c>
      <c r="E60" s="14">
        <v>46340</v>
      </c>
      <c r="F60" s="14">
        <v>46315</v>
      </c>
      <c r="G60" s="14">
        <v>46319</v>
      </c>
      <c r="H60" s="14">
        <v>46323</v>
      </c>
      <c r="I60" s="14">
        <v>46327</v>
      </c>
      <c r="J60" s="14">
        <v>46330</v>
      </c>
      <c r="K60" s="14">
        <v>46333</v>
      </c>
      <c r="L60" s="14">
        <v>46335</v>
      </c>
      <c r="M60" s="14">
        <v>46362</v>
      </c>
      <c r="N60" s="14">
        <v>46344</v>
      </c>
      <c r="O60" s="14">
        <v>46388</v>
      </c>
      <c r="P60" s="12" t="s">
        <v>120</v>
      </c>
    </row>
    <row r="61" spans="1:16">
      <c r="A61" s="15">
        <v>46315</v>
      </c>
      <c r="B61" s="13" t="s">
        <v>43</v>
      </c>
      <c r="C61" s="13" t="s">
        <v>10</v>
      </c>
      <c r="D61" s="15">
        <v>46338</v>
      </c>
      <c r="E61" s="15">
        <v>46340</v>
      </c>
      <c r="F61" s="15">
        <v>46315</v>
      </c>
      <c r="G61" s="15">
        <v>46319</v>
      </c>
      <c r="H61" s="15">
        <v>46323</v>
      </c>
      <c r="I61" s="15">
        <v>46327</v>
      </c>
      <c r="J61" s="15">
        <v>46330</v>
      </c>
      <c r="K61" s="15">
        <v>46333</v>
      </c>
      <c r="L61" s="15">
        <v>46335</v>
      </c>
      <c r="M61" s="15">
        <v>46362</v>
      </c>
      <c r="N61" s="15">
        <v>46344</v>
      </c>
      <c r="O61" s="15">
        <v>46388</v>
      </c>
      <c r="P61" s="13" t="s">
        <v>120</v>
      </c>
    </row>
    <row r="62" spans="1:16">
      <c r="A62" s="14">
        <v>46316</v>
      </c>
      <c r="B62" s="12" t="s">
        <v>44</v>
      </c>
      <c r="C62" s="12" t="s">
        <v>10</v>
      </c>
      <c r="D62" s="14">
        <v>46338</v>
      </c>
      <c r="E62" s="14">
        <v>46340</v>
      </c>
      <c r="F62" s="14">
        <v>46343</v>
      </c>
      <c r="G62" s="14">
        <v>46319</v>
      </c>
      <c r="H62" s="14">
        <v>46323</v>
      </c>
      <c r="I62" s="14">
        <v>46327</v>
      </c>
      <c r="J62" s="14">
        <v>46330</v>
      </c>
      <c r="K62" s="14">
        <v>46333</v>
      </c>
      <c r="L62" s="14">
        <v>46335</v>
      </c>
      <c r="M62" s="14">
        <v>46362</v>
      </c>
      <c r="N62" s="14">
        <v>46344</v>
      </c>
      <c r="O62" s="14">
        <v>46388</v>
      </c>
      <c r="P62" s="12" t="s">
        <v>120</v>
      </c>
    </row>
    <row r="63" spans="1:16">
      <c r="A63" s="15">
        <v>46317</v>
      </c>
      <c r="B63" s="13" t="s">
        <v>45</v>
      </c>
      <c r="C63" s="13" t="s">
        <v>10</v>
      </c>
      <c r="D63" s="15">
        <v>46338</v>
      </c>
      <c r="E63" s="15">
        <v>46340</v>
      </c>
      <c r="F63" s="15">
        <v>46343</v>
      </c>
      <c r="G63" s="15">
        <v>46319</v>
      </c>
      <c r="H63" s="15">
        <v>46323</v>
      </c>
      <c r="I63" s="15">
        <v>46327</v>
      </c>
      <c r="J63" s="15">
        <v>46330</v>
      </c>
      <c r="K63" s="15">
        <v>46333</v>
      </c>
      <c r="L63" s="15">
        <v>46335</v>
      </c>
      <c r="M63" s="15">
        <v>46362</v>
      </c>
      <c r="N63" s="15">
        <v>46344</v>
      </c>
      <c r="O63" s="15">
        <v>46388</v>
      </c>
      <c r="P63" s="13" t="s">
        <v>120</v>
      </c>
    </row>
    <row r="64" spans="1:16">
      <c r="A64" s="14">
        <v>46318</v>
      </c>
      <c r="B64" s="12" t="s">
        <v>46</v>
      </c>
      <c r="C64" s="12" t="s">
        <v>10</v>
      </c>
      <c r="D64" s="14">
        <v>46338</v>
      </c>
      <c r="E64" s="14">
        <v>46340</v>
      </c>
      <c r="F64" s="14">
        <v>46343</v>
      </c>
      <c r="G64" s="14">
        <v>46319</v>
      </c>
      <c r="H64" s="14">
        <v>46323</v>
      </c>
      <c r="I64" s="14">
        <v>46327</v>
      </c>
      <c r="J64" s="14">
        <v>46330</v>
      </c>
      <c r="K64" s="14">
        <v>46333</v>
      </c>
      <c r="L64" s="14">
        <v>46335</v>
      </c>
      <c r="M64" s="14">
        <v>46362</v>
      </c>
      <c r="N64" s="14">
        <v>46344</v>
      </c>
      <c r="O64" s="14">
        <v>46388</v>
      </c>
      <c r="P64" s="12" t="s">
        <v>120</v>
      </c>
    </row>
    <row r="65" spans="1:16">
      <c r="A65" s="15">
        <v>46319</v>
      </c>
      <c r="B65" s="13" t="s">
        <v>47</v>
      </c>
      <c r="C65" s="13" t="s">
        <v>10</v>
      </c>
      <c r="D65" s="15">
        <v>46338</v>
      </c>
      <c r="E65" s="15">
        <v>46340</v>
      </c>
      <c r="F65" s="15">
        <v>46343</v>
      </c>
      <c r="G65" s="15">
        <v>46319</v>
      </c>
      <c r="H65" s="15">
        <v>46323</v>
      </c>
      <c r="I65" s="15">
        <v>46327</v>
      </c>
      <c r="J65" s="15">
        <v>46330</v>
      </c>
      <c r="K65" s="15">
        <v>46333</v>
      </c>
      <c r="L65" s="15">
        <v>46335</v>
      </c>
      <c r="M65" s="15">
        <v>46362</v>
      </c>
      <c r="N65" s="15">
        <v>46344</v>
      </c>
      <c r="O65" s="15">
        <v>46388</v>
      </c>
      <c r="P65" s="13" t="s">
        <v>120</v>
      </c>
    </row>
    <row r="66" spans="1:16">
      <c r="A66" s="14">
        <v>46320</v>
      </c>
      <c r="B66" s="12" t="s">
        <v>48</v>
      </c>
      <c r="C66" s="12" t="s">
        <v>10</v>
      </c>
      <c r="D66" s="14">
        <v>46338</v>
      </c>
      <c r="E66" s="14">
        <v>46340</v>
      </c>
      <c r="F66" s="14">
        <v>46343</v>
      </c>
      <c r="G66" s="14">
        <v>46347</v>
      </c>
      <c r="H66" s="14">
        <v>46323</v>
      </c>
      <c r="I66" s="14">
        <v>46327</v>
      </c>
      <c r="J66" s="14">
        <v>46330</v>
      </c>
      <c r="K66" s="14">
        <v>46333</v>
      </c>
      <c r="L66" s="14">
        <v>46335</v>
      </c>
      <c r="M66" s="14">
        <v>46362</v>
      </c>
      <c r="N66" s="14">
        <v>46344</v>
      </c>
      <c r="O66" s="14">
        <v>46388</v>
      </c>
      <c r="P66" s="12" t="s">
        <v>120</v>
      </c>
    </row>
    <row r="67" spans="1:16">
      <c r="A67" s="15">
        <v>46321</v>
      </c>
      <c r="B67" s="13" t="s">
        <v>40</v>
      </c>
      <c r="C67" s="13" t="s">
        <v>10</v>
      </c>
      <c r="D67" s="15">
        <v>46338</v>
      </c>
      <c r="E67" s="15">
        <v>46340</v>
      </c>
      <c r="F67" s="15">
        <v>46343</v>
      </c>
      <c r="G67" s="15">
        <v>46347</v>
      </c>
      <c r="H67" s="15">
        <v>46323</v>
      </c>
      <c r="I67" s="15">
        <v>46327</v>
      </c>
      <c r="J67" s="15">
        <v>46330</v>
      </c>
      <c r="K67" s="15">
        <v>46333</v>
      </c>
      <c r="L67" s="15">
        <v>46335</v>
      </c>
      <c r="M67" s="15">
        <v>46362</v>
      </c>
      <c r="N67" s="15">
        <v>46344</v>
      </c>
      <c r="O67" s="15">
        <v>46388</v>
      </c>
      <c r="P67" s="13" t="s">
        <v>120</v>
      </c>
    </row>
    <row r="68" spans="1:16">
      <c r="A68" s="14">
        <v>46322</v>
      </c>
      <c r="B68" s="12" t="s">
        <v>43</v>
      </c>
      <c r="C68" s="12" t="s">
        <v>10</v>
      </c>
      <c r="D68" s="14">
        <v>46338</v>
      </c>
      <c r="E68" s="14">
        <v>46340</v>
      </c>
      <c r="F68" s="14">
        <v>46343</v>
      </c>
      <c r="G68" s="14">
        <v>46347</v>
      </c>
      <c r="H68" s="14">
        <v>46323</v>
      </c>
      <c r="I68" s="14">
        <v>46327</v>
      </c>
      <c r="J68" s="14">
        <v>46330</v>
      </c>
      <c r="K68" s="14">
        <v>46333</v>
      </c>
      <c r="L68" s="14">
        <v>46335</v>
      </c>
      <c r="M68" s="14">
        <v>46362</v>
      </c>
      <c r="N68" s="14">
        <v>46344</v>
      </c>
      <c r="O68" s="14">
        <v>46388</v>
      </c>
      <c r="P68" s="12" t="s">
        <v>120</v>
      </c>
    </row>
    <row r="69" spans="1:16">
      <c r="A69" s="15">
        <v>46323</v>
      </c>
      <c r="B69" s="13" t="s">
        <v>44</v>
      </c>
      <c r="C69" s="13" t="s">
        <v>10</v>
      </c>
      <c r="D69" s="15">
        <v>46338</v>
      </c>
      <c r="E69" s="15">
        <v>46340</v>
      </c>
      <c r="F69" s="15">
        <v>46343</v>
      </c>
      <c r="G69" s="15">
        <v>46347</v>
      </c>
      <c r="H69" s="15">
        <v>46323</v>
      </c>
      <c r="I69" s="15">
        <v>46327</v>
      </c>
      <c r="J69" s="15">
        <v>46330</v>
      </c>
      <c r="K69" s="15">
        <v>46333</v>
      </c>
      <c r="L69" s="15">
        <v>46335</v>
      </c>
      <c r="M69" s="15">
        <v>46362</v>
      </c>
      <c r="N69" s="15">
        <v>46344</v>
      </c>
      <c r="O69" s="15">
        <v>46388</v>
      </c>
      <c r="P69" s="13" t="s">
        <v>120</v>
      </c>
    </row>
    <row r="70" spans="1:16">
      <c r="A70" s="14">
        <v>46324</v>
      </c>
      <c r="B70" s="12" t="s">
        <v>45</v>
      </c>
      <c r="C70" s="12" t="s">
        <v>10</v>
      </c>
      <c r="D70" s="14">
        <v>46338</v>
      </c>
      <c r="E70" s="14">
        <v>46340</v>
      </c>
      <c r="F70" s="14">
        <v>46343</v>
      </c>
      <c r="G70" s="14">
        <v>46347</v>
      </c>
      <c r="H70" s="14">
        <v>46351</v>
      </c>
      <c r="I70" s="14">
        <v>46327</v>
      </c>
      <c r="J70" s="14">
        <v>46330</v>
      </c>
      <c r="K70" s="14">
        <v>46333</v>
      </c>
      <c r="L70" s="14">
        <v>46335</v>
      </c>
      <c r="M70" s="14">
        <v>46362</v>
      </c>
      <c r="N70" s="14">
        <v>46344</v>
      </c>
      <c r="O70" s="14">
        <v>46388</v>
      </c>
      <c r="P70" s="12" t="s">
        <v>120</v>
      </c>
    </row>
    <row r="71" spans="1:16">
      <c r="A71" s="15">
        <v>46325</v>
      </c>
      <c r="B71" s="13" t="s">
        <v>46</v>
      </c>
      <c r="C71" s="13" t="s">
        <v>10</v>
      </c>
      <c r="D71" s="15">
        <v>46338</v>
      </c>
      <c r="E71" s="15">
        <v>46340</v>
      </c>
      <c r="F71" s="15">
        <v>46343</v>
      </c>
      <c r="G71" s="15">
        <v>46347</v>
      </c>
      <c r="H71" s="15">
        <v>46351</v>
      </c>
      <c r="I71" s="15">
        <v>46327</v>
      </c>
      <c r="J71" s="15">
        <v>46330</v>
      </c>
      <c r="K71" s="15">
        <v>46333</v>
      </c>
      <c r="L71" s="15">
        <v>46335</v>
      </c>
      <c r="M71" s="15">
        <v>46362</v>
      </c>
      <c r="N71" s="15">
        <v>46344</v>
      </c>
      <c r="O71" s="15">
        <v>46388</v>
      </c>
      <c r="P71" s="13" t="s">
        <v>120</v>
      </c>
    </row>
    <row r="72" spans="1:16">
      <c r="A72" s="14">
        <v>46326</v>
      </c>
      <c r="B72" s="12" t="s">
        <v>47</v>
      </c>
      <c r="C72" s="12" t="s">
        <v>10</v>
      </c>
      <c r="D72" s="14">
        <v>46338</v>
      </c>
      <c r="E72" s="14">
        <v>46340</v>
      </c>
      <c r="F72" s="14">
        <v>46343</v>
      </c>
      <c r="G72" s="14">
        <v>46347</v>
      </c>
      <c r="H72" s="14">
        <v>46351</v>
      </c>
      <c r="I72" s="14">
        <v>46327</v>
      </c>
      <c r="J72" s="14">
        <v>46330</v>
      </c>
      <c r="K72" s="14">
        <v>46333</v>
      </c>
      <c r="L72" s="14">
        <v>46335</v>
      </c>
      <c r="M72" s="14">
        <v>46362</v>
      </c>
      <c r="N72" s="14">
        <v>46344</v>
      </c>
      <c r="O72" s="14">
        <v>46388</v>
      </c>
      <c r="P72" s="12" t="s">
        <v>120</v>
      </c>
    </row>
    <row r="73" spans="1:16">
      <c r="A73" s="15">
        <v>46327</v>
      </c>
      <c r="B73" s="13" t="s">
        <v>48</v>
      </c>
      <c r="C73" s="13" t="s">
        <v>10</v>
      </c>
      <c r="D73" s="15">
        <v>46338</v>
      </c>
      <c r="E73" s="15">
        <v>46340</v>
      </c>
      <c r="F73" s="15">
        <v>46343</v>
      </c>
      <c r="G73" s="15">
        <v>46347</v>
      </c>
      <c r="H73" s="15">
        <v>46351</v>
      </c>
      <c r="I73" s="15">
        <v>46327</v>
      </c>
      <c r="J73" s="15">
        <v>46330</v>
      </c>
      <c r="K73" s="15">
        <v>46333</v>
      </c>
      <c r="L73" s="15">
        <v>46335</v>
      </c>
      <c r="M73" s="15">
        <v>46362</v>
      </c>
      <c r="N73" s="15">
        <v>46344</v>
      </c>
      <c r="O73" s="15">
        <v>46388</v>
      </c>
      <c r="P73" s="13" t="s">
        <v>120</v>
      </c>
    </row>
    <row r="74" spans="1:16">
      <c r="A74" s="14">
        <v>46328</v>
      </c>
      <c r="B74" s="12" t="s">
        <v>40</v>
      </c>
      <c r="C74" s="12" t="s">
        <v>10</v>
      </c>
      <c r="D74" s="14">
        <v>46338</v>
      </c>
      <c r="E74" s="14">
        <v>46340</v>
      </c>
      <c r="F74" s="14">
        <v>46343</v>
      </c>
      <c r="G74" s="14">
        <v>46347</v>
      </c>
      <c r="H74" s="14">
        <v>46351</v>
      </c>
      <c r="I74" s="14">
        <v>46355</v>
      </c>
      <c r="J74" s="14">
        <v>46330</v>
      </c>
      <c r="K74" s="14">
        <v>46333</v>
      </c>
      <c r="L74" s="14">
        <v>46335</v>
      </c>
      <c r="M74" s="14">
        <v>46362</v>
      </c>
      <c r="N74" s="14">
        <v>46344</v>
      </c>
      <c r="O74" s="14">
        <v>46388</v>
      </c>
      <c r="P74" s="12" t="s">
        <v>120</v>
      </c>
    </row>
    <row r="75" spans="1:16">
      <c r="A75" s="15">
        <v>46329</v>
      </c>
      <c r="B75" s="13" t="s">
        <v>43</v>
      </c>
      <c r="C75" s="13" t="s">
        <v>10</v>
      </c>
      <c r="D75" s="15">
        <v>46338</v>
      </c>
      <c r="E75" s="15">
        <v>46340</v>
      </c>
      <c r="F75" s="15">
        <v>46343</v>
      </c>
      <c r="G75" s="15">
        <v>46347</v>
      </c>
      <c r="H75" s="15">
        <v>46351</v>
      </c>
      <c r="I75" s="15">
        <v>46355</v>
      </c>
      <c r="J75" s="15">
        <v>46330</v>
      </c>
      <c r="K75" s="15">
        <v>46333</v>
      </c>
      <c r="L75" s="15">
        <v>46335</v>
      </c>
      <c r="M75" s="15">
        <v>46362</v>
      </c>
      <c r="N75" s="15">
        <v>46344</v>
      </c>
      <c r="O75" s="15">
        <v>46388</v>
      </c>
      <c r="P75" s="13" t="s">
        <v>120</v>
      </c>
    </row>
    <row r="76" spans="1:16">
      <c r="A76" s="14">
        <v>46330</v>
      </c>
      <c r="B76" s="12" t="s">
        <v>44</v>
      </c>
      <c r="C76" s="12" t="s">
        <v>10</v>
      </c>
      <c r="D76" s="14">
        <v>46338</v>
      </c>
      <c r="E76" s="14">
        <v>46340</v>
      </c>
      <c r="F76" s="14">
        <v>46343</v>
      </c>
      <c r="G76" s="14">
        <v>46347</v>
      </c>
      <c r="H76" s="14">
        <v>46351</v>
      </c>
      <c r="I76" s="14">
        <v>46355</v>
      </c>
      <c r="J76" s="14">
        <v>46330</v>
      </c>
      <c r="K76" s="14">
        <v>46333</v>
      </c>
      <c r="L76" s="14">
        <v>46335</v>
      </c>
      <c r="M76" s="14">
        <v>46362</v>
      </c>
      <c r="N76" s="14">
        <v>46344</v>
      </c>
      <c r="O76" s="14">
        <v>46388</v>
      </c>
      <c r="P76" s="12" t="s">
        <v>120</v>
      </c>
    </row>
    <row r="77" spans="1:16">
      <c r="A77" s="15">
        <v>46331</v>
      </c>
      <c r="B77" s="13" t="s">
        <v>45</v>
      </c>
      <c r="C77" s="13" t="s">
        <v>10</v>
      </c>
      <c r="D77" s="15">
        <v>46338</v>
      </c>
      <c r="E77" s="15">
        <v>46340</v>
      </c>
      <c r="F77" s="15">
        <v>46343</v>
      </c>
      <c r="G77" s="15">
        <v>46347</v>
      </c>
      <c r="H77" s="15">
        <v>46351</v>
      </c>
      <c r="I77" s="15">
        <v>46355</v>
      </c>
      <c r="J77" s="15">
        <v>46358</v>
      </c>
      <c r="K77" s="15">
        <v>46333</v>
      </c>
      <c r="L77" s="15">
        <v>46335</v>
      </c>
      <c r="M77" s="15">
        <v>46362</v>
      </c>
      <c r="N77" s="15">
        <v>46344</v>
      </c>
      <c r="O77" s="15">
        <v>46388</v>
      </c>
      <c r="P77" s="13" t="s">
        <v>120</v>
      </c>
    </row>
    <row r="78" spans="1:16">
      <c r="A78" s="14">
        <v>46332</v>
      </c>
      <c r="B78" s="12" t="s">
        <v>46</v>
      </c>
      <c r="C78" s="12" t="s">
        <v>10</v>
      </c>
      <c r="D78" s="14">
        <v>46338</v>
      </c>
      <c r="E78" s="14">
        <v>46340</v>
      </c>
      <c r="F78" s="14">
        <v>46343</v>
      </c>
      <c r="G78" s="14">
        <v>46347</v>
      </c>
      <c r="H78" s="14">
        <v>46351</v>
      </c>
      <c r="I78" s="14">
        <v>46355</v>
      </c>
      <c r="J78" s="14">
        <v>46358</v>
      </c>
      <c r="K78" s="14">
        <v>46333</v>
      </c>
      <c r="L78" s="14">
        <v>46335</v>
      </c>
      <c r="M78" s="14">
        <v>46362</v>
      </c>
      <c r="N78" s="14">
        <v>46344</v>
      </c>
      <c r="O78" s="14">
        <v>46388</v>
      </c>
      <c r="P78" s="12" t="s">
        <v>120</v>
      </c>
    </row>
    <row r="79" spans="1:16">
      <c r="A79" s="15">
        <v>46333</v>
      </c>
      <c r="B79" s="13" t="s">
        <v>47</v>
      </c>
      <c r="C79" s="13" t="s">
        <v>10</v>
      </c>
      <c r="D79" s="15">
        <v>46338</v>
      </c>
      <c r="E79" s="15">
        <v>46340</v>
      </c>
      <c r="F79" s="15">
        <v>46343</v>
      </c>
      <c r="G79" s="15">
        <v>46347</v>
      </c>
      <c r="H79" s="15">
        <v>46351</v>
      </c>
      <c r="I79" s="15">
        <v>46355</v>
      </c>
      <c r="J79" s="15">
        <v>46358</v>
      </c>
      <c r="K79" s="15">
        <v>46333</v>
      </c>
      <c r="L79" s="15">
        <v>46335</v>
      </c>
      <c r="M79" s="15">
        <v>46362</v>
      </c>
      <c r="N79" s="15">
        <v>46344</v>
      </c>
      <c r="O79" s="15">
        <v>46388</v>
      </c>
      <c r="P79" s="13" t="s">
        <v>120</v>
      </c>
    </row>
    <row r="80" spans="1:16">
      <c r="A80" s="14">
        <v>46334</v>
      </c>
      <c r="B80" s="12" t="s">
        <v>48</v>
      </c>
      <c r="C80" s="12" t="s">
        <v>10</v>
      </c>
      <c r="D80" s="14">
        <v>46338</v>
      </c>
      <c r="E80" s="14">
        <v>46340</v>
      </c>
      <c r="F80" s="14">
        <v>46343</v>
      </c>
      <c r="G80" s="14">
        <v>46347</v>
      </c>
      <c r="H80" s="14">
        <v>46351</v>
      </c>
      <c r="I80" s="14">
        <v>46355</v>
      </c>
      <c r="J80" s="14">
        <v>46358</v>
      </c>
      <c r="K80" s="14">
        <v>46361</v>
      </c>
      <c r="L80" s="14">
        <v>46335</v>
      </c>
      <c r="M80" s="14">
        <v>46362</v>
      </c>
      <c r="N80" s="14">
        <v>46344</v>
      </c>
      <c r="O80" s="14">
        <v>46388</v>
      </c>
      <c r="P80" s="12" t="s">
        <v>120</v>
      </c>
    </row>
    <row r="81" spans="1:16">
      <c r="A81" s="15">
        <v>46335</v>
      </c>
      <c r="B81" s="13" t="s">
        <v>40</v>
      </c>
      <c r="C81" s="13" t="s">
        <v>10</v>
      </c>
      <c r="D81" s="15">
        <v>46338</v>
      </c>
      <c r="E81" s="15">
        <v>46340</v>
      </c>
      <c r="F81" s="15">
        <v>46343</v>
      </c>
      <c r="G81" s="15">
        <v>46347</v>
      </c>
      <c r="H81" s="15">
        <v>46351</v>
      </c>
      <c r="I81" s="15">
        <v>46355</v>
      </c>
      <c r="J81" s="15">
        <v>46358</v>
      </c>
      <c r="K81" s="15">
        <v>46361</v>
      </c>
      <c r="L81" s="15">
        <v>46335</v>
      </c>
      <c r="M81" s="15">
        <v>46362</v>
      </c>
      <c r="N81" s="15">
        <v>46344</v>
      </c>
      <c r="O81" s="15">
        <v>46388</v>
      </c>
      <c r="P81" s="13" t="s">
        <v>120</v>
      </c>
    </row>
    <row r="82" spans="1:16">
      <c r="A82" s="14">
        <v>46336</v>
      </c>
      <c r="B82" s="12" t="s">
        <v>43</v>
      </c>
      <c r="C82" s="12" t="s">
        <v>10</v>
      </c>
      <c r="D82" s="14">
        <v>46338</v>
      </c>
      <c r="E82" s="14">
        <v>46340</v>
      </c>
      <c r="F82" s="14">
        <v>46343</v>
      </c>
      <c r="G82" s="14">
        <v>46347</v>
      </c>
      <c r="H82" s="14">
        <v>46351</v>
      </c>
      <c r="I82" s="14">
        <v>46355</v>
      </c>
      <c r="J82" s="14">
        <v>46358</v>
      </c>
      <c r="K82" s="14">
        <v>46361</v>
      </c>
      <c r="L82" s="14">
        <v>46363</v>
      </c>
      <c r="M82" s="14">
        <v>46362</v>
      </c>
      <c r="N82" s="14">
        <v>46344</v>
      </c>
      <c r="O82" s="14">
        <v>46388</v>
      </c>
      <c r="P82" s="12" t="s">
        <v>120</v>
      </c>
    </row>
    <row r="83" spans="1:16">
      <c r="A83" s="15">
        <v>46337</v>
      </c>
      <c r="B83" s="13" t="s">
        <v>44</v>
      </c>
      <c r="C83" s="13" t="s">
        <v>10</v>
      </c>
      <c r="D83" s="15">
        <v>46338</v>
      </c>
      <c r="E83" s="15">
        <v>46340</v>
      </c>
      <c r="F83" s="15">
        <v>46343</v>
      </c>
      <c r="G83" s="15">
        <v>46347</v>
      </c>
      <c r="H83" s="15">
        <v>46351</v>
      </c>
      <c r="I83" s="15">
        <v>46355</v>
      </c>
      <c r="J83" s="15">
        <v>46358</v>
      </c>
      <c r="K83" s="15">
        <v>46361</v>
      </c>
      <c r="L83" s="15">
        <v>46363</v>
      </c>
      <c r="M83" s="15">
        <v>46362</v>
      </c>
      <c r="N83" s="15">
        <v>46344</v>
      </c>
      <c r="O83" s="15">
        <v>46388</v>
      </c>
      <c r="P83" s="13" t="s">
        <v>120</v>
      </c>
    </row>
    <row r="84" spans="1:16">
      <c r="A84" s="14">
        <v>46338</v>
      </c>
      <c r="B84" s="12" t="s">
        <v>45</v>
      </c>
      <c r="C84" s="12" t="s">
        <v>10</v>
      </c>
      <c r="D84" s="14">
        <v>46338</v>
      </c>
      <c r="E84" s="14">
        <v>46340</v>
      </c>
      <c r="F84" s="14">
        <v>46343</v>
      </c>
      <c r="G84" s="14">
        <v>46347</v>
      </c>
      <c r="H84" s="14">
        <v>46351</v>
      </c>
      <c r="I84" s="14">
        <v>46355</v>
      </c>
      <c r="J84" s="14">
        <v>46358</v>
      </c>
      <c r="K84" s="14">
        <v>46361</v>
      </c>
      <c r="L84" s="14">
        <v>46363</v>
      </c>
      <c r="M84" s="14">
        <v>46362</v>
      </c>
      <c r="N84" s="14">
        <v>46344</v>
      </c>
      <c r="O84" s="14">
        <v>46388</v>
      </c>
      <c r="P84" s="12" t="s">
        <v>120</v>
      </c>
    </row>
    <row r="85" spans="1:16">
      <c r="A85" s="15">
        <v>46339</v>
      </c>
      <c r="B85" s="13" t="s">
        <v>46</v>
      </c>
      <c r="C85" s="13" t="s">
        <v>10</v>
      </c>
      <c r="D85" s="15">
        <v>46366</v>
      </c>
      <c r="E85" s="15">
        <v>46340</v>
      </c>
      <c r="F85" s="15">
        <v>46343</v>
      </c>
      <c r="G85" s="15">
        <v>46347</v>
      </c>
      <c r="H85" s="15">
        <v>46351</v>
      </c>
      <c r="I85" s="15">
        <v>46355</v>
      </c>
      <c r="J85" s="15">
        <v>46358</v>
      </c>
      <c r="K85" s="15">
        <v>46361</v>
      </c>
      <c r="L85" s="15">
        <v>46363</v>
      </c>
      <c r="M85" s="15">
        <v>46362</v>
      </c>
      <c r="N85" s="15">
        <v>46344</v>
      </c>
      <c r="O85" s="15">
        <v>46388</v>
      </c>
      <c r="P85" s="13" t="s">
        <v>120</v>
      </c>
    </row>
    <row r="86" spans="1:16">
      <c r="A86" s="14">
        <v>46340</v>
      </c>
      <c r="B86" s="12" t="s">
        <v>47</v>
      </c>
      <c r="C86" s="12" t="s">
        <v>10</v>
      </c>
      <c r="D86" s="14">
        <v>46366</v>
      </c>
      <c r="E86" s="14">
        <v>46340</v>
      </c>
      <c r="F86" s="14">
        <v>46343</v>
      </c>
      <c r="G86" s="14">
        <v>46347</v>
      </c>
      <c r="H86" s="14">
        <v>46351</v>
      </c>
      <c r="I86" s="14">
        <v>46355</v>
      </c>
      <c r="J86" s="14">
        <v>46358</v>
      </c>
      <c r="K86" s="14">
        <v>46361</v>
      </c>
      <c r="L86" s="14">
        <v>46363</v>
      </c>
      <c r="M86" s="14">
        <v>46362</v>
      </c>
      <c r="N86" s="14">
        <v>46344</v>
      </c>
      <c r="O86" s="14">
        <v>46388</v>
      </c>
      <c r="P86" s="12" t="s">
        <v>120</v>
      </c>
    </row>
    <row r="87" spans="1:16">
      <c r="A87" s="15">
        <v>46341</v>
      </c>
      <c r="B87" s="13" t="s">
        <v>48</v>
      </c>
      <c r="C87" s="13" t="s">
        <v>10</v>
      </c>
      <c r="D87" s="15">
        <v>46366</v>
      </c>
      <c r="E87" s="15">
        <v>46368</v>
      </c>
      <c r="F87" s="15">
        <v>46343</v>
      </c>
      <c r="G87" s="15">
        <v>46347</v>
      </c>
      <c r="H87" s="15">
        <v>46351</v>
      </c>
      <c r="I87" s="15">
        <v>46355</v>
      </c>
      <c r="J87" s="15">
        <v>46358</v>
      </c>
      <c r="K87" s="15">
        <v>46361</v>
      </c>
      <c r="L87" s="15">
        <v>46363</v>
      </c>
      <c r="M87" s="15">
        <v>46362</v>
      </c>
      <c r="N87" s="15">
        <v>46344</v>
      </c>
      <c r="O87" s="15">
        <v>46388</v>
      </c>
      <c r="P87" s="13" t="s">
        <v>120</v>
      </c>
    </row>
    <row r="88" spans="1:16">
      <c r="A88" s="14">
        <v>46342</v>
      </c>
      <c r="B88" s="12" t="s">
        <v>40</v>
      </c>
      <c r="C88" s="12" t="s">
        <v>10</v>
      </c>
      <c r="D88" s="14">
        <v>46366</v>
      </c>
      <c r="E88" s="14">
        <v>46368</v>
      </c>
      <c r="F88" s="14">
        <v>46343</v>
      </c>
      <c r="G88" s="14">
        <v>46347</v>
      </c>
      <c r="H88" s="14">
        <v>46351</v>
      </c>
      <c r="I88" s="14">
        <v>46355</v>
      </c>
      <c r="J88" s="14">
        <v>46358</v>
      </c>
      <c r="K88" s="14">
        <v>46361</v>
      </c>
      <c r="L88" s="14">
        <v>46363</v>
      </c>
      <c r="M88" s="14">
        <v>46362</v>
      </c>
      <c r="N88" s="14">
        <v>46344</v>
      </c>
      <c r="O88" s="14">
        <v>46388</v>
      </c>
      <c r="P88" s="12" t="s">
        <v>120</v>
      </c>
    </row>
    <row r="89" spans="1:16">
      <c r="A89" s="15">
        <v>46343</v>
      </c>
      <c r="B89" s="13" t="s">
        <v>43</v>
      </c>
      <c r="C89" s="13" t="s">
        <v>10</v>
      </c>
      <c r="D89" s="15">
        <v>46366</v>
      </c>
      <c r="E89" s="15">
        <v>46368</v>
      </c>
      <c r="F89" s="15">
        <v>46343</v>
      </c>
      <c r="G89" s="15">
        <v>46347</v>
      </c>
      <c r="H89" s="15">
        <v>46351</v>
      </c>
      <c r="I89" s="15">
        <v>46355</v>
      </c>
      <c r="J89" s="15">
        <v>46358</v>
      </c>
      <c r="K89" s="15">
        <v>46361</v>
      </c>
      <c r="L89" s="15">
        <v>46363</v>
      </c>
      <c r="M89" s="15">
        <v>46362</v>
      </c>
      <c r="N89" s="15">
        <v>46344</v>
      </c>
      <c r="O89" s="15">
        <v>46388</v>
      </c>
      <c r="P89" s="13" t="s">
        <v>120</v>
      </c>
    </row>
    <row r="90" spans="1:16">
      <c r="A90" s="14">
        <v>46344</v>
      </c>
      <c r="B90" s="12" t="s">
        <v>44</v>
      </c>
      <c r="C90" s="12" t="s">
        <v>10</v>
      </c>
      <c r="D90" s="14">
        <v>46366</v>
      </c>
      <c r="E90" s="14">
        <v>46368</v>
      </c>
      <c r="F90" s="14">
        <v>46371</v>
      </c>
      <c r="G90" s="14">
        <v>46347</v>
      </c>
      <c r="H90" s="14">
        <v>46351</v>
      </c>
      <c r="I90" s="14">
        <v>46355</v>
      </c>
      <c r="J90" s="14">
        <v>46358</v>
      </c>
      <c r="K90" s="14">
        <v>46361</v>
      </c>
      <c r="L90" s="14">
        <v>46363</v>
      </c>
      <c r="M90" s="14">
        <v>46362</v>
      </c>
      <c r="N90" s="14">
        <v>46344</v>
      </c>
      <c r="O90" s="14">
        <v>46388</v>
      </c>
      <c r="P90" s="12" t="s">
        <v>120</v>
      </c>
    </row>
    <row r="91" spans="1:16">
      <c r="A91" s="15">
        <v>46345</v>
      </c>
      <c r="B91" s="13" t="s">
        <v>45</v>
      </c>
      <c r="C91" s="13" t="s">
        <v>10</v>
      </c>
      <c r="D91" s="15">
        <v>46366</v>
      </c>
      <c r="E91" s="15">
        <v>46368</v>
      </c>
      <c r="F91" s="15">
        <v>46371</v>
      </c>
      <c r="G91" s="15">
        <v>46347</v>
      </c>
      <c r="H91" s="15">
        <v>46351</v>
      </c>
      <c r="I91" s="15">
        <v>46355</v>
      </c>
      <c r="J91" s="15">
        <v>46358</v>
      </c>
      <c r="K91" s="15">
        <v>46361</v>
      </c>
      <c r="L91" s="15">
        <v>46363</v>
      </c>
      <c r="M91" s="15">
        <v>46362</v>
      </c>
      <c r="N91" s="15">
        <v>46428</v>
      </c>
      <c r="O91" s="15">
        <v>46388</v>
      </c>
      <c r="P91" s="13" t="s">
        <v>120</v>
      </c>
    </row>
    <row r="92" spans="1:16">
      <c r="A92" s="14">
        <v>46346</v>
      </c>
      <c r="B92" s="12" t="s">
        <v>46</v>
      </c>
      <c r="C92" s="12" t="s">
        <v>10</v>
      </c>
      <c r="D92" s="14">
        <v>46366</v>
      </c>
      <c r="E92" s="14">
        <v>46368</v>
      </c>
      <c r="F92" s="14">
        <v>46371</v>
      </c>
      <c r="G92" s="14">
        <v>46347</v>
      </c>
      <c r="H92" s="14">
        <v>46351</v>
      </c>
      <c r="I92" s="14">
        <v>46355</v>
      </c>
      <c r="J92" s="14">
        <v>46358</v>
      </c>
      <c r="K92" s="14">
        <v>46361</v>
      </c>
      <c r="L92" s="14">
        <v>46363</v>
      </c>
      <c r="M92" s="14">
        <v>46362</v>
      </c>
      <c r="N92" s="14">
        <v>46428</v>
      </c>
      <c r="O92" s="14">
        <v>46388</v>
      </c>
      <c r="P92" s="12" t="s">
        <v>120</v>
      </c>
    </row>
    <row r="93" spans="1:16">
      <c r="A93" s="15">
        <v>46347</v>
      </c>
      <c r="B93" s="13" t="s">
        <v>47</v>
      </c>
      <c r="C93" s="13" t="s">
        <v>10</v>
      </c>
      <c r="D93" s="15">
        <v>46366</v>
      </c>
      <c r="E93" s="15">
        <v>46368</v>
      </c>
      <c r="F93" s="15">
        <v>46371</v>
      </c>
      <c r="G93" s="15">
        <v>46347</v>
      </c>
      <c r="H93" s="15">
        <v>46351</v>
      </c>
      <c r="I93" s="15">
        <v>46355</v>
      </c>
      <c r="J93" s="15">
        <v>46358</v>
      </c>
      <c r="K93" s="15">
        <v>46361</v>
      </c>
      <c r="L93" s="15">
        <v>46363</v>
      </c>
      <c r="M93" s="15">
        <v>46362</v>
      </c>
      <c r="N93" s="15">
        <v>46428</v>
      </c>
      <c r="O93" s="15">
        <v>46388</v>
      </c>
      <c r="P93" s="13" t="s">
        <v>120</v>
      </c>
    </row>
    <row r="94" spans="1:16">
      <c r="A94" s="14">
        <v>46348</v>
      </c>
      <c r="B94" s="12" t="s">
        <v>48</v>
      </c>
      <c r="C94" s="12" t="s">
        <v>10</v>
      </c>
      <c r="D94" s="14">
        <v>46366</v>
      </c>
      <c r="E94" s="14">
        <v>46368</v>
      </c>
      <c r="F94" s="14">
        <v>46371</v>
      </c>
      <c r="G94" s="14">
        <v>46375</v>
      </c>
      <c r="H94" s="14">
        <v>46351</v>
      </c>
      <c r="I94" s="14">
        <v>46355</v>
      </c>
      <c r="J94" s="14">
        <v>46358</v>
      </c>
      <c r="K94" s="14">
        <v>46361</v>
      </c>
      <c r="L94" s="14">
        <v>46363</v>
      </c>
      <c r="M94" s="14">
        <v>46362</v>
      </c>
      <c r="N94" s="14">
        <v>46428</v>
      </c>
      <c r="O94" s="14">
        <v>46388</v>
      </c>
      <c r="P94" s="12" t="s">
        <v>120</v>
      </c>
    </row>
    <row r="95" spans="1:16">
      <c r="A95" s="15">
        <v>46349</v>
      </c>
      <c r="B95" s="13" t="s">
        <v>40</v>
      </c>
      <c r="C95" s="13" t="s">
        <v>10</v>
      </c>
      <c r="D95" s="15">
        <v>46366</v>
      </c>
      <c r="E95" s="15">
        <v>46368</v>
      </c>
      <c r="F95" s="15">
        <v>46371</v>
      </c>
      <c r="G95" s="15">
        <v>46375</v>
      </c>
      <c r="H95" s="15">
        <v>46351</v>
      </c>
      <c r="I95" s="15">
        <v>46355</v>
      </c>
      <c r="J95" s="15">
        <v>46358</v>
      </c>
      <c r="K95" s="15">
        <v>46361</v>
      </c>
      <c r="L95" s="15">
        <v>46363</v>
      </c>
      <c r="M95" s="15">
        <v>46362</v>
      </c>
      <c r="N95" s="15">
        <v>46428</v>
      </c>
      <c r="O95" s="15">
        <v>46388</v>
      </c>
      <c r="P95" s="13" t="s">
        <v>120</v>
      </c>
    </row>
    <row r="96" spans="1:16">
      <c r="A96" s="14">
        <v>46350</v>
      </c>
      <c r="B96" s="12" t="s">
        <v>43</v>
      </c>
      <c r="C96" s="12" t="s">
        <v>10</v>
      </c>
      <c r="D96" s="14">
        <v>46366</v>
      </c>
      <c r="E96" s="14">
        <v>46368</v>
      </c>
      <c r="F96" s="14">
        <v>46371</v>
      </c>
      <c r="G96" s="14">
        <v>46375</v>
      </c>
      <c r="H96" s="14">
        <v>46351</v>
      </c>
      <c r="I96" s="14">
        <v>46355</v>
      </c>
      <c r="J96" s="14">
        <v>46358</v>
      </c>
      <c r="K96" s="14">
        <v>46361</v>
      </c>
      <c r="L96" s="14">
        <v>46363</v>
      </c>
      <c r="M96" s="14">
        <v>46362</v>
      </c>
      <c r="N96" s="14">
        <v>46428</v>
      </c>
      <c r="O96" s="14">
        <v>46388</v>
      </c>
      <c r="P96" s="12" t="s">
        <v>120</v>
      </c>
    </row>
    <row r="97" spans="1:16">
      <c r="A97" s="15">
        <v>46351</v>
      </c>
      <c r="B97" s="13" t="s">
        <v>44</v>
      </c>
      <c r="C97" s="13" t="s">
        <v>10</v>
      </c>
      <c r="D97" s="15">
        <v>46366</v>
      </c>
      <c r="E97" s="15">
        <v>46368</v>
      </c>
      <c r="F97" s="15">
        <v>46371</v>
      </c>
      <c r="G97" s="15">
        <v>46375</v>
      </c>
      <c r="H97" s="15">
        <v>46351</v>
      </c>
      <c r="I97" s="15">
        <v>46355</v>
      </c>
      <c r="J97" s="15">
        <v>46358</v>
      </c>
      <c r="K97" s="15">
        <v>46361</v>
      </c>
      <c r="L97" s="15">
        <v>46363</v>
      </c>
      <c r="M97" s="15">
        <v>46362</v>
      </c>
      <c r="N97" s="15">
        <v>46428</v>
      </c>
      <c r="O97" s="15">
        <v>46388</v>
      </c>
      <c r="P97" s="13" t="s">
        <v>120</v>
      </c>
    </row>
    <row r="98" spans="1:16">
      <c r="A98" s="14">
        <v>46352</v>
      </c>
      <c r="B98" s="12" t="s">
        <v>45</v>
      </c>
      <c r="C98" s="12" t="s">
        <v>10</v>
      </c>
      <c r="D98" s="14">
        <v>46366</v>
      </c>
      <c r="E98" s="14">
        <v>46368</v>
      </c>
      <c r="F98" s="14">
        <v>46371</v>
      </c>
      <c r="G98" s="14">
        <v>46375</v>
      </c>
      <c r="H98" s="14">
        <v>46379</v>
      </c>
      <c r="I98" s="14">
        <v>46355</v>
      </c>
      <c r="J98" s="14">
        <v>46358</v>
      </c>
      <c r="K98" s="14">
        <v>46361</v>
      </c>
      <c r="L98" s="14">
        <v>46363</v>
      </c>
      <c r="M98" s="14">
        <v>46362</v>
      </c>
      <c r="N98" s="14">
        <v>46428</v>
      </c>
      <c r="O98" s="14">
        <v>46388</v>
      </c>
      <c r="P98" s="12" t="s">
        <v>120</v>
      </c>
    </row>
    <row r="99" spans="1:16">
      <c r="A99" s="15">
        <v>46353</v>
      </c>
      <c r="B99" s="13" t="s">
        <v>46</v>
      </c>
      <c r="C99" s="13" t="s">
        <v>10</v>
      </c>
      <c r="D99" s="15">
        <v>46366</v>
      </c>
      <c r="E99" s="15">
        <v>46368</v>
      </c>
      <c r="F99" s="15">
        <v>46371</v>
      </c>
      <c r="G99" s="15">
        <v>46375</v>
      </c>
      <c r="H99" s="15">
        <v>46379</v>
      </c>
      <c r="I99" s="15">
        <v>46355</v>
      </c>
      <c r="J99" s="15">
        <v>46358</v>
      </c>
      <c r="K99" s="15">
        <v>46361</v>
      </c>
      <c r="L99" s="15">
        <v>46363</v>
      </c>
      <c r="M99" s="15">
        <v>46362</v>
      </c>
      <c r="N99" s="15">
        <v>46428</v>
      </c>
      <c r="O99" s="15">
        <v>46388</v>
      </c>
      <c r="P99" s="13" t="s">
        <v>120</v>
      </c>
    </row>
    <row r="100" spans="1:16">
      <c r="A100" s="14">
        <v>46354</v>
      </c>
      <c r="B100" s="12" t="s">
        <v>47</v>
      </c>
      <c r="C100" s="12" t="s">
        <v>10</v>
      </c>
      <c r="D100" s="14">
        <v>46366</v>
      </c>
      <c r="E100" s="14">
        <v>46368</v>
      </c>
      <c r="F100" s="14">
        <v>46371</v>
      </c>
      <c r="G100" s="14">
        <v>46375</v>
      </c>
      <c r="H100" s="14">
        <v>46379</v>
      </c>
      <c r="I100" s="14">
        <v>46355</v>
      </c>
      <c r="J100" s="14">
        <v>46358</v>
      </c>
      <c r="K100" s="14">
        <v>46361</v>
      </c>
      <c r="L100" s="14">
        <v>46363</v>
      </c>
      <c r="M100" s="14">
        <v>46362</v>
      </c>
      <c r="N100" s="14">
        <v>46428</v>
      </c>
      <c r="O100" s="14">
        <v>46388</v>
      </c>
      <c r="P100" s="12" t="s">
        <v>120</v>
      </c>
    </row>
    <row r="101" spans="1:16">
      <c r="A101" s="15">
        <v>46355</v>
      </c>
      <c r="B101" s="13" t="s">
        <v>48</v>
      </c>
      <c r="C101" s="13" t="s">
        <v>10</v>
      </c>
      <c r="D101" s="15">
        <v>46366</v>
      </c>
      <c r="E101" s="15">
        <v>46368</v>
      </c>
      <c r="F101" s="15">
        <v>46371</v>
      </c>
      <c r="G101" s="15">
        <v>46375</v>
      </c>
      <c r="H101" s="15">
        <v>46379</v>
      </c>
      <c r="I101" s="15">
        <v>46355</v>
      </c>
      <c r="J101" s="15">
        <v>46358</v>
      </c>
      <c r="K101" s="15">
        <v>46361</v>
      </c>
      <c r="L101" s="15">
        <v>46363</v>
      </c>
      <c r="M101" s="15">
        <v>46362</v>
      </c>
      <c r="N101" s="15">
        <v>46428</v>
      </c>
      <c r="O101" s="15">
        <v>46388</v>
      </c>
      <c r="P101" s="13" t="s">
        <v>120</v>
      </c>
    </row>
    <row r="102" spans="1:16">
      <c r="A102" s="14">
        <v>46356</v>
      </c>
      <c r="B102" s="12" t="s">
        <v>40</v>
      </c>
      <c r="C102" s="12" t="s">
        <v>10</v>
      </c>
      <c r="D102" s="14">
        <v>46366</v>
      </c>
      <c r="E102" s="14">
        <v>46368</v>
      </c>
      <c r="F102" s="14">
        <v>46371</v>
      </c>
      <c r="G102" s="14">
        <v>46375</v>
      </c>
      <c r="H102" s="14">
        <v>46379</v>
      </c>
      <c r="I102" s="14">
        <v>46383</v>
      </c>
      <c r="J102" s="14">
        <v>46358</v>
      </c>
      <c r="K102" s="14">
        <v>46361</v>
      </c>
      <c r="L102" s="14">
        <v>46363</v>
      </c>
      <c r="M102" s="14">
        <v>46362</v>
      </c>
      <c r="N102" s="14">
        <v>46428</v>
      </c>
      <c r="O102" s="14">
        <v>46388</v>
      </c>
      <c r="P102" s="12" t="s">
        <v>120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workbookViewId="0"/>
  </sheetViews>
  <sheetFormatPr defaultRowHeight="14"/>
  <cols>
    <col min="1" max="1" width="20" customWidth="1"/>
    <col min="2" max="2" width="25" customWidth="1"/>
    <col min="3" max="3" width="44" customWidth="1"/>
    <col min="4" max="4" width="66" customWidth="1"/>
    <col min="5" max="6" width="38" customWidth="1"/>
  </cols>
  <sheetData>
    <row r="1" spans="1:6" ht="28" customHeight="1">
      <c r="A1" s="39" t="s">
        <v>121</v>
      </c>
      <c r="B1" s="40"/>
      <c r="C1" s="40"/>
      <c r="D1" s="40"/>
      <c r="E1" s="40"/>
      <c r="F1" s="40"/>
    </row>
    <row r="3" spans="1:6" ht="28" customHeight="1">
      <c r="A3" s="1" t="s">
        <v>122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127</v>
      </c>
    </row>
    <row r="4" spans="1:6" ht="38" customHeight="1">
      <c r="A4" s="32" t="s">
        <v>29</v>
      </c>
      <c r="B4" s="32" t="s">
        <v>128</v>
      </c>
      <c r="C4" s="32" t="s">
        <v>129</v>
      </c>
      <c r="D4" s="32" t="s">
        <v>130</v>
      </c>
      <c r="E4" s="32" t="s">
        <v>131</v>
      </c>
      <c r="F4" s="32" t="s">
        <v>132</v>
      </c>
    </row>
    <row r="5" spans="1:6" ht="38" customHeight="1">
      <c r="A5" s="33" t="s">
        <v>30</v>
      </c>
      <c r="B5" s="33" t="s">
        <v>133</v>
      </c>
      <c r="C5" s="33" t="s">
        <v>134</v>
      </c>
      <c r="D5" s="33" t="s">
        <v>135</v>
      </c>
      <c r="E5" s="33" t="s">
        <v>131</v>
      </c>
      <c r="F5" s="33" t="s">
        <v>132</v>
      </c>
    </row>
    <row r="6" spans="1:6" ht="38" customHeight="1">
      <c r="A6" s="32" t="s">
        <v>31</v>
      </c>
      <c r="B6" s="32" t="s">
        <v>136</v>
      </c>
      <c r="C6" s="32" t="s">
        <v>137</v>
      </c>
      <c r="D6" s="32" t="s">
        <v>138</v>
      </c>
      <c r="E6" s="32" t="s">
        <v>131</v>
      </c>
      <c r="F6" s="32" t="s">
        <v>132</v>
      </c>
    </row>
    <row r="7" spans="1:6" ht="38" customHeight="1">
      <c r="A7" s="33" t="s">
        <v>32</v>
      </c>
      <c r="B7" s="33" t="s">
        <v>139</v>
      </c>
      <c r="C7" s="33" t="s">
        <v>140</v>
      </c>
      <c r="D7" s="33" t="s">
        <v>141</v>
      </c>
      <c r="E7" s="33" t="s">
        <v>131</v>
      </c>
      <c r="F7" s="33" t="s">
        <v>132</v>
      </c>
    </row>
    <row r="8" spans="1:6" ht="38" customHeight="1">
      <c r="A8" s="32" t="s">
        <v>33</v>
      </c>
      <c r="B8" s="32" t="s">
        <v>142</v>
      </c>
      <c r="C8" s="32" t="s">
        <v>143</v>
      </c>
      <c r="D8" s="32" t="s">
        <v>144</v>
      </c>
      <c r="E8" s="32" t="s">
        <v>131</v>
      </c>
      <c r="F8" s="32" t="s">
        <v>132</v>
      </c>
    </row>
    <row r="9" spans="1:6" ht="38" customHeight="1">
      <c r="A9" s="34"/>
      <c r="B9" s="34"/>
      <c r="C9" s="34"/>
      <c r="D9" s="34"/>
      <c r="E9" s="34"/>
      <c r="F9" s="34"/>
    </row>
    <row r="10" spans="1:6" ht="38" customHeight="1">
      <c r="A10" s="23" t="s">
        <v>145</v>
      </c>
      <c r="B10" s="24" t="s">
        <v>146</v>
      </c>
      <c r="C10" s="24" t="s">
        <v>147</v>
      </c>
      <c r="D10" s="24"/>
      <c r="E10" s="24"/>
      <c r="F10" s="25"/>
    </row>
    <row r="11" spans="1:6" ht="38" customHeight="1">
      <c r="A11" s="26" t="s">
        <v>148</v>
      </c>
      <c r="B11" s="27" t="s">
        <v>149</v>
      </c>
      <c r="C11" s="27" t="s">
        <v>150</v>
      </c>
      <c r="D11" s="27"/>
      <c r="E11" s="27"/>
      <c r="F11" s="28"/>
    </row>
    <row r="12" spans="1:6" ht="38" customHeight="1">
      <c r="A12" s="29" t="s">
        <v>151</v>
      </c>
      <c r="B12" s="30" t="s">
        <v>152</v>
      </c>
      <c r="C12" s="30" t="s">
        <v>153</v>
      </c>
      <c r="D12" s="30"/>
      <c r="E12" s="30"/>
      <c r="F12" s="3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showGridLines="0" workbookViewId="0"/>
  </sheetViews>
  <sheetFormatPr defaultRowHeight="14"/>
  <cols>
    <col min="1" max="1" width="10" customWidth="1"/>
    <col min="2" max="2" width="48" customWidth="1"/>
    <col min="3" max="3" width="42" customWidth="1"/>
    <col min="4" max="4" width="44" customWidth="1"/>
  </cols>
  <sheetData>
    <row r="1" spans="1:4" ht="28" customHeight="1">
      <c r="A1" s="39" t="s">
        <v>154</v>
      </c>
      <c r="B1" s="40"/>
      <c r="C1" s="40"/>
      <c r="D1" s="40"/>
    </row>
    <row r="3" spans="1:4" ht="28" customHeight="1">
      <c r="A3" s="1" t="s">
        <v>155</v>
      </c>
      <c r="B3" s="1" t="s">
        <v>156</v>
      </c>
      <c r="C3" s="1" t="s">
        <v>157</v>
      </c>
      <c r="D3" s="1" t="s">
        <v>158</v>
      </c>
    </row>
    <row r="4" spans="1:4" ht="34" customHeight="1">
      <c r="A4" s="32">
        <v>1</v>
      </c>
      <c r="B4" s="32" t="s">
        <v>159</v>
      </c>
      <c r="C4" s="32" t="s">
        <v>160</v>
      </c>
      <c r="D4" s="32" t="s">
        <v>161</v>
      </c>
    </row>
    <row r="5" spans="1:4" ht="34" customHeight="1">
      <c r="A5" s="33">
        <v>2</v>
      </c>
      <c r="B5" s="33" t="s">
        <v>162</v>
      </c>
      <c r="C5" s="33" t="s">
        <v>163</v>
      </c>
      <c r="D5" s="33" t="s">
        <v>164</v>
      </c>
    </row>
    <row r="6" spans="1:4" ht="34" customHeight="1">
      <c r="A6" s="32">
        <v>3</v>
      </c>
      <c r="B6" s="32" t="s">
        <v>165</v>
      </c>
      <c r="C6" s="32" t="s">
        <v>166</v>
      </c>
      <c r="D6" s="32" t="s">
        <v>167</v>
      </c>
    </row>
    <row r="7" spans="1:4" ht="34" customHeight="1">
      <c r="A7" s="33">
        <v>4</v>
      </c>
      <c r="B7" s="33" t="s">
        <v>168</v>
      </c>
      <c r="C7" s="33" t="s">
        <v>14</v>
      </c>
      <c r="D7" s="33" t="s">
        <v>169</v>
      </c>
    </row>
    <row r="8" spans="1:4" ht="34" customHeight="1">
      <c r="A8" s="32">
        <v>5</v>
      </c>
      <c r="B8" s="32" t="s">
        <v>170</v>
      </c>
      <c r="C8" s="32" t="s">
        <v>171</v>
      </c>
      <c r="D8" s="32" t="s">
        <v>172</v>
      </c>
    </row>
    <row r="9" spans="1:4" ht="34" customHeight="1">
      <c r="A9" s="33">
        <v>6</v>
      </c>
      <c r="B9" s="33" t="s">
        <v>173</v>
      </c>
      <c r="C9" s="33" t="s">
        <v>174</v>
      </c>
      <c r="D9" s="33" t="s">
        <v>175</v>
      </c>
    </row>
    <row r="10" spans="1:4" ht="34" customHeight="1">
      <c r="A10" s="32">
        <v>7</v>
      </c>
      <c r="B10" s="32" t="s">
        <v>176</v>
      </c>
      <c r="C10" s="32" t="s">
        <v>177</v>
      </c>
      <c r="D10" s="32" t="s">
        <v>178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VPS_CRAWL_PLAN</vt:lpstr>
      <vt:lpstr>CRAWL_LOG</vt:lpstr>
      <vt:lpstr>LOCAL_REFERENCE</vt:lpstr>
      <vt:lpstr>SLOT_RULES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2026-09-13T17:12:12Z</dcterms:created>
  <dcterms:modified xsi:type="dcterms:W3CDTF">2026-10-11T17:02:15Z</dcterms:modified>
</cp:coreProperties>
</file>